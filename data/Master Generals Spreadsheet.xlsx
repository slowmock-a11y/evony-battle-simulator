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Desktop\"/>
    </mc:Choice>
  </mc:AlternateContent>
  <xr:revisionPtr revIDLastSave="0" documentId="13_ncr:1_{B6FA1708-5323-45D1-A551-776ABBE1BEC9}" xr6:coauthVersionLast="47" xr6:coauthVersionMax="47" xr10:uidLastSave="{00000000-0000-0000-0000-000000000000}"/>
  <bookViews>
    <workbookView xWindow="-120" yWindow="-120" windowWidth="29040" windowHeight="16440" tabRatio="635" activeTab="2" xr2:uid="{4492B38F-A252-4E33-8040-5B9EC32E03CA}"/>
  </bookViews>
  <sheets>
    <sheet name="Comparison Tool" sheetId="10" r:id="rId1"/>
    <sheet name="GROUND" sheetId="3" r:id="rId2"/>
    <sheet name="RANGED" sheetId="5" r:id="rId3"/>
    <sheet name="MOUNTED" sheetId="4" r:id="rId4"/>
    <sheet name="SIEGE" sheetId="6" r:id="rId5"/>
    <sheet name="SUB-CITY" sheetId="1" r:id="rId6"/>
    <sheet name="DUTY" sheetId="16" state="hidden" r:id="rId7"/>
    <sheet name="WALL" sheetId="12" r:id="rId8"/>
    <sheet name="MONSTER" sheetId="11" r:id="rId9"/>
    <sheet name="Compatibility" sheetId="13" state="hidden" r:id="rId10"/>
    <sheet name="DRAGONS" sheetId="15" r:id="rId11"/>
    <sheet name="COVENANTS" sheetId="14" r:id="rId12"/>
    <sheet name="Calculator" sheetId="8" state="hidden" r:id="rId13"/>
  </sheets>
  <definedNames>
    <definedName name="_xlnm._FilterDatabase" localSheetId="0" hidden="1">'Comparison Tool'!$B$2:$H$9</definedName>
    <definedName name="_xlnm._FilterDatabase" localSheetId="11" hidden="1">COVENANTS!$A$1:$D$44</definedName>
    <definedName name="_xlnm._FilterDatabase" localSheetId="1" hidden="1">GROUND!$A$2:$AI$2</definedName>
    <definedName name="_xlnm._FilterDatabase" localSheetId="8" hidden="1">MONSTER!$A$23:$BD$23</definedName>
    <definedName name="_xlnm._FilterDatabase" localSheetId="3" hidden="1">MOUNTED!$A$59:$AI$59</definedName>
    <definedName name="_xlnm._FilterDatabase" localSheetId="2" hidden="1">RANGED!$C$2:$AI$60</definedName>
    <definedName name="_xlnm._FilterDatabase" localSheetId="4" hidden="1">SIEGE!$A$60:$AY$60</definedName>
    <definedName name="_xlnm._FilterDatabase" localSheetId="5" hidden="1">'SUB-CITY'!$B$3:$BO$3</definedName>
    <definedName name="_xlnm._FilterDatabase" localSheetId="7" hidden="1">WALL!$B$2:$BO$2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39" i="11" l="1"/>
  <c r="AV39" i="11"/>
  <c r="AW39" i="11"/>
  <c r="AX39" i="11"/>
  <c r="AY39" i="11"/>
  <c r="AZ39" i="11"/>
  <c r="BA39" i="11"/>
  <c r="BB39" i="11"/>
  <c r="BC39" i="11"/>
  <c r="AU40" i="11"/>
  <c r="AV40" i="11"/>
  <c r="AW40" i="11"/>
  <c r="AX40" i="11"/>
  <c r="AY40" i="11"/>
  <c r="AZ40" i="11"/>
  <c r="BA40" i="11"/>
  <c r="BB40" i="11"/>
  <c r="BC40" i="11"/>
  <c r="AU41" i="11"/>
  <c r="AV41" i="11"/>
  <c r="AW41" i="11"/>
  <c r="AX41" i="11"/>
  <c r="AY41" i="11"/>
  <c r="AZ41" i="11"/>
  <c r="BA41" i="11"/>
  <c r="BB41" i="11"/>
  <c r="BC41" i="11"/>
  <c r="AX18" i="11"/>
  <c r="AY18" i="11"/>
  <c r="AZ18" i="11"/>
  <c r="BA18" i="11"/>
  <c r="BB18" i="11"/>
  <c r="BC18" i="11"/>
  <c r="AX19" i="11"/>
  <c r="AY19" i="11"/>
  <c r="AZ19" i="11"/>
  <c r="BA19" i="11"/>
  <c r="BB19" i="11"/>
  <c r="BC19" i="11"/>
  <c r="AX20" i="11"/>
  <c r="AY20" i="11"/>
  <c r="AZ20" i="11"/>
  <c r="BA20" i="11"/>
  <c r="BB20" i="11"/>
  <c r="BC20" i="11"/>
  <c r="BD39" i="11"/>
  <c r="BD40" i="11"/>
  <c r="BD41" i="11"/>
  <c r="BN18" i="11"/>
  <c r="BN19" i="11"/>
  <c r="BN20" i="11"/>
  <c r="BO18" i="11"/>
  <c r="BO19" i="11"/>
  <c r="BO20" i="11"/>
  <c r="BP18" i="11"/>
  <c r="BP19" i="11"/>
  <c r="BP20" i="11"/>
  <c r="AY221" i="12"/>
  <c r="AY222" i="12"/>
  <c r="AY223" i="12"/>
  <c r="AY224" i="12"/>
  <c r="AY225" i="12"/>
  <c r="AY226" i="12"/>
  <c r="AZ221" i="12"/>
  <c r="AZ222" i="12"/>
  <c r="AZ223" i="12"/>
  <c r="AZ224" i="12"/>
  <c r="AZ225" i="12"/>
  <c r="AZ226" i="12"/>
  <c r="BA221" i="12"/>
  <c r="BA222" i="12"/>
  <c r="BA223" i="12"/>
  <c r="BA224" i="12"/>
  <c r="BA225" i="12"/>
  <c r="BA226" i="12"/>
  <c r="BB221" i="12"/>
  <c r="BB222" i="12"/>
  <c r="BB223" i="12"/>
  <c r="BB224" i="12"/>
  <c r="BB225" i="12"/>
  <c r="BB226" i="12"/>
  <c r="BC221" i="12"/>
  <c r="BC222" i="12"/>
  <c r="BC223" i="12"/>
  <c r="BC224" i="12"/>
  <c r="BC225" i="12"/>
  <c r="BC226" i="12"/>
  <c r="BD221" i="12"/>
  <c r="BD222" i="12"/>
  <c r="BD223" i="12"/>
  <c r="BD224" i="12"/>
  <c r="BD225" i="12"/>
  <c r="BD226" i="12"/>
  <c r="BE221" i="12"/>
  <c r="BN221" i="12" s="1"/>
  <c r="BE222" i="12"/>
  <c r="BE223" i="12"/>
  <c r="BE224" i="12"/>
  <c r="BE225" i="12"/>
  <c r="BE226" i="12"/>
  <c r="BF221" i="12"/>
  <c r="BF222" i="12"/>
  <c r="BF223" i="12"/>
  <c r="BF224" i="12"/>
  <c r="BF225" i="12"/>
  <c r="BF226" i="12"/>
  <c r="BG221" i="12"/>
  <c r="BG222" i="12"/>
  <c r="BG223" i="12"/>
  <c r="BG224" i="12"/>
  <c r="BG225" i="12"/>
  <c r="BG226" i="12"/>
  <c r="BH221" i="12"/>
  <c r="BH222" i="12"/>
  <c r="BH223" i="12"/>
  <c r="BH224" i="12"/>
  <c r="BH225" i="12"/>
  <c r="BH226" i="12"/>
  <c r="BI221" i="12"/>
  <c r="BI222" i="12"/>
  <c r="BI223" i="12"/>
  <c r="BI224" i="12"/>
  <c r="BI225" i="12"/>
  <c r="BI226" i="12"/>
  <c r="BJ221" i="12"/>
  <c r="BJ222" i="12"/>
  <c r="BJ223" i="12"/>
  <c r="BJ224" i="12"/>
  <c r="BJ225" i="12"/>
  <c r="BJ226" i="12"/>
  <c r="CB108" i="12"/>
  <c r="CB109" i="12"/>
  <c r="CC108" i="12"/>
  <c r="CC109" i="12"/>
  <c r="CD108" i="12"/>
  <c r="CD109" i="12"/>
  <c r="CB110" i="12"/>
  <c r="CB111" i="12"/>
  <c r="CC110" i="12"/>
  <c r="CC111" i="12"/>
  <c r="CD110" i="12"/>
  <c r="CD111" i="12"/>
  <c r="CB112" i="12"/>
  <c r="CC112" i="12"/>
  <c r="CD112" i="12"/>
  <c r="CB107" i="12"/>
  <c r="CC107" i="12"/>
  <c r="CD107" i="12"/>
  <c r="AY53" i="1"/>
  <c r="AZ53" i="1"/>
  <c r="BA53" i="1"/>
  <c r="BB53" i="1"/>
  <c r="BC53" i="1"/>
  <c r="BD53" i="1"/>
  <c r="BE53" i="1"/>
  <c r="BF53" i="1"/>
  <c r="BG53" i="1"/>
  <c r="BH53" i="1"/>
  <c r="BO53" i="1" s="1"/>
  <c r="BI53" i="1"/>
  <c r="BJ53" i="1"/>
  <c r="BL53" i="1"/>
  <c r="BK53" i="1" s="1"/>
  <c r="BM53" i="1"/>
  <c r="BN53" i="1"/>
  <c r="AY54" i="1"/>
  <c r="AZ54" i="1"/>
  <c r="BA54" i="1"/>
  <c r="BB54" i="1"/>
  <c r="BC54" i="1"/>
  <c r="BD54" i="1"/>
  <c r="BE54" i="1"/>
  <c r="BN54" i="1" s="1"/>
  <c r="BF54" i="1"/>
  <c r="BG54" i="1"/>
  <c r="BH54" i="1"/>
  <c r="BO54" i="1" s="1"/>
  <c r="BI54" i="1"/>
  <c r="BJ54" i="1"/>
  <c r="BL54" i="1"/>
  <c r="BM54" i="1"/>
  <c r="BK54" i="1" s="1"/>
  <c r="AY55" i="1"/>
  <c r="AZ55" i="1"/>
  <c r="BA55" i="1"/>
  <c r="BB55" i="1"/>
  <c r="BM55" i="1" s="1"/>
  <c r="BC55" i="1"/>
  <c r="BD55" i="1"/>
  <c r="BE55" i="1"/>
  <c r="BN55" i="1" s="1"/>
  <c r="BF55" i="1"/>
  <c r="BG55" i="1"/>
  <c r="BH55" i="1"/>
  <c r="BO55" i="1" s="1"/>
  <c r="BI55" i="1"/>
  <c r="BJ55" i="1"/>
  <c r="BL55" i="1"/>
  <c r="BK55" i="1" s="1"/>
  <c r="AY56" i="1"/>
  <c r="AZ56" i="1"/>
  <c r="BL56" i="1" s="1"/>
  <c r="BA56" i="1"/>
  <c r="BB56" i="1"/>
  <c r="BM56" i="1" s="1"/>
  <c r="BC56" i="1"/>
  <c r="BD56" i="1"/>
  <c r="BE56" i="1"/>
  <c r="BN56" i="1" s="1"/>
  <c r="BF56" i="1"/>
  <c r="BG56" i="1"/>
  <c r="BH56" i="1"/>
  <c r="BO56" i="1" s="1"/>
  <c r="BI56" i="1"/>
  <c r="BJ56" i="1"/>
  <c r="AY57" i="1"/>
  <c r="BL57" i="1" s="1"/>
  <c r="AZ57" i="1"/>
  <c r="BA57" i="1"/>
  <c r="BB57" i="1"/>
  <c r="BM57" i="1" s="1"/>
  <c r="BC57" i="1"/>
  <c r="BD57" i="1"/>
  <c r="BE57" i="1"/>
  <c r="BN57" i="1" s="1"/>
  <c r="BF57" i="1"/>
  <c r="BG57" i="1"/>
  <c r="BH57" i="1"/>
  <c r="BO57" i="1" s="1"/>
  <c r="BI57" i="1"/>
  <c r="BJ57" i="1"/>
  <c r="AY58" i="1"/>
  <c r="BL58" i="1" s="1"/>
  <c r="AZ58" i="1"/>
  <c r="BA58" i="1"/>
  <c r="BB58" i="1"/>
  <c r="BM58" i="1" s="1"/>
  <c r="BC58" i="1"/>
  <c r="BD58" i="1"/>
  <c r="BE58" i="1"/>
  <c r="BN58" i="1" s="1"/>
  <c r="BF58" i="1"/>
  <c r="BG58" i="1"/>
  <c r="BH58" i="1"/>
  <c r="BO58" i="1" s="1"/>
  <c r="BI58" i="1"/>
  <c r="BJ58" i="1"/>
  <c r="AY59" i="1"/>
  <c r="BL59" i="1" s="1"/>
  <c r="BK59" i="1" s="1"/>
  <c r="AZ59" i="1"/>
  <c r="BA59" i="1"/>
  <c r="BB59" i="1"/>
  <c r="BM59" i="1" s="1"/>
  <c r="BC59" i="1"/>
  <c r="BD59" i="1"/>
  <c r="BE59" i="1"/>
  <c r="BN59" i="1" s="1"/>
  <c r="BF59" i="1"/>
  <c r="BG59" i="1"/>
  <c r="BH59" i="1"/>
  <c r="BO59" i="1" s="1"/>
  <c r="BI59" i="1"/>
  <c r="BJ59" i="1"/>
  <c r="AY60" i="1"/>
  <c r="BL60" i="1" s="1"/>
  <c r="AZ60" i="1"/>
  <c r="BA60" i="1"/>
  <c r="BB60" i="1"/>
  <c r="BM60" i="1" s="1"/>
  <c r="BC60" i="1"/>
  <c r="BD60" i="1"/>
  <c r="BE60" i="1"/>
  <c r="BN60" i="1" s="1"/>
  <c r="BF60" i="1"/>
  <c r="BG60" i="1"/>
  <c r="BH60" i="1"/>
  <c r="BI60" i="1"/>
  <c r="BJ60" i="1"/>
  <c r="BO60" i="1"/>
  <c r="D110" i="6"/>
  <c r="E110" i="6"/>
  <c r="F110" i="6"/>
  <c r="G110" i="6"/>
  <c r="D111" i="6"/>
  <c r="E111" i="6"/>
  <c r="F111" i="6"/>
  <c r="G111" i="6"/>
  <c r="D112" i="6"/>
  <c r="E112" i="6"/>
  <c r="F112" i="6"/>
  <c r="G112" i="6"/>
  <c r="D113" i="6"/>
  <c r="E113" i="6"/>
  <c r="F113" i="6"/>
  <c r="G113" i="6"/>
  <c r="D114" i="6"/>
  <c r="E114" i="6"/>
  <c r="F114" i="6"/>
  <c r="G114" i="6"/>
  <c r="D115" i="6"/>
  <c r="E115" i="6"/>
  <c r="F115" i="6"/>
  <c r="G115" i="6"/>
  <c r="AE110" i="6"/>
  <c r="AE111" i="6"/>
  <c r="AE112" i="6"/>
  <c r="AE113" i="6"/>
  <c r="AE114" i="6"/>
  <c r="AE115" i="6"/>
  <c r="AF110" i="6"/>
  <c r="AF111" i="6"/>
  <c r="AF112" i="6"/>
  <c r="AF113" i="6"/>
  <c r="AF114" i="6"/>
  <c r="AF115" i="6"/>
  <c r="AG110" i="6"/>
  <c r="AG111" i="6"/>
  <c r="AG112" i="6"/>
  <c r="AG113" i="6"/>
  <c r="AG114" i="6"/>
  <c r="AG115" i="6"/>
  <c r="AH110" i="6"/>
  <c r="AH111" i="6"/>
  <c r="AH112" i="6"/>
  <c r="AH113" i="6"/>
  <c r="AH114" i="6"/>
  <c r="AH115" i="6"/>
  <c r="AI110" i="6"/>
  <c r="AI111" i="6"/>
  <c r="AI112" i="6"/>
  <c r="AI113" i="6"/>
  <c r="AI114" i="6"/>
  <c r="AI115" i="6"/>
  <c r="D52" i="6"/>
  <c r="D53" i="6"/>
  <c r="D54" i="6"/>
  <c r="D55" i="6"/>
  <c r="D56" i="6"/>
  <c r="D57" i="6"/>
  <c r="E52" i="6"/>
  <c r="E53" i="6"/>
  <c r="E54" i="6"/>
  <c r="E55" i="6"/>
  <c r="E56" i="6"/>
  <c r="E57" i="6"/>
  <c r="F52" i="6"/>
  <c r="F53" i="6"/>
  <c r="F54" i="6"/>
  <c r="F55" i="6"/>
  <c r="F56" i="6"/>
  <c r="F57" i="6"/>
  <c r="G52" i="6"/>
  <c r="G53" i="6"/>
  <c r="G54" i="6"/>
  <c r="G55" i="6"/>
  <c r="G56" i="6"/>
  <c r="G57" i="6"/>
  <c r="AH52" i="6"/>
  <c r="AH53" i="6"/>
  <c r="AH54" i="6"/>
  <c r="AH55" i="6"/>
  <c r="AH56" i="6"/>
  <c r="AH57" i="6"/>
  <c r="AS52" i="6"/>
  <c r="AS53" i="6"/>
  <c r="AS54" i="6"/>
  <c r="AS55" i="6"/>
  <c r="AS56" i="6"/>
  <c r="AS57" i="6"/>
  <c r="AT52" i="6"/>
  <c r="AT53" i="6"/>
  <c r="AT54" i="6"/>
  <c r="AT55" i="6"/>
  <c r="AT56" i="6"/>
  <c r="AT57" i="6"/>
  <c r="AU52" i="6"/>
  <c r="AU53" i="6"/>
  <c r="AU54" i="6"/>
  <c r="AU55" i="6"/>
  <c r="AU56" i="6"/>
  <c r="AU57" i="6"/>
  <c r="D108" i="4"/>
  <c r="E108" i="4"/>
  <c r="F108" i="4"/>
  <c r="G108" i="4"/>
  <c r="AE108" i="4"/>
  <c r="AF108" i="4"/>
  <c r="AG108" i="4"/>
  <c r="AH108" i="4"/>
  <c r="D109" i="4"/>
  <c r="E109" i="4"/>
  <c r="F109" i="4"/>
  <c r="G109" i="4"/>
  <c r="AE109" i="4"/>
  <c r="AI109" i="4" s="1"/>
  <c r="AF109" i="4"/>
  <c r="AG109" i="4"/>
  <c r="AH109" i="4"/>
  <c r="D110" i="4"/>
  <c r="E110" i="4"/>
  <c r="F110" i="4"/>
  <c r="G110" i="4"/>
  <c r="AE110" i="4"/>
  <c r="AF110" i="4"/>
  <c r="AG110" i="4"/>
  <c r="AH110" i="4"/>
  <c r="AI110" i="4" s="1"/>
  <c r="D111" i="4"/>
  <c r="E111" i="4"/>
  <c r="F111" i="4"/>
  <c r="G111" i="4"/>
  <c r="AE111" i="4"/>
  <c r="AF111" i="4"/>
  <c r="AG111" i="4"/>
  <c r="AH111" i="4"/>
  <c r="D112" i="4"/>
  <c r="E112" i="4"/>
  <c r="F112" i="4"/>
  <c r="G112" i="4"/>
  <c r="AE112" i="4"/>
  <c r="AF112" i="4"/>
  <c r="AG112" i="4"/>
  <c r="AH112" i="4"/>
  <c r="D113" i="4"/>
  <c r="E113" i="4"/>
  <c r="F113" i="4"/>
  <c r="G113" i="4"/>
  <c r="AE113" i="4"/>
  <c r="AF113" i="4"/>
  <c r="AG113" i="4"/>
  <c r="AH113" i="4"/>
  <c r="AI113" i="4" s="1"/>
  <c r="AI112" i="4"/>
  <c r="AI108" i="4"/>
  <c r="D51" i="4"/>
  <c r="D52" i="4"/>
  <c r="D53" i="4"/>
  <c r="D54" i="4"/>
  <c r="D55" i="4"/>
  <c r="D56" i="4"/>
  <c r="E51" i="4"/>
  <c r="E52" i="4"/>
  <c r="E53" i="4"/>
  <c r="E54" i="4"/>
  <c r="E55" i="4"/>
  <c r="E56" i="4"/>
  <c r="F51" i="4"/>
  <c r="F52" i="4"/>
  <c r="F53" i="4"/>
  <c r="F54" i="4"/>
  <c r="F55" i="4"/>
  <c r="F56" i="4"/>
  <c r="G51" i="4"/>
  <c r="G52" i="4"/>
  <c r="G53" i="4"/>
  <c r="G54" i="4"/>
  <c r="G55" i="4"/>
  <c r="G56" i="4"/>
  <c r="AH51" i="4"/>
  <c r="AH52" i="4"/>
  <c r="AH53" i="4"/>
  <c r="AH54" i="4"/>
  <c r="AH55" i="4"/>
  <c r="AH56" i="4"/>
  <c r="AS51" i="4"/>
  <c r="AS52" i="4"/>
  <c r="AS53" i="4"/>
  <c r="AS54" i="4"/>
  <c r="AS55" i="4"/>
  <c r="AS56" i="4"/>
  <c r="AT51" i="4"/>
  <c r="AT52" i="4"/>
  <c r="AT53" i="4"/>
  <c r="AT54" i="4"/>
  <c r="AT55" i="4"/>
  <c r="AT56" i="4"/>
  <c r="AU51" i="4"/>
  <c r="AU52" i="4"/>
  <c r="AU53" i="4"/>
  <c r="AU54" i="4"/>
  <c r="AU55" i="4"/>
  <c r="AU56" i="4"/>
  <c r="D118" i="5"/>
  <c r="E118" i="5"/>
  <c r="F118" i="5"/>
  <c r="G118" i="5"/>
  <c r="AE118" i="5"/>
  <c r="AF118" i="5"/>
  <c r="AG118" i="5"/>
  <c r="AH118" i="5"/>
  <c r="D119" i="5"/>
  <c r="E119" i="5"/>
  <c r="F119" i="5"/>
  <c r="G119" i="5"/>
  <c r="AE119" i="5"/>
  <c r="AF119" i="5"/>
  <c r="AG119" i="5"/>
  <c r="AH119" i="5"/>
  <c r="D120" i="5"/>
  <c r="E120" i="5"/>
  <c r="F120" i="5"/>
  <c r="G120" i="5"/>
  <c r="AE120" i="5"/>
  <c r="AF120" i="5"/>
  <c r="AG120" i="5"/>
  <c r="AH120" i="5"/>
  <c r="D121" i="5"/>
  <c r="E121" i="5"/>
  <c r="F121" i="5"/>
  <c r="G121" i="5"/>
  <c r="AE121" i="5"/>
  <c r="AF121" i="5"/>
  <c r="AG121" i="5"/>
  <c r="AH121" i="5"/>
  <c r="AI118" i="5"/>
  <c r="AI120" i="5"/>
  <c r="D57" i="5"/>
  <c r="D58" i="5"/>
  <c r="D59" i="5"/>
  <c r="D60" i="5"/>
  <c r="E57" i="5"/>
  <c r="E58" i="5"/>
  <c r="E59" i="5"/>
  <c r="E60" i="5"/>
  <c r="F57" i="5"/>
  <c r="F58" i="5"/>
  <c r="F59" i="5"/>
  <c r="F60" i="5"/>
  <c r="G57" i="5"/>
  <c r="G58" i="5"/>
  <c r="G59" i="5"/>
  <c r="G60" i="5"/>
  <c r="AH57" i="5"/>
  <c r="AH58" i="5"/>
  <c r="AH59" i="5"/>
  <c r="AH60" i="5"/>
  <c r="AS57" i="5"/>
  <c r="AS58" i="5"/>
  <c r="AS59" i="5"/>
  <c r="AS60" i="5"/>
  <c r="AT57" i="5"/>
  <c r="AT58" i="5"/>
  <c r="AT59" i="5"/>
  <c r="AT60" i="5"/>
  <c r="AU57" i="5"/>
  <c r="AU58" i="5"/>
  <c r="AU59" i="5"/>
  <c r="AU60" i="5"/>
  <c r="AE103" i="3"/>
  <c r="AF103" i="3"/>
  <c r="AG103" i="3"/>
  <c r="AH103" i="3"/>
  <c r="AI103" i="3" s="1"/>
  <c r="AE104" i="3"/>
  <c r="AF104" i="3"/>
  <c r="AG104" i="3"/>
  <c r="AH104" i="3"/>
  <c r="AI104" i="3" s="1"/>
  <c r="AE105" i="3"/>
  <c r="AF105" i="3"/>
  <c r="AG105" i="3"/>
  <c r="AH105" i="3"/>
  <c r="AI105" i="3" s="1"/>
  <c r="AE106" i="3"/>
  <c r="AF106" i="3"/>
  <c r="AG106" i="3"/>
  <c r="AH106" i="3"/>
  <c r="AI106" i="3" s="1"/>
  <c r="AE107" i="3"/>
  <c r="AF107" i="3"/>
  <c r="AG107" i="3"/>
  <c r="AH107" i="3"/>
  <c r="AI107" i="3" s="1"/>
  <c r="D103" i="3"/>
  <c r="D104" i="3"/>
  <c r="D105" i="3"/>
  <c r="D106" i="3"/>
  <c r="D107" i="3"/>
  <c r="E103" i="3"/>
  <c r="E104" i="3"/>
  <c r="E105" i="3"/>
  <c r="E106" i="3"/>
  <c r="E107" i="3"/>
  <c r="F103" i="3"/>
  <c r="F104" i="3"/>
  <c r="F105" i="3"/>
  <c r="F106" i="3"/>
  <c r="F107" i="3"/>
  <c r="G103" i="3"/>
  <c r="G104" i="3"/>
  <c r="G105" i="3"/>
  <c r="G106" i="3"/>
  <c r="G107" i="3"/>
  <c r="D49" i="3"/>
  <c r="D50" i="3"/>
  <c r="D51" i="3"/>
  <c r="D52" i="3"/>
  <c r="D53" i="3"/>
  <c r="E49" i="3"/>
  <c r="E50" i="3"/>
  <c r="E51" i="3"/>
  <c r="E52" i="3"/>
  <c r="E53" i="3"/>
  <c r="F49" i="3"/>
  <c r="F50" i="3"/>
  <c r="F51" i="3"/>
  <c r="F52" i="3"/>
  <c r="F53" i="3"/>
  <c r="G49" i="3"/>
  <c r="G50" i="3"/>
  <c r="G51" i="3"/>
  <c r="G52" i="3"/>
  <c r="G53" i="3"/>
  <c r="AH49" i="3"/>
  <c r="AH50" i="3"/>
  <c r="AH51" i="3"/>
  <c r="AH52" i="3"/>
  <c r="AH53" i="3"/>
  <c r="AS49" i="3"/>
  <c r="AS50" i="3"/>
  <c r="AS51" i="3"/>
  <c r="AS52" i="3"/>
  <c r="AS53" i="3"/>
  <c r="AT49" i="3"/>
  <c r="AT50" i="3"/>
  <c r="AT51" i="3"/>
  <c r="AT52" i="3"/>
  <c r="AT53" i="3"/>
  <c r="AU49" i="3"/>
  <c r="AU50" i="3"/>
  <c r="AU51" i="3"/>
  <c r="AU52" i="3"/>
  <c r="AU53" i="3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AY217" i="12"/>
  <c r="AZ217" i="12"/>
  <c r="BA217" i="12"/>
  <c r="BL217" i="12" s="1"/>
  <c r="BB217" i="12"/>
  <c r="BC217" i="12"/>
  <c r="BD217" i="12"/>
  <c r="BE217" i="12"/>
  <c r="BF217" i="12"/>
  <c r="BG217" i="12"/>
  <c r="BH217" i="12"/>
  <c r="BI217" i="12"/>
  <c r="BJ217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CB101" i="12"/>
  <c r="CC101" i="12"/>
  <c r="CD101" i="12"/>
  <c r="CB102" i="12"/>
  <c r="CC102" i="12"/>
  <c r="CD102" i="12"/>
  <c r="CB103" i="12"/>
  <c r="CC103" i="12"/>
  <c r="CD103" i="12"/>
  <c r="CB104" i="12"/>
  <c r="CC104" i="12"/>
  <c r="CD104" i="12"/>
  <c r="CB105" i="12"/>
  <c r="CC105" i="12"/>
  <c r="CD105" i="12"/>
  <c r="CB106" i="12"/>
  <c r="CC106" i="12"/>
  <c r="CD106" i="12"/>
  <c r="CB113" i="12"/>
  <c r="CC113" i="12"/>
  <c r="CD113" i="12"/>
  <c r="AY123" i="12"/>
  <c r="AD26" i="8"/>
  <c r="AD25" i="8"/>
  <c r="AD24" i="8"/>
  <c r="AD23" i="8"/>
  <c r="AC26" i="8"/>
  <c r="AC25" i="8"/>
  <c r="AC24" i="8"/>
  <c r="AC23" i="8"/>
  <c r="AB26" i="8"/>
  <c r="AB25" i="8"/>
  <c r="AB24" i="8"/>
  <c r="AB23" i="8"/>
  <c r="AJ2" i="8"/>
  <c r="AN69" i="8"/>
  <c r="AN68" i="8"/>
  <c r="AN67" i="8"/>
  <c r="AN66" i="8"/>
  <c r="AN65" i="8"/>
  <c r="AN64" i="8"/>
  <c r="AN63" i="8"/>
  <c r="AN62" i="8"/>
  <c r="AN61" i="8"/>
  <c r="AN60" i="8"/>
  <c r="AN59" i="8"/>
  <c r="AN58" i="8"/>
  <c r="AN57" i="8"/>
  <c r="AN56" i="8"/>
  <c r="AN55" i="8"/>
  <c r="AN54" i="8"/>
  <c r="AN53" i="8"/>
  <c r="AN52" i="8"/>
  <c r="AN51" i="8"/>
  <c r="AN50" i="8"/>
  <c r="AN49" i="8"/>
  <c r="AN48" i="8"/>
  <c r="AN47" i="8"/>
  <c r="AN46" i="8"/>
  <c r="AN45" i="8"/>
  <c r="AN44" i="8"/>
  <c r="AN43" i="8"/>
  <c r="AN42" i="8"/>
  <c r="AN41" i="8"/>
  <c r="AN40" i="8"/>
  <c r="AN39" i="8"/>
  <c r="AN38" i="8"/>
  <c r="AN37" i="8"/>
  <c r="AN36" i="8"/>
  <c r="AN35" i="8"/>
  <c r="AN34" i="8"/>
  <c r="AN33" i="8"/>
  <c r="AN32" i="8"/>
  <c r="AN31" i="8"/>
  <c r="AN30" i="8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6" i="8"/>
  <c r="AN5" i="8"/>
  <c r="AN4" i="8"/>
  <c r="AN3" i="8"/>
  <c r="AN2" i="8"/>
  <c r="AL69" i="8"/>
  <c r="AL68" i="8"/>
  <c r="AL67" i="8"/>
  <c r="AL66" i="8"/>
  <c r="AL65" i="8"/>
  <c r="AL64" i="8"/>
  <c r="AL63" i="8"/>
  <c r="AL62" i="8"/>
  <c r="AL61" i="8"/>
  <c r="AL60" i="8"/>
  <c r="AL59" i="8"/>
  <c r="AL58" i="8"/>
  <c r="AL57" i="8"/>
  <c r="AL56" i="8"/>
  <c r="AL55" i="8"/>
  <c r="AL54" i="8"/>
  <c r="AL53" i="8"/>
  <c r="AL52" i="8"/>
  <c r="AL51" i="8"/>
  <c r="AL50" i="8"/>
  <c r="AL49" i="8"/>
  <c r="AL48" i="8"/>
  <c r="AL47" i="8"/>
  <c r="AL46" i="8"/>
  <c r="AL45" i="8"/>
  <c r="AL44" i="8"/>
  <c r="AL43" i="8"/>
  <c r="AL42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L26" i="8"/>
  <c r="AL25" i="8"/>
  <c r="AL24" i="8"/>
  <c r="AL23" i="8"/>
  <c r="AL22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L6" i="8"/>
  <c r="AL5" i="8"/>
  <c r="AL4" i="8"/>
  <c r="AL3" i="8"/>
  <c r="AL2" i="8"/>
  <c r="AJ69" i="8"/>
  <c r="AJ68" i="8"/>
  <c r="AJ67" i="8"/>
  <c r="AJ66" i="8"/>
  <c r="AJ65" i="8"/>
  <c r="AJ64" i="8"/>
  <c r="AJ63" i="8"/>
  <c r="AJ62" i="8"/>
  <c r="AJ61" i="8"/>
  <c r="AJ60" i="8"/>
  <c r="AJ59" i="8"/>
  <c r="AJ58" i="8"/>
  <c r="AJ57" i="8"/>
  <c r="AJ56" i="8"/>
  <c r="AJ55" i="8"/>
  <c r="AJ54" i="8"/>
  <c r="AJ53" i="8"/>
  <c r="AJ52" i="8"/>
  <c r="AJ51" i="8"/>
  <c r="AJ50" i="8"/>
  <c r="AJ49" i="8"/>
  <c r="AJ48" i="8"/>
  <c r="AJ47" i="8"/>
  <c r="AJ46" i="8"/>
  <c r="AJ45" i="8"/>
  <c r="AJ44" i="8"/>
  <c r="AJ43" i="8"/>
  <c r="AJ42" i="8"/>
  <c r="AJ41" i="8"/>
  <c r="AJ40" i="8"/>
  <c r="AJ39" i="8"/>
  <c r="AJ38" i="8"/>
  <c r="AJ37" i="8"/>
  <c r="AJ36" i="8"/>
  <c r="AJ35" i="8"/>
  <c r="AJ34" i="8"/>
  <c r="AJ33" i="8"/>
  <c r="AJ32" i="8"/>
  <c r="AJ31" i="8"/>
  <c r="AJ30" i="8"/>
  <c r="AJ29" i="8"/>
  <c r="AJ28" i="8"/>
  <c r="AJ27" i="8"/>
  <c r="AJ26" i="8"/>
  <c r="AJ25" i="8"/>
  <c r="AJ24" i="8"/>
  <c r="AJ23" i="8"/>
  <c r="AJ22" i="8"/>
  <c r="AJ21" i="8"/>
  <c r="AJ20" i="8"/>
  <c r="AJ19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I121" i="5" l="1"/>
  <c r="AI119" i="5"/>
  <c r="AI111" i="4"/>
  <c r="BL218" i="12"/>
  <c r="BO224" i="12"/>
  <c r="BN226" i="12"/>
  <c r="BN225" i="12"/>
  <c r="BN224" i="12"/>
  <c r="BM226" i="12"/>
  <c r="BL222" i="12"/>
  <c r="BN223" i="12"/>
  <c r="BM225" i="12"/>
  <c r="BL221" i="12"/>
  <c r="BO226" i="12"/>
  <c r="BN222" i="12"/>
  <c r="BM224" i="12"/>
  <c r="BL226" i="12"/>
  <c r="BK226" i="12" s="1"/>
  <c r="BO225" i="12"/>
  <c r="BM223" i="12"/>
  <c r="BL225" i="12"/>
  <c r="AN53" i="6"/>
  <c r="AC53" i="6" s="1"/>
  <c r="AF53" i="6" s="1"/>
  <c r="AO52" i="6"/>
  <c r="AD52" i="6" s="1"/>
  <c r="AG52" i="6" s="1"/>
  <c r="AN53" i="4"/>
  <c r="AC53" i="4" s="1"/>
  <c r="AF53" i="4" s="1"/>
  <c r="AO53" i="4"/>
  <c r="AD53" i="4" s="1"/>
  <c r="AG53" i="4" s="1"/>
  <c r="AO51" i="4"/>
  <c r="AD51" i="4" s="1"/>
  <c r="AG51" i="4" s="1"/>
  <c r="AO50" i="3"/>
  <c r="AD50" i="3" s="1"/>
  <c r="AG50" i="3" s="1"/>
  <c r="AN53" i="3"/>
  <c r="AC53" i="3" s="1"/>
  <c r="AF53" i="3" s="1"/>
  <c r="AM51" i="3"/>
  <c r="AB51" i="3" s="1"/>
  <c r="AE51" i="3" s="1"/>
  <c r="AI51" i="3" s="1"/>
  <c r="BO223" i="12"/>
  <c r="BM221" i="12"/>
  <c r="BL223" i="12"/>
  <c r="BK223" i="12" s="1"/>
  <c r="BO222" i="12"/>
  <c r="BO221" i="12"/>
  <c r="BM222" i="12"/>
  <c r="BL224" i="12"/>
  <c r="BK224" i="12" s="1"/>
  <c r="BL216" i="12"/>
  <c r="BN219" i="12"/>
  <c r="BM218" i="12"/>
  <c r="BM216" i="12"/>
  <c r="BN216" i="12"/>
  <c r="BM217" i="12"/>
  <c r="BO220" i="12"/>
  <c r="BM220" i="12"/>
  <c r="BO218" i="12"/>
  <c r="BN217" i="12"/>
  <c r="BO219" i="12"/>
  <c r="BN218" i="12"/>
  <c r="BO217" i="12"/>
  <c r="BL220" i="12"/>
  <c r="BO216" i="12"/>
  <c r="BM219" i="12"/>
  <c r="BN220" i="12"/>
  <c r="BL219" i="12"/>
  <c r="BK56" i="1"/>
  <c r="BK60" i="1"/>
  <c r="BK57" i="1"/>
  <c r="BK58" i="1"/>
  <c r="AH66" i="15"/>
  <c r="AH67" i="15"/>
  <c r="AI66" i="15"/>
  <c r="AI67" i="15"/>
  <c r="AJ66" i="15"/>
  <c r="AJ67" i="15"/>
  <c r="AK66" i="15"/>
  <c r="AK67" i="15"/>
  <c r="AL66" i="15"/>
  <c r="AL67" i="15"/>
  <c r="AM66" i="15"/>
  <c r="AM67" i="15"/>
  <c r="AN66" i="15"/>
  <c r="AN67" i="15"/>
  <c r="AO66" i="15"/>
  <c r="AO67" i="15"/>
  <c r="AP66" i="15"/>
  <c r="AP67" i="15"/>
  <c r="AQ66" i="15"/>
  <c r="AQ67" i="15"/>
  <c r="AR66" i="15"/>
  <c r="AR67" i="15"/>
  <c r="AS66" i="15"/>
  <c r="AS67" i="15"/>
  <c r="AK43" i="15"/>
  <c r="AK44" i="15"/>
  <c r="AL43" i="15"/>
  <c r="AL44" i="15"/>
  <c r="AM43" i="15"/>
  <c r="AM44" i="15"/>
  <c r="AN43" i="15"/>
  <c r="AN44" i="15"/>
  <c r="AO43" i="15"/>
  <c r="AO44" i="15"/>
  <c r="AP43" i="15"/>
  <c r="AP44" i="15"/>
  <c r="AQ43" i="15"/>
  <c r="AQ44" i="15"/>
  <c r="AR43" i="15"/>
  <c r="AR44" i="15"/>
  <c r="AS43" i="15"/>
  <c r="AS44" i="15"/>
  <c r="AT43" i="15"/>
  <c r="AT44" i="15"/>
  <c r="AU43" i="15"/>
  <c r="AU44" i="15"/>
  <c r="AV43" i="15"/>
  <c r="AV44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V19" i="15"/>
  <c r="AV18" i="15"/>
  <c r="AV17" i="15"/>
  <c r="AV16" i="15"/>
  <c r="AV15" i="15"/>
  <c r="AV14" i="15"/>
  <c r="AV13" i="15"/>
  <c r="AV12" i="15"/>
  <c r="AV11" i="15"/>
  <c r="AV10" i="15"/>
  <c r="AV9" i="15"/>
  <c r="AV8" i="15"/>
  <c r="AV7" i="15"/>
  <c r="AV6" i="15"/>
  <c r="AV5" i="15"/>
  <c r="AU19" i="15"/>
  <c r="AU18" i="15"/>
  <c r="AU17" i="15"/>
  <c r="AU16" i="15"/>
  <c r="AU15" i="15"/>
  <c r="AU14" i="15"/>
  <c r="AU13" i="15"/>
  <c r="AU12" i="15"/>
  <c r="AU11" i="15"/>
  <c r="AU10" i="15"/>
  <c r="AU9" i="15"/>
  <c r="AU8" i="15"/>
  <c r="AU7" i="15"/>
  <c r="AU6" i="15"/>
  <c r="AU5" i="15"/>
  <c r="AT19" i="15"/>
  <c r="AT18" i="15"/>
  <c r="AT17" i="15"/>
  <c r="AT16" i="15"/>
  <c r="AT15" i="15"/>
  <c r="AT14" i="15"/>
  <c r="AT13" i="15"/>
  <c r="AT12" i="15"/>
  <c r="AT11" i="15"/>
  <c r="AT10" i="15"/>
  <c r="AT9" i="15"/>
  <c r="AT8" i="15"/>
  <c r="AT7" i="15"/>
  <c r="AT6" i="15"/>
  <c r="AT5" i="15"/>
  <c r="AV4" i="15"/>
  <c r="AU4" i="15"/>
  <c r="AT4" i="15"/>
  <c r="AS19" i="15"/>
  <c r="AS18" i="15"/>
  <c r="AS17" i="15"/>
  <c r="AS16" i="15"/>
  <c r="AS15" i="15"/>
  <c r="AS14" i="15"/>
  <c r="AS13" i="15"/>
  <c r="AS12" i="15"/>
  <c r="AS11" i="15"/>
  <c r="AS10" i="15"/>
  <c r="AS9" i="15"/>
  <c r="AS8" i="15"/>
  <c r="AS7" i="15"/>
  <c r="AS6" i="15"/>
  <c r="AS5" i="15"/>
  <c r="AR19" i="15"/>
  <c r="AR18" i="15"/>
  <c r="AR17" i="15"/>
  <c r="AR16" i="15"/>
  <c r="AR15" i="15"/>
  <c r="AR14" i="15"/>
  <c r="AR13" i="15"/>
  <c r="AR12" i="15"/>
  <c r="AR11" i="15"/>
  <c r="AR10" i="15"/>
  <c r="AR9" i="15"/>
  <c r="AR8" i="15"/>
  <c r="AR7" i="15"/>
  <c r="AR6" i="15"/>
  <c r="AR5" i="15"/>
  <c r="AQ19" i="15"/>
  <c r="AQ18" i="15"/>
  <c r="AQ17" i="15"/>
  <c r="AQ16" i="15"/>
  <c r="AQ15" i="15"/>
  <c r="AQ14" i="15"/>
  <c r="AQ13" i="15"/>
  <c r="AQ12" i="15"/>
  <c r="AQ11" i="15"/>
  <c r="AQ10" i="15"/>
  <c r="AQ9" i="15"/>
  <c r="AQ8" i="15"/>
  <c r="AQ7" i="15"/>
  <c r="AQ6" i="15"/>
  <c r="AQ5" i="15"/>
  <c r="AS4" i="15"/>
  <c r="AR4" i="15"/>
  <c r="AQ4" i="15"/>
  <c r="AP19" i="15"/>
  <c r="AP18" i="15"/>
  <c r="AP17" i="15"/>
  <c r="AP16" i="15"/>
  <c r="AP15" i="15"/>
  <c r="AP14" i="15"/>
  <c r="AP13" i="15"/>
  <c r="AP12" i="15"/>
  <c r="AP11" i="15"/>
  <c r="AP10" i="15"/>
  <c r="AP9" i="15"/>
  <c r="AP8" i="15"/>
  <c r="AP7" i="15"/>
  <c r="AP6" i="15"/>
  <c r="AP5" i="15"/>
  <c r="AO19" i="15"/>
  <c r="AO18" i="15"/>
  <c r="AO17" i="15"/>
  <c r="AO16" i="15"/>
  <c r="AO15" i="15"/>
  <c r="AO14" i="15"/>
  <c r="AO13" i="15"/>
  <c r="AO12" i="15"/>
  <c r="AO11" i="15"/>
  <c r="AO10" i="15"/>
  <c r="AO9" i="15"/>
  <c r="AO8" i="15"/>
  <c r="AO7" i="15"/>
  <c r="AO6" i="15"/>
  <c r="AO5" i="15"/>
  <c r="AN19" i="15"/>
  <c r="AN18" i="15"/>
  <c r="AN17" i="15"/>
  <c r="AN16" i="15"/>
  <c r="AN15" i="15"/>
  <c r="AN14" i="15"/>
  <c r="AN13" i="15"/>
  <c r="AN12" i="15"/>
  <c r="AN11" i="15"/>
  <c r="AN10" i="15"/>
  <c r="AN9" i="15"/>
  <c r="AN8" i="15"/>
  <c r="AN7" i="15"/>
  <c r="AN6" i="15"/>
  <c r="AN5" i="15"/>
  <c r="AP4" i="15"/>
  <c r="AO4" i="15"/>
  <c r="AN4" i="15"/>
  <c r="AM19" i="15"/>
  <c r="AM18" i="15"/>
  <c r="AM17" i="15"/>
  <c r="AM16" i="15"/>
  <c r="AM15" i="15"/>
  <c r="AM14" i="15"/>
  <c r="AM13" i="15"/>
  <c r="AM12" i="15"/>
  <c r="AM11" i="15"/>
  <c r="AM10" i="15"/>
  <c r="AM9" i="15"/>
  <c r="AM8" i="15"/>
  <c r="AM7" i="15"/>
  <c r="AM6" i="15"/>
  <c r="AM5" i="15"/>
  <c r="AM4" i="15"/>
  <c r="AL19" i="15"/>
  <c r="AL18" i="15"/>
  <c r="AL17" i="15"/>
  <c r="AL16" i="15"/>
  <c r="AL15" i="15"/>
  <c r="AL14" i="15"/>
  <c r="AL13" i="15"/>
  <c r="AL12" i="15"/>
  <c r="AL11" i="15"/>
  <c r="AL10" i="15"/>
  <c r="AL9" i="15"/>
  <c r="AL8" i="15"/>
  <c r="AL7" i="15"/>
  <c r="AL6" i="15"/>
  <c r="AL5" i="15"/>
  <c r="AL4" i="15"/>
  <c r="AK19" i="15"/>
  <c r="AK18" i="15"/>
  <c r="AK17" i="15"/>
  <c r="AK16" i="15"/>
  <c r="AK15" i="15"/>
  <c r="AK14" i="15"/>
  <c r="AK13" i="15"/>
  <c r="AK12" i="15"/>
  <c r="AK11" i="15"/>
  <c r="AK10" i="15"/>
  <c r="AK9" i="15"/>
  <c r="AK8" i="15"/>
  <c r="AK7" i="15"/>
  <c r="AK6" i="15"/>
  <c r="AK5" i="15"/>
  <c r="AK4" i="15"/>
  <c r="AS65" i="15"/>
  <c r="AR65" i="15"/>
  <c r="AQ65" i="15"/>
  <c r="AP65" i="15"/>
  <c r="AO65" i="15"/>
  <c r="AN65" i="15"/>
  <c r="AM65" i="15"/>
  <c r="AL65" i="15"/>
  <c r="AK65" i="15"/>
  <c r="AJ65" i="15"/>
  <c r="AI65" i="15"/>
  <c r="AH65" i="15"/>
  <c r="AS64" i="15"/>
  <c r="AR64" i="15"/>
  <c r="AQ64" i="15"/>
  <c r="AP64" i="15"/>
  <c r="AO64" i="15"/>
  <c r="AN64" i="15"/>
  <c r="AM64" i="15"/>
  <c r="AL64" i="15"/>
  <c r="AK64" i="15"/>
  <c r="AJ64" i="15"/>
  <c r="AI64" i="15"/>
  <c r="AH64" i="15"/>
  <c r="AS63" i="15"/>
  <c r="AR63" i="15"/>
  <c r="AQ63" i="15"/>
  <c r="AP63" i="15"/>
  <c r="AO63" i="15"/>
  <c r="AN63" i="15"/>
  <c r="AM63" i="15"/>
  <c r="AL63" i="15"/>
  <c r="AK63" i="15"/>
  <c r="AJ63" i="15"/>
  <c r="AI63" i="15"/>
  <c r="AH63" i="15"/>
  <c r="AS62" i="15"/>
  <c r="AR62" i="15"/>
  <c r="AQ62" i="15"/>
  <c r="AP62" i="15"/>
  <c r="AO62" i="15"/>
  <c r="AN62" i="15"/>
  <c r="AM62" i="15"/>
  <c r="AL62" i="15"/>
  <c r="AK62" i="15"/>
  <c r="AJ62" i="15"/>
  <c r="AI62" i="15"/>
  <c r="AH62" i="15"/>
  <c r="AS61" i="15"/>
  <c r="AR61" i="15"/>
  <c r="AQ61" i="15"/>
  <c r="AP61" i="15"/>
  <c r="AO61" i="15"/>
  <c r="AN61" i="15"/>
  <c r="AM61" i="15"/>
  <c r="AL61" i="15"/>
  <c r="AK61" i="15"/>
  <c r="AJ61" i="15"/>
  <c r="AI61" i="15"/>
  <c r="AH61" i="15"/>
  <c r="AS60" i="15"/>
  <c r="AR60" i="15"/>
  <c r="AQ60" i="15"/>
  <c r="AP60" i="15"/>
  <c r="AO60" i="15"/>
  <c r="AN60" i="15"/>
  <c r="AM60" i="15"/>
  <c r="AL60" i="15"/>
  <c r="AK60" i="15"/>
  <c r="AJ60" i="15"/>
  <c r="AI60" i="15"/>
  <c r="AH60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J19" i="15"/>
  <c r="AJ18" i="15"/>
  <c r="AJ17" i="15"/>
  <c r="AJ16" i="15"/>
  <c r="AJ15" i="15"/>
  <c r="AJ14" i="15"/>
  <c r="AJ13" i="15"/>
  <c r="AJ12" i="15"/>
  <c r="AJ11" i="15"/>
  <c r="AJ10" i="15"/>
  <c r="AJ9" i="15"/>
  <c r="AJ8" i="15"/>
  <c r="AJ7" i="15"/>
  <c r="AJ6" i="15"/>
  <c r="AJ5" i="15"/>
  <c r="AJ4" i="15"/>
  <c r="AY10" i="3"/>
  <c r="AN52" i="3" s="1"/>
  <c r="AC52" i="3" s="1"/>
  <c r="AF52" i="3" s="1"/>
  <c r="AY10" i="5"/>
  <c r="AO60" i="5" s="1"/>
  <c r="AD60" i="5" s="1"/>
  <c r="AG60" i="5" s="1"/>
  <c r="AY10" i="4"/>
  <c r="AM56" i="4" s="1"/>
  <c r="AB56" i="4" s="1"/>
  <c r="AE56" i="4" s="1"/>
  <c r="AI56" i="4" s="1"/>
  <c r="AY10" i="6"/>
  <c r="AM53" i="6" s="1"/>
  <c r="AB53" i="6" s="1"/>
  <c r="AE53" i="6" s="1"/>
  <c r="AI53" i="6" s="1"/>
  <c r="CH2" i="12"/>
  <c r="BT10" i="11"/>
  <c r="BI18" i="11" s="1"/>
  <c r="AS18" i="11" s="1"/>
  <c r="AV18" i="11" s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30" i="1"/>
  <c r="BJ29" i="1"/>
  <c r="BJ32" i="1"/>
  <c r="BJ31" i="1"/>
  <c r="BJ33" i="1"/>
  <c r="BJ34" i="1"/>
  <c r="BJ35" i="1"/>
  <c r="BJ36" i="1"/>
  <c r="BJ37" i="1"/>
  <c r="BJ38" i="1"/>
  <c r="BJ41" i="1"/>
  <c r="BJ39" i="1"/>
  <c r="BJ40" i="1"/>
  <c r="BJ42" i="1"/>
  <c r="BJ44" i="1"/>
  <c r="BJ43" i="1"/>
  <c r="BJ45" i="1"/>
  <c r="BJ46" i="1"/>
  <c r="BJ47" i="1"/>
  <c r="BJ48" i="1"/>
  <c r="BJ49" i="1"/>
  <c r="BJ50" i="1"/>
  <c r="BJ51" i="1"/>
  <c r="BJ52" i="1"/>
  <c r="BJ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30" i="1"/>
  <c r="BI29" i="1"/>
  <c r="BI32" i="1"/>
  <c r="BI31" i="1"/>
  <c r="BI33" i="1"/>
  <c r="BI34" i="1"/>
  <c r="BI35" i="1"/>
  <c r="BI36" i="1"/>
  <c r="BI37" i="1"/>
  <c r="BI38" i="1"/>
  <c r="BI41" i="1"/>
  <c r="BI39" i="1"/>
  <c r="BI40" i="1"/>
  <c r="BI42" i="1"/>
  <c r="BI44" i="1"/>
  <c r="BI43" i="1"/>
  <c r="BI45" i="1"/>
  <c r="BI46" i="1"/>
  <c r="BI47" i="1"/>
  <c r="BI48" i="1"/>
  <c r="BI49" i="1"/>
  <c r="BI50" i="1"/>
  <c r="BI51" i="1"/>
  <c r="BI52" i="1"/>
  <c r="BI4" i="1"/>
  <c r="BH5" i="1"/>
  <c r="BH6" i="1"/>
  <c r="BH7" i="1"/>
  <c r="BH8" i="1"/>
  <c r="BH9" i="1"/>
  <c r="BH10" i="1"/>
  <c r="BH11" i="1"/>
  <c r="BO11" i="1" s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O27" i="1" s="1"/>
  <c r="BH28" i="1"/>
  <c r="BH30" i="1"/>
  <c r="BH29" i="1"/>
  <c r="BH32" i="1"/>
  <c r="BH31" i="1"/>
  <c r="BH33" i="1"/>
  <c r="BH34" i="1"/>
  <c r="BH35" i="1"/>
  <c r="BH36" i="1"/>
  <c r="BH37" i="1"/>
  <c r="BH38" i="1"/>
  <c r="BH41" i="1"/>
  <c r="BH39" i="1"/>
  <c r="BH40" i="1"/>
  <c r="BH42" i="1"/>
  <c r="BH44" i="1"/>
  <c r="BO44" i="1" s="1"/>
  <c r="BH43" i="1"/>
  <c r="BH45" i="1"/>
  <c r="BO45" i="1" s="1"/>
  <c r="BH46" i="1"/>
  <c r="BO46" i="1" s="1"/>
  <c r="BH47" i="1"/>
  <c r="BO47" i="1" s="1"/>
  <c r="BH48" i="1"/>
  <c r="BH49" i="1"/>
  <c r="BH50" i="1"/>
  <c r="BH51" i="1"/>
  <c r="BH52" i="1"/>
  <c r="BH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30" i="1"/>
  <c r="BG29" i="1"/>
  <c r="BG32" i="1"/>
  <c r="BG31" i="1"/>
  <c r="BG33" i="1"/>
  <c r="BG34" i="1"/>
  <c r="BG35" i="1"/>
  <c r="BG36" i="1"/>
  <c r="BG37" i="1"/>
  <c r="BG38" i="1"/>
  <c r="BG41" i="1"/>
  <c r="BG39" i="1"/>
  <c r="BG40" i="1"/>
  <c r="BG42" i="1"/>
  <c r="BG44" i="1"/>
  <c r="BG43" i="1"/>
  <c r="BG45" i="1"/>
  <c r="BG46" i="1"/>
  <c r="BG47" i="1"/>
  <c r="BG48" i="1"/>
  <c r="BG49" i="1"/>
  <c r="BG50" i="1"/>
  <c r="BG51" i="1"/>
  <c r="BG52" i="1"/>
  <c r="BG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30" i="1"/>
  <c r="BF29" i="1"/>
  <c r="BF32" i="1"/>
  <c r="BF31" i="1"/>
  <c r="BF33" i="1"/>
  <c r="BF34" i="1"/>
  <c r="BF35" i="1"/>
  <c r="BF36" i="1"/>
  <c r="BF37" i="1"/>
  <c r="BF38" i="1"/>
  <c r="BF41" i="1"/>
  <c r="BF39" i="1"/>
  <c r="BF40" i="1"/>
  <c r="BF42" i="1"/>
  <c r="BF44" i="1"/>
  <c r="BF43" i="1"/>
  <c r="BF45" i="1"/>
  <c r="BF46" i="1"/>
  <c r="BF47" i="1"/>
  <c r="BF48" i="1"/>
  <c r="BF49" i="1"/>
  <c r="BF50" i="1"/>
  <c r="BF51" i="1"/>
  <c r="BF52" i="1"/>
  <c r="BF4" i="1"/>
  <c r="BE5" i="1"/>
  <c r="BN5" i="1" s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N21" i="1" s="1"/>
  <c r="BE22" i="1"/>
  <c r="BE23" i="1"/>
  <c r="BE24" i="1"/>
  <c r="BE25" i="1"/>
  <c r="BE26" i="1"/>
  <c r="BE27" i="1"/>
  <c r="BE28" i="1"/>
  <c r="BE30" i="1"/>
  <c r="BE29" i="1"/>
  <c r="BE32" i="1"/>
  <c r="BE31" i="1"/>
  <c r="BE33" i="1"/>
  <c r="BE34" i="1"/>
  <c r="BE35" i="1"/>
  <c r="BE36" i="1"/>
  <c r="BE37" i="1"/>
  <c r="BN37" i="1" s="1"/>
  <c r="BE38" i="1"/>
  <c r="BE41" i="1"/>
  <c r="BE39" i="1"/>
  <c r="BE40" i="1"/>
  <c r="BE42" i="1"/>
  <c r="BE44" i="1"/>
  <c r="BE43" i="1"/>
  <c r="BE45" i="1"/>
  <c r="BE46" i="1"/>
  <c r="BE47" i="1"/>
  <c r="BE48" i="1"/>
  <c r="BE49" i="1"/>
  <c r="BE50" i="1"/>
  <c r="BE51" i="1"/>
  <c r="BE52" i="1"/>
  <c r="BE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30" i="1"/>
  <c r="BD29" i="1"/>
  <c r="BD32" i="1"/>
  <c r="BD31" i="1"/>
  <c r="BD33" i="1"/>
  <c r="BD34" i="1"/>
  <c r="BD35" i="1"/>
  <c r="BD36" i="1"/>
  <c r="BD37" i="1"/>
  <c r="BD38" i="1"/>
  <c r="BD41" i="1"/>
  <c r="BD39" i="1"/>
  <c r="BD40" i="1"/>
  <c r="BD42" i="1"/>
  <c r="BD44" i="1"/>
  <c r="BD43" i="1"/>
  <c r="BD45" i="1"/>
  <c r="BD46" i="1"/>
  <c r="BD47" i="1"/>
  <c r="BD48" i="1"/>
  <c r="BD49" i="1"/>
  <c r="BD50" i="1"/>
  <c r="BD51" i="1"/>
  <c r="BD52" i="1"/>
  <c r="BD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30" i="1"/>
  <c r="BC29" i="1"/>
  <c r="BC32" i="1"/>
  <c r="BC31" i="1"/>
  <c r="BC33" i="1"/>
  <c r="BC34" i="1"/>
  <c r="BC35" i="1"/>
  <c r="BC36" i="1"/>
  <c r="BC37" i="1"/>
  <c r="BC38" i="1"/>
  <c r="BC41" i="1"/>
  <c r="BC39" i="1"/>
  <c r="BC40" i="1"/>
  <c r="BC42" i="1"/>
  <c r="BC44" i="1"/>
  <c r="BC43" i="1"/>
  <c r="BC45" i="1"/>
  <c r="BC46" i="1"/>
  <c r="BC47" i="1"/>
  <c r="BC48" i="1"/>
  <c r="BC49" i="1"/>
  <c r="BC50" i="1"/>
  <c r="BC51" i="1"/>
  <c r="BC52" i="1"/>
  <c r="BC4" i="1"/>
  <c r="BB5" i="1"/>
  <c r="BB6" i="1"/>
  <c r="BB7" i="1"/>
  <c r="BB8" i="1"/>
  <c r="BB9" i="1"/>
  <c r="BB10" i="1"/>
  <c r="BB11" i="1"/>
  <c r="BB12" i="1"/>
  <c r="BB13" i="1"/>
  <c r="BB14" i="1"/>
  <c r="BB15" i="1"/>
  <c r="BM15" i="1" s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30" i="1"/>
  <c r="BB29" i="1"/>
  <c r="BB32" i="1"/>
  <c r="BM32" i="1" s="1"/>
  <c r="BB31" i="1"/>
  <c r="BB33" i="1"/>
  <c r="BB34" i="1"/>
  <c r="BB35" i="1"/>
  <c r="BB36" i="1"/>
  <c r="BB37" i="1"/>
  <c r="BB38" i="1"/>
  <c r="BB41" i="1"/>
  <c r="BB39" i="1"/>
  <c r="BB40" i="1"/>
  <c r="BB42" i="1"/>
  <c r="BB44" i="1"/>
  <c r="BB43" i="1"/>
  <c r="BB45" i="1"/>
  <c r="BB46" i="1"/>
  <c r="BB47" i="1"/>
  <c r="BM47" i="1" s="1"/>
  <c r="BB48" i="1"/>
  <c r="BB49" i="1"/>
  <c r="BB50" i="1"/>
  <c r="BB51" i="1"/>
  <c r="BB52" i="1"/>
  <c r="BB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30" i="1"/>
  <c r="BA29" i="1"/>
  <c r="BA32" i="1"/>
  <c r="BA31" i="1"/>
  <c r="BA33" i="1"/>
  <c r="BA34" i="1"/>
  <c r="BA35" i="1"/>
  <c r="BA36" i="1"/>
  <c r="BA37" i="1"/>
  <c r="BA38" i="1"/>
  <c r="BA41" i="1"/>
  <c r="BA39" i="1"/>
  <c r="BA40" i="1"/>
  <c r="BA42" i="1"/>
  <c r="BA44" i="1"/>
  <c r="BA43" i="1"/>
  <c r="BA45" i="1"/>
  <c r="BA46" i="1"/>
  <c r="BA47" i="1"/>
  <c r="BA48" i="1"/>
  <c r="BA49" i="1"/>
  <c r="BA50" i="1"/>
  <c r="BA51" i="1"/>
  <c r="BA52" i="1"/>
  <c r="BA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30" i="1"/>
  <c r="AZ29" i="1"/>
  <c r="AZ32" i="1"/>
  <c r="AZ31" i="1"/>
  <c r="AZ33" i="1"/>
  <c r="AZ34" i="1"/>
  <c r="AZ35" i="1"/>
  <c r="AZ36" i="1"/>
  <c r="AZ37" i="1"/>
  <c r="AZ38" i="1"/>
  <c r="AZ41" i="1"/>
  <c r="AZ39" i="1"/>
  <c r="AZ40" i="1"/>
  <c r="AZ42" i="1"/>
  <c r="AZ44" i="1"/>
  <c r="AZ43" i="1"/>
  <c r="AZ45" i="1"/>
  <c r="AZ46" i="1"/>
  <c r="AZ47" i="1"/>
  <c r="AZ48" i="1"/>
  <c r="AZ49" i="1"/>
  <c r="AZ50" i="1"/>
  <c r="AZ51" i="1"/>
  <c r="AZ52" i="1"/>
  <c r="AZ4" i="1"/>
  <c r="AY5" i="1"/>
  <c r="AY6" i="1"/>
  <c r="AY7" i="1"/>
  <c r="AY8" i="1"/>
  <c r="AY9" i="1"/>
  <c r="BL9" i="1" s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BL25" i="1" s="1"/>
  <c r="AY26" i="1"/>
  <c r="AY27" i="1"/>
  <c r="AY28" i="1"/>
  <c r="AY30" i="1"/>
  <c r="AY29" i="1"/>
  <c r="AY32" i="1"/>
  <c r="AY31" i="1"/>
  <c r="AY33" i="1"/>
  <c r="AY34" i="1"/>
  <c r="AY35" i="1"/>
  <c r="AY36" i="1"/>
  <c r="AY37" i="1"/>
  <c r="AY38" i="1"/>
  <c r="AY41" i="1"/>
  <c r="AY39" i="1"/>
  <c r="AY40" i="1"/>
  <c r="BL40" i="1" s="1"/>
  <c r="AY42" i="1"/>
  <c r="AY44" i="1"/>
  <c r="AY43" i="1"/>
  <c r="AY45" i="1"/>
  <c r="AY46" i="1"/>
  <c r="AY47" i="1"/>
  <c r="AY48" i="1"/>
  <c r="AY49" i="1"/>
  <c r="AY50" i="1"/>
  <c r="AY51" i="1"/>
  <c r="AY52" i="1"/>
  <c r="AY4" i="1"/>
  <c r="AE102" i="4"/>
  <c r="AX2" i="3"/>
  <c r="AH14" i="6"/>
  <c r="AY154" i="12"/>
  <c r="AY118" i="12"/>
  <c r="AY214" i="12"/>
  <c r="AY215" i="12"/>
  <c r="AZ123" i="12"/>
  <c r="AZ154" i="12"/>
  <c r="AZ118" i="12"/>
  <c r="AZ214" i="12"/>
  <c r="AZ215" i="12"/>
  <c r="BA123" i="12"/>
  <c r="BA154" i="12"/>
  <c r="BA118" i="12"/>
  <c r="BA214" i="12"/>
  <c r="BA215" i="12"/>
  <c r="BB123" i="12"/>
  <c r="BB154" i="12"/>
  <c r="BB118" i="12"/>
  <c r="BB214" i="12"/>
  <c r="BB215" i="12"/>
  <c r="BC123" i="12"/>
  <c r="BC154" i="12"/>
  <c r="BC118" i="12"/>
  <c r="BC214" i="12"/>
  <c r="BC215" i="12"/>
  <c r="BD123" i="12"/>
  <c r="BD154" i="12"/>
  <c r="BD118" i="12"/>
  <c r="BD214" i="12"/>
  <c r="BD215" i="12"/>
  <c r="BE123" i="12"/>
  <c r="BE154" i="12"/>
  <c r="BE118" i="12"/>
  <c r="BE214" i="12"/>
  <c r="BE215" i="12"/>
  <c r="BF123" i="12"/>
  <c r="BF154" i="12"/>
  <c r="BF118" i="12"/>
  <c r="BF214" i="12"/>
  <c r="BF215" i="12"/>
  <c r="BG123" i="12"/>
  <c r="BG154" i="12"/>
  <c r="BG118" i="12"/>
  <c r="BG214" i="12"/>
  <c r="BG215" i="12"/>
  <c r="BH123" i="12"/>
  <c r="BH154" i="12"/>
  <c r="BH118" i="12"/>
  <c r="BH214" i="12"/>
  <c r="BH215" i="12"/>
  <c r="BI123" i="12"/>
  <c r="BI154" i="12"/>
  <c r="BI118" i="12"/>
  <c r="BI214" i="12"/>
  <c r="BI215" i="12"/>
  <c r="BJ123" i="12"/>
  <c r="BJ154" i="12"/>
  <c r="BJ118" i="12"/>
  <c r="BJ214" i="12"/>
  <c r="BJ215" i="12"/>
  <c r="CB5" i="12"/>
  <c r="CB8" i="12"/>
  <c r="CB48" i="12"/>
  <c r="CB100" i="12"/>
  <c r="CC5" i="12"/>
  <c r="CC8" i="12"/>
  <c r="CC48" i="12"/>
  <c r="CC100" i="12"/>
  <c r="CD5" i="12"/>
  <c r="CD8" i="12"/>
  <c r="CD48" i="12"/>
  <c r="CD100" i="12"/>
  <c r="D109" i="6"/>
  <c r="E109" i="6"/>
  <c r="F109" i="6"/>
  <c r="G109" i="6"/>
  <c r="AE109" i="6"/>
  <c r="AF109" i="6"/>
  <c r="AG109" i="6"/>
  <c r="AH109" i="6"/>
  <c r="D51" i="6"/>
  <c r="E51" i="6"/>
  <c r="F51" i="6"/>
  <c r="G51" i="6"/>
  <c r="AH51" i="6"/>
  <c r="AS51" i="6"/>
  <c r="AT51" i="6"/>
  <c r="AU51" i="6"/>
  <c r="D104" i="4"/>
  <c r="D105" i="4"/>
  <c r="D106" i="4"/>
  <c r="D107" i="4"/>
  <c r="E104" i="4"/>
  <c r="E105" i="4"/>
  <c r="E106" i="4"/>
  <c r="E107" i="4"/>
  <c r="F104" i="4"/>
  <c r="F105" i="4"/>
  <c r="F106" i="4"/>
  <c r="F107" i="4"/>
  <c r="G104" i="4"/>
  <c r="G105" i="4"/>
  <c r="G106" i="4"/>
  <c r="G107" i="4"/>
  <c r="AE104" i="4"/>
  <c r="AE105" i="4"/>
  <c r="AE106" i="4"/>
  <c r="AE107" i="4"/>
  <c r="AF104" i="4"/>
  <c r="AF105" i="4"/>
  <c r="AF106" i="4"/>
  <c r="AF107" i="4"/>
  <c r="AG104" i="4"/>
  <c r="AG105" i="4"/>
  <c r="AG106" i="4"/>
  <c r="AG107" i="4"/>
  <c r="AH104" i="4"/>
  <c r="AH105" i="4"/>
  <c r="AH106" i="4"/>
  <c r="AH107" i="4"/>
  <c r="D47" i="4"/>
  <c r="D48" i="4"/>
  <c r="D49" i="4"/>
  <c r="D50" i="4"/>
  <c r="E47" i="4"/>
  <c r="E48" i="4"/>
  <c r="E49" i="4"/>
  <c r="E50" i="4"/>
  <c r="F47" i="4"/>
  <c r="F48" i="4"/>
  <c r="F49" i="4"/>
  <c r="F50" i="4"/>
  <c r="G47" i="4"/>
  <c r="G48" i="4"/>
  <c r="G49" i="4"/>
  <c r="G50" i="4"/>
  <c r="AH47" i="4"/>
  <c r="AH48" i="4"/>
  <c r="AH49" i="4"/>
  <c r="AH50" i="4"/>
  <c r="AS47" i="4"/>
  <c r="AS48" i="4"/>
  <c r="AS49" i="4"/>
  <c r="AS50" i="4"/>
  <c r="AT47" i="4"/>
  <c r="AT48" i="4"/>
  <c r="AT49" i="4"/>
  <c r="AT50" i="4"/>
  <c r="AU47" i="4"/>
  <c r="AU48" i="4"/>
  <c r="AU49" i="4"/>
  <c r="AU50" i="4"/>
  <c r="D111" i="5"/>
  <c r="D112" i="5"/>
  <c r="D113" i="5"/>
  <c r="D114" i="5"/>
  <c r="D115" i="5"/>
  <c r="D116" i="5"/>
  <c r="D117" i="5"/>
  <c r="E111" i="5"/>
  <c r="E112" i="5"/>
  <c r="E113" i="5"/>
  <c r="E114" i="5"/>
  <c r="E115" i="5"/>
  <c r="E116" i="5"/>
  <c r="E117" i="5"/>
  <c r="F111" i="5"/>
  <c r="F112" i="5"/>
  <c r="F113" i="5"/>
  <c r="F114" i="5"/>
  <c r="F115" i="5"/>
  <c r="F116" i="5"/>
  <c r="F117" i="5"/>
  <c r="G111" i="5"/>
  <c r="G112" i="5"/>
  <c r="G113" i="5"/>
  <c r="G114" i="5"/>
  <c r="G115" i="5"/>
  <c r="G116" i="5"/>
  <c r="G117" i="5"/>
  <c r="AE111" i="5"/>
  <c r="AE112" i="5"/>
  <c r="AE113" i="5"/>
  <c r="AE114" i="5"/>
  <c r="AE115" i="5"/>
  <c r="AE116" i="5"/>
  <c r="AE117" i="5"/>
  <c r="AF111" i="5"/>
  <c r="AF112" i="5"/>
  <c r="AF113" i="5"/>
  <c r="AF114" i="5"/>
  <c r="AF115" i="5"/>
  <c r="AF116" i="5"/>
  <c r="AF117" i="5"/>
  <c r="AG111" i="5"/>
  <c r="AG112" i="5"/>
  <c r="AG113" i="5"/>
  <c r="AG114" i="5"/>
  <c r="AG115" i="5"/>
  <c r="AG116" i="5"/>
  <c r="AG117" i="5"/>
  <c r="AH111" i="5"/>
  <c r="AH112" i="5"/>
  <c r="AH113" i="5"/>
  <c r="AH114" i="5"/>
  <c r="AH115" i="5"/>
  <c r="AH116" i="5"/>
  <c r="AH117" i="5"/>
  <c r="D50" i="5"/>
  <c r="D51" i="5"/>
  <c r="D52" i="5"/>
  <c r="D53" i="5"/>
  <c r="D54" i="5"/>
  <c r="D55" i="5"/>
  <c r="D56" i="5"/>
  <c r="E50" i="5"/>
  <c r="E51" i="5"/>
  <c r="E52" i="5"/>
  <c r="E53" i="5"/>
  <c r="E54" i="5"/>
  <c r="E55" i="5"/>
  <c r="E56" i="5"/>
  <c r="F50" i="5"/>
  <c r="F51" i="5"/>
  <c r="F52" i="5"/>
  <c r="F53" i="5"/>
  <c r="F54" i="5"/>
  <c r="F55" i="5"/>
  <c r="F56" i="5"/>
  <c r="G50" i="5"/>
  <c r="G51" i="5"/>
  <c r="G52" i="5"/>
  <c r="G53" i="5"/>
  <c r="G54" i="5"/>
  <c r="G55" i="5"/>
  <c r="G56" i="5"/>
  <c r="AH50" i="5"/>
  <c r="AH51" i="5"/>
  <c r="AH52" i="5"/>
  <c r="AH53" i="5"/>
  <c r="AH54" i="5"/>
  <c r="AH55" i="5"/>
  <c r="AH56" i="5"/>
  <c r="AS50" i="5"/>
  <c r="AS51" i="5"/>
  <c r="AS52" i="5"/>
  <c r="AS53" i="5"/>
  <c r="AS54" i="5"/>
  <c r="AS55" i="5"/>
  <c r="AS56" i="5"/>
  <c r="AT50" i="5"/>
  <c r="AT51" i="5"/>
  <c r="AT52" i="5"/>
  <c r="AT53" i="5"/>
  <c r="AT54" i="5"/>
  <c r="AT55" i="5"/>
  <c r="AT56" i="5"/>
  <c r="AU50" i="5"/>
  <c r="AU51" i="5"/>
  <c r="AU52" i="5"/>
  <c r="AU53" i="5"/>
  <c r="AU54" i="5"/>
  <c r="AU55" i="5"/>
  <c r="AU56" i="5"/>
  <c r="D102" i="3"/>
  <c r="E102" i="3"/>
  <c r="F102" i="3"/>
  <c r="G102" i="3"/>
  <c r="AE102" i="3"/>
  <c r="AF102" i="3"/>
  <c r="AG102" i="3"/>
  <c r="AH102" i="3"/>
  <c r="D58" i="3"/>
  <c r="E58" i="3"/>
  <c r="F58" i="3"/>
  <c r="G58" i="3"/>
  <c r="D61" i="3"/>
  <c r="E61" i="3"/>
  <c r="F61" i="3"/>
  <c r="G61" i="3"/>
  <c r="D57" i="3"/>
  <c r="E57" i="3"/>
  <c r="F57" i="3"/>
  <c r="G57" i="3"/>
  <c r="D98" i="3"/>
  <c r="E98" i="3"/>
  <c r="F98" i="3"/>
  <c r="G98" i="3"/>
  <c r="D99" i="3"/>
  <c r="E99" i="3"/>
  <c r="F99" i="3"/>
  <c r="G99" i="3"/>
  <c r="D100" i="3"/>
  <c r="E100" i="3"/>
  <c r="F100" i="3"/>
  <c r="G100" i="3"/>
  <c r="D101" i="3"/>
  <c r="E101" i="3"/>
  <c r="F101" i="3"/>
  <c r="G101" i="3"/>
  <c r="AE58" i="3"/>
  <c r="AF58" i="3"/>
  <c r="AG58" i="3"/>
  <c r="AH58" i="3"/>
  <c r="AE99" i="3"/>
  <c r="AF99" i="3"/>
  <c r="AG99" i="3"/>
  <c r="AH99" i="3"/>
  <c r="AE57" i="3"/>
  <c r="AF57" i="3"/>
  <c r="AG57" i="3"/>
  <c r="AH57" i="3"/>
  <c r="AE98" i="3"/>
  <c r="AF98" i="3"/>
  <c r="AG98" i="3"/>
  <c r="AH98" i="3"/>
  <c r="AE100" i="3"/>
  <c r="AF100" i="3"/>
  <c r="AG100" i="3"/>
  <c r="AH100" i="3"/>
  <c r="G9" i="3"/>
  <c r="G3" i="3"/>
  <c r="G44" i="3"/>
  <c r="G45" i="3"/>
  <c r="G46" i="3"/>
  <c r="G47" i="3"/>
  <c r="G48" i="3"/>
  <c r="D9" i="3"/>
  <c r="E9" i="3"/>
  <c r="F9" i="3"/>
  <c r="AH9" i="3"/>
  <c r="AS9" i="3"/>
  <c r="AT9" i="3"/>
  <c r="AU9" i="3"/>
  <c r="D3" i="3"/>
  <c r="E3" i="3"/>
  <c r="F3" i="3"/>
  <c r="AH3" i="3"/>
  <c r="AS3" i="3"/>
  <c r="AT3" i="3"/>
  <c r="AU3" i="3"/>
  <c r="D45" i="3"/>
  <c r="D46" i="3"/>
  <c r="D47" i="3"/>
  <c r="D48" i="3"/>
  <c r="E45" i="3"/>
  <c r="E46" i="3"/>
  <c r="E47" i="3"/>
  <c r="E48" i="3"/>
  <c r="F45" i="3"/>
  <c r="F46" i="3"/>
  <c r="F47" i="3"/>
  <c r="F48" i="3"/>
  <c r="AH45" i="3"/>
  <c r="AH46" i="3"/>
  <c r="AH47" i="3"/>
  <c r="AH48" i="3"/>
  <c r="AS45" i="3"/>
  <c r="AS46" i="3"/>
  <c r="AS47" i="3"/>
  <c r="AS48" i="3"/>
  <c r="AT45" i="3"/>
  <c r="AT46" i="3"/>
  <c r="AT47" i="3"/>
  <c r="AT48" i="3"/>
  <c r="AU45" i="3"/>
  <c r="AU46" i="3"/>
  <c r="AU47" i="3"/>
  <c r="AU48" i="3"/>
  <c r="AY125" i="12"/>
  <c r="AY131" i="12"/>
  <c r="AY122" i="12"/>
  <c r="AY141" i="12"/>
  <c r="AY127" i="12"/>
  <c r="AZ125" i="12"/>
  <c r="AZ131" i="12"/>
  <c r="AZ122" i="12"/>
  <c r="AZ141" i="12"/>
  <c r="AZ127" i="12"/>
  <c r="BA125" i="12"/>
  <c r="BA131" i="12"/>
  <c r="BA122" i="12"/>
  <c r="BA141" i="12"/>
  <c r="BA127" i="12"/>
  <c r="BB125" i="12"/>
  <c r="BB131" i="12"/>
  <c r="BB122" i="12"/>
  <c r="BB141" i="12"/>
  <c r="BB127" i="12"/>
  <c r="BC125" i="12"/>
  <c r="BC131" i="12"/>
  <c r="BC122" i="12"/>
  <c r="BC141" i="12"/>
  <c r="BC127" i="12"/>
  <c r="BD125" i="12"/>
  <c r="BD131" i="12"/>
  <c r="BD122" i="12"/>
  <c r="BD141" i="12"/>
  <c r="BD127" i="12"/>
  <c r="BE125" i="12"/>
  <c r="BE131" i="12"/>
  <c r="BE122" i="12"/>
  <c r="BE141" i="12"/>
  <c r="BE127" i="12"/>
  <c r="BF125" i="12"/>
  <c r="BF131" i="12"/>
  <c r="BF122" i="12"/>
  <c r="BF141" i="12"/>
  <c r="BF127" i="12"/>
  <c r="BG125" i="12"/>
  <c r="BG131" i="12"/>
  <c r="BG122" i="12"/>
  <c r="BG141" i="12"/>
  <c r="BG127" i="12"/>
  <c r="BH125" i="12"/>
  <c r="BH131" i="12"/>
  <c r="BH122" i="12"/>
  <c r="BH141" i="12"/>
  <c r="BH127" i="12"/>
  <c r="BI125" i="12"/>
  <c r="BI131" i="12"/>
  <c r="BI122" i="12"/>
  <c r="BI141" i="12"/>
  <c r="BI127" i="12"/>
  <c r="BJ125" i="12"/>
  <c r="BJ131" i="12"/>
  <c r="BJ122" i="12"/>
  <c r="BJ141" i="12"/>
  <c r="BJ127" i="12"/>
  <c r="CB16" i="12"/>
  <c r="CB17" i="12"/>
  <c r="CB9" i="12"/>
  <c r="CB38" i="12"/>
  <c r="CC16" i="12"/>
  <c r="CC17" i="12"/>
  <c r="CC9" i="12"/>
  <c r="CC38" i="12"/>
  <c r="CD16" i="12"/>
  <c r="CD17" i="12"/>
  <c r="CD9" i="12"/>
  <c r="CD38" i="12"/>
  <c r="G61" i="6"/>
  <c r="G62" i="6"/>
  <c r="G66" i="6"/>
  <c r="G69" i="6"/>
  <c r="G70" i="6"/>
  <c r="G71" i="6"/>
  <c r="G73" i="6"/>
  <c r="G72" i="6"/>
  <c r="G74" i="6"/>
  <c r="G75" i="6"/>
  <c r="G76" i="6"/>
  <c r="G77" i="6"/>
  <c r="G80" i="6"/>
  <c r="G81" i="6"/>
  <c r="G78" i="6"/>
  <c r="G79" i="6"/>
  <c r="G82" i="6"/>
  <c r="G84" i="6"/>
  <c r="G83" i="6"/>
  <c r="G86" i="6"/>
  <c r="G85" i="6"/>
  <c r="G87" i="6"/>
  <c r="G89" i="6"/>
  <c r="G88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65" i="6"/>
  <c r="G67" i="6"/>
  <c r="G64" i="6"/>
  <c r="G68" i="6"/>
  <c r="G63" i="6"/>
  <c r="G105" i="6"/>
  <c r="G106" i="6"/>
  <c r="G107" i="6"/>
  <c r="G108" i="6"/>
  <c r="F61" i="6"/>
  <c r="F62" i="6"/>
  <c r="F66" i="6"/>
  <c r="F69" i="6"/>
  <c r="F70" i="6"/>
  <c r="F71" i="6"/>
  <c r="F73" i="6"/>
  <c r="F72" i="6"/>
  <c r="F74" i="6"/>
  <c r="F75" i="6"/>
  <c r="F76" i="6"/>
  <c r="F77" i="6"/>
  <c r="F80" i="6"/>
  <c r="F81" i="6"/>
  <c r="F78" i="6"/>
  <c r="F79" i="6"/>
  <c r="F82" i="6"/>
  <c r="F84" i="6"/>
  <c r="F83" i="6"/>
  <c r="F86" i="6"/>
  <c r="F85" i="6"/>
  <c r="F87" i="6"/>
  <c r="F89" i="6"/>
  <c r="F88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65" i="6"/>
  <c r="F67" i="6"/>
  <c r="F64" i="6"/>
  <c r="F68" i="6"/>
  <c r="F63" i="6"/>
  <c r="F105" i="6"/>
  <c r="F106" i="6"/>
  <c r="F107" i="6"/>
  <c r="F108" i="6"/>
  <c r="E61" i="6"/>
  <c r="E62" i="6"/>
  <c r="E66" i="6"/>
  <c r="E69" i="6"/>
  <c r="E70" i="6"/>
  <c r="E71" i="6"/>
  <c r="E73" i="6"/>
  <c r="E72" i="6"/>
  <c r="E74" i="6"/>
  <c r="E75" i="6"/>
  <c r="E76" i="6"/>
  <c r="E77" i="6"/>
  <c r="E80" i="6"/>
  <c r="E81" i="6"/>
  <c r="E78" i="6"/>
  <c r="E79" i="6"/>
  <c r="E82" i="6"/>
  <c r="E84" i="6"/>
  <c r="E83" i="6"/>
  <c r="E86" i="6"/>
  <c r="E85" i="6"/>
  <c r="E87" i="6"/>
  <c r="E89" i="6"/>
  <c r="E88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65" i="6"/>
  <c r="E67" i="6"/>
  <c r="E64" i="6"/>
  <c r="E68" i="6"/>
  <c r="E63" i="6"/>
  <c r="E105" i="6"/>
  <c r="E106" i="6"/>
  <c r="E107" i="6"/>
  <c r="E108" i="6"/>
  <c r="D61" i="6"/>
  <c r="D62" i="6"/>
  <c r="D66" i="6"/>
  <c r="D69" i="6"/>
  <c r="D70" i="6"/>
  <c r="D71" i="6"/>
  <c r="D73" i="6"/>
  <c r="D72" i="6"/>
  <c r="D74" i="6"/>
  <c r="D75" i="6"/>
  <c r="D76" i="6"/>
  <c r="D77" i="6"/>
  <c r="D80" i="6"/>
  <c r="D81" i="6"/>
  <c r="D78" i="6"/>
  <c r="D79" i="6"/>
  <c r="D82" i="6"/>
  <c r="D84" i="6"/>
  <c r="D83" i="6"/>
  <c r="D86" i="6"/>
  <c r="D85" i="6"/>
  <c r="D87" i="6"/>
  <c r="D89" i="6"/>
  <c r="D88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65" i="6"/>
  <c r="D67" i="6"/>
  <c r="D64" i="6"/>
  <c r="D68" i="6"/>
  <c r="D63" i="6"/>
  <c r="D105" i="6"/>
  <c r="D106" i="6"/>
  <c r="D107" i="6"/>
  <c r="D108" i="6"/>
  <c r="G3" i="6"/>
  <c r="G6" i="6"/>
  <c r="G8" i="6"/>
  <c r="G9" i="6"/>
  <c r="G11" i="6"/>
  <c r="G12" i="6"/>
  <c r="G13" i="6"/>
  <c r="G15" i="6"/>
  <c r="G16" i="6"/>
  <c r="G17" i="6"/>
  <c r="G18" i="6"/>
  <c r="G19" i="6"/>
  <c r="G20" i="6"/>
  <c r="G21" i="6"/>
  <c r="G22" i="6"/>
  <c r="G23" i="6"/>
  <c r="G24" i="6"/>
  <c r="G25" i="6"/>
  <c r="G26" i="6"/>
  <c r="G28" i="6"/>
  <c r="G27" i="6"/>
  <c r="G30" i="6"/>
  <c r="G29" i="6"/>
  <c r="G31" i="6"/>
  <c r="G33" i="6"/>
  <c r="G34" i="6"/>
  <c r="G32" i="6"/>
  <c r="G35" i="6"/>
  <c r="G37" i="6"/>
  <c r="G36" i="6"/>
  <c r="G38" i="6"/>
  <c r="G39" i="6"/>
  <c r="G41" i="6"/>
  <c r="G40" i="6"/>
  <c r="G43" i="6"/>
  <c r="G42" i="6"/>
  <c r="G44" i="6"/>
  <c r="G45" i="6"/>
  <c r="G46" i="6"/>
  <c r="G14" i="6"/>
  <c r="G7" i="6"/>
  <c r="G10" i="6"/>
  <c r="G5" i="6"/>
  <c r="G4" i="6"/>
  <c r="G47" i="6"/>
  <c r="G48" i="6"/>
  <c r="G49" i="6"/>
  <c r="G50" i="6"/>
  <c r="F3" i="6"/>
  <c r="F6" i="6"/>
  <c r="F8" i="6"/>
  <c r="F9" i="6"/>
  <c r="F11" i="6"/>
  <c r="F12" i="6"/>
  <c r="F13" i="6"/>
  <c r="F15" i="6"/>
  <c r="F16" i="6"/>
  <c r="F17" i="6"/>
  <c r="F18" i="6"/>
  <c r="F19" i="6"/>
  <c r="F20" i="6"/>
  <c r="F21" i="6"/>
  <c r="F22" i="6"/>
  <c r="F23" i="6"/>
  <c r="F24" i="6"/>
  <c r="F25" i="6"/>
  <c r="F26" i="6"/>
  <c r="F28" i="6"/>
  <c r="F27" i="6"/>
  <c r="F30" i="6"/>
  <c r="F29" i="6"/>
  <c r="F31" i="6"/>
  <c r="F33" i="6"/>
  <c r="F34" i="6"/>
  <c r="F32" i="6"/>
  <c r="F35" i="6"/>
  <c r="F37" i="6"/>
  <c r="F36" i="6"/>
  <c r="F38" i="6"/>
  <c r="F39" i="6"/>
  <c r="F41" i="6"/>
  <c r="F40" i="6"/>
  <c r="F43" i="6"/>
  <c r="F42" i="6"/>
  <c r="F44" i="6"/>
  <c r="F45" i="6"/>
  <c r="F46" i="6"/>
  <c r="F14" i="6"/>
  <c r="F7" i="6"/>
  <c r="F10" i="6"/>
  <c r="F5" i="6"/>
  <c r="F4" i="6"/>
  <c r="F47" i="6"/>
  <c r="F48" i="6"/>
  <c r="F49" i="6"/>
  <c r="F50" i="6"/>
  <c r="E3" i="6"/>
  <c r="E6" i="6"/>
  <c r="E8" i="6"/>
  <c r="E9" i="6"/>
  <c r="E11" i="6"/>
  <c r="E12" i="6"/>
  <c r="E13" i="6"/>
  <c r="E15" i="6"/>
  <c r="E16" i="6"/>
  <c r="E17" i="6"/>
  <c r="E18" i="6"/>
  <c r="E19" i="6"/>
  <c r="E20" i="6"/>
  <c r="E21" i="6"/>
  <c r="E22" i="6"/>
  <c r="E23" i="6"/>
  <c r="E24" i="6"/>
  <c r="E25" i="6"/>
  <c r="E26" i="6"/>
  <c r="E28" i="6"/>
  <c r="E27" i="6"/>
  <c r="E30" i="6"/>
  <c r="E29" i="6"/>
  <c r="E31" i="6"/>
  <c r="E33" i="6"/>
  <c r="E34" i="6"/>
  <c r="E32" i="6"/>
  <c r="E35" i="6"/>
  <c r="E37" i="6"/>
  <c r="E36" i="6"/>
  <c r="E38" i="6"/>
  <c r="E39" i="6"/>
  <c r="E41" i="6"/>
  <c r="E40" i="6"/>
  <c r="E43" i="6"/>
  <c r="E42" i="6"/>
  <c r="E44" i="6"/>
  <c r="E45" i="6"/>
  <c r="E46" i="6"/>
  <c r="E14" i="6"/>
  <c r="E7" i="6"/>
  <c r="E10" i="6"/>
  <c r="E5" i="6"/>
  <c r="E4" i="6"/>
  <c r="E47" i="6"/>
  <c r="E48" i="6"/>
  <c r="E49" i="6"/>
  <c r="E50" i="6"/>
  <c r="D3" i="6"/>
  <c r="D6" i="6"/>
  <c r="D8" i="6"/>
  <c r="D9" i="6"/>
  <c r="D11" i="6"/>
  <c r="D12" i="6"/>
  <c r="D13" i="6"/>
  <c r="D15" i="6"/>
  <c r="D16" i="6"/>
  <c r="D17" i="6"/>
  <c r="D18" i="6"/>
  <c r="D19" i="6"/>
  <c r="D20" i="6"/>
  <c r="D21" i="6"/>
  <c r="D22" i="6"/>
  <c r="D23" i="6"/>
  <c r="D24" i="6"/>
  <c r="D25" i="6"/>
  <c r="D26" i="6"/>
  <c r="D28" i="6"/>
  <c r="D27" i="6"/>
  <c r="D30" i="6"/>
  <c r="D29" i="6"/>
  <c r="D31" i="6"/>
  <c r="D33" i="6"/>
  <c r="D34" i="6"/>
  <c r="D32" i="6"/>
  <c r="D35" i="6"/>
  <c r="D37" i="6"/>
  <c r="D36" i="6"/>
  <c r="D38" i="6"/>
  <c r="D39" i="6"/>
  <c r="D41" i="6"/>
  <c r="D40" i="6"/>
  <c r="D43" i="6"/>
  <c r="D42" i="6"/>
  <c r="D44" i="6"/>
  <c r="D45" i="6"/>
  <c r="D46" i="6"/>
  <c r="D14" i="6"/>
  <c r="D7" i="6"/>
  <c r="D10" i="6"/>
  <c r="D5" i="6"/>
  <c r="D4" i="6"/>
  <c r="D47" i="6"/>
  <c r="D48" i="6"/>
  <c r="D49" i="6"/>
  <c r="D50" i="6"/>
  <c r="AE105" i="6"/>
  <c r="AE106" i="6"/>
  <c r="AE107" i="6"/>
  <c r="AE108" i="6"/>
  <c r="AF105" i="6"/>
  <c r="AF106" i="6"/>
  <c r="AF107" i="6"/>
  <c r="AF108" i="6"/>
  <c r="AG105" i="6"/>
  <c r="AG106" i="6"/>
  <c r="AG107" i="6"/>
  <c r="AG108" i="6"/>
  <c r="AH105" i="6"/>
  <c r="AH106" i="6"/>
  <c r="AH107" i="6"/>
  <c r="AH108" i="6"/>
  <c r="AH47" i="6"/>
  <c r="AH48" i="6"/>
  <c r="AH49" i="6"/>
  <c r="AH50" i="6"/>
  <c r="AS47" i="6"/>
  <c r="AS48" i="6"/>
  <c r="AS49" i="6"/>
  <c r="AS50" i="6"/>
  <c r="AT47" i="6"/>
  <c r="AT48" i="6"/>
  <c r="AT49" i="6"/>
  <c r="AT50" i="6"/>
  <c r="AU47" i="6"/>
  <c r="AU48" i="6"/>
  <c r="AU49" i="6"/>
  <c r="AU50" i="6"/>
  <c r="D72" i="4"/>
  <c r="D69" i="4"/>
  <c r="D60" i="4"/>
  <c r="D103" i="4"/>
  <c r="E72" i="4"/>
  <c r="E69" i="4"/>
  <c r="E60" i="4"/>
  <c r="E103" i="4"/>
  <c r="F72" i="4"/>
  <c r="F69" i="4"/>
  <c r="F60" i="4"/>
  <c r="F103" i="4"/>
  <c r="G72" i="4"/>
  <c r="G69" i="4"/>
  <c r="G60" i="4"/>
  <c r="G103" i="4"/>
  <c r="AE72" i="4"/>
  <c r="AE69" i="4"/>
  <c r="AE60" i="4"/>
  <c r="AE103" i="4"/>
  <c r="AF72" i="4"/>
  <c r="AF69" i="4"/>
  <c r="AF60" i="4"/>
  <c r="AF103" i="4"/>
  <c r="AG72" i="4"/>
  <c r="AG69" i="4"/>
  <c r="AG60" i="4"/>
  <c r="AG103" i="4"/>
  <c r="AH72" i="4"/>
  <c r="AH69" i="4"/>
  <c r="AH60" i="4"/>
  <c r="AH103" i="4"/>
  <c r="G9" i="4"/>
  <c r="G4" i="4"/>
  <c r="G3" i="4"/>
  <c r="G46" i="4"/>
  <c r="D9" i="4"/>
  <c r="D4" i="4"/>
  <c r="D3" i="4"/>
  <c r="D46" i="4"/>
  <c r="E9" i="4"/>
  <c r="E4" i="4"/>
  <c r="E3" i="4"/>
  <c r="E46" i="4"/>
  <c r="F9" i="4"/>
  <c r="F4" i="4"/>
  <c r="F3" i="4"/>
  <c r="F46" i="4"/>
  <c r="AH9" i="4"/>
  <c r="AH4" i="4"/>
  <c r="AH3" i="4"/>
  <c r="AH46" i="4"/>
  <c r="AS9" i="4"/>
  <c r="AS4" i="4"/>
  <c r="AS3" i="4"/>
  <c r="AS46" i="4"/>
  <c r="AT9" i="4"/>
  <c r="AT4" i="4"/>
  <c r="AT3" i="4"/>
  <c r="AT46" i="4"/>
  <c r="AU9" i="4"/>
  <c r="AU4" i="4"/>
  <c r="AU3" i="4"/>
  <c r="AU46" i="4"/>
  <c r="G61" i="4"/>
  <c r="G62" i="4"/>
  <c r="G63" i="4"/>
  <c r="G64" i="4"/>
  <c r="G66" i="4"/>
  <c r="G70" i="4"/>
  <c r="G73" i="4"/>
  <c r="G74" i="4"/>
  <c r="G75" i="4"/>
  <c r="G77" i="4"/>
  <c r="G79" i="4"/>
  <c r="G78" i="4"/>
  <c r="G80" i="4"/>
  <c r="G76" i="4"/>
  <c r="G82" i="4"/>
  <c r="G81" i="4"/>
  <c r="G85" i="4"/>
  <c r="G84" i="4"/>
  <c r="G86" i="4"/>
  <c r="G87" i="4"/>
  <c r="G83" i="4"/>
  <c r="G88" i="4"/>
  <c r="G89" i="4"/>
  <c r="G90" i="4"/>
  <c r="G91" i="4"/>
  <c r="G92" i="4"/>
  <c r="G93" i="4"/>
  <c r="G94" i="4"/>
  <c r="G95" i="4"/>
  <c r="G96" i="4"/>
  <c r="G97" i="4"/>
  <c r="G99" i="4"/>
  <c r="G98" i="4"/>
  <c r="G100" i="4"/>
  <c r="G101" i="4"/>
  <c r="G102" i="4"/>
  <c r="G68" i="4"/>
  <c r="G65" i="4"/>
  <c r="G67" i="4"/>
  <c r="G71" i="4"/>
  <c r="F61" i="4"/>
  <c r="F62" i="4"/>
  <c r="F63" i="4"/>
  <c r="F64" i="4"/>
  <c r="F66" i="4"/>
  <c r="F70" i="4"/>
  <c r="F73" i="4"/>
  <c r="F74" i="4"/>
  <c r="F75" i="4"/>
  <c r="F77" i="4"/>
  <c r="F79" i="4"/>
  <c r="F78" i="4"/>
  <c r="F80" i="4"/>
  <c r="F76" i="4"/>
  <c r="F82" i="4"/>
  <c r="F81" i="4"/>
  <c r="F85" i="4"/>
  <c r="F84" i="4"/>
  <c r="F86" i="4"/>
  <c r="F87" i="4"/>
  <c r="F83" i="4"/>
  <c r="F88" i="4"/>
  <c r="F89" i="4"/>
  <c r="F90" i="4"/>
  <c r="F91" i="4"/>
  <c r="F92" i="4"/>
  <c r="F93" i="4"/>
  <c r="F94" i="4"/>
  <c r="F95" i="4"/>
  <c r="F96" i="4"/>
  <c r="F97" i="4"/>
  <c r="F99" i="4"/>
  <c r="F98" i="4"/>
  <c r="F100" i="4"/>
  <c r="F101" i="4"/>
  <c r="F102" i="4"/>
  <c r="F68" i="4"/>
  <c r="F65" i="4"/>
  <c r="F67" i="4"/>
  <c r="F71" i="4"/>
  <c r="E61" i="4"/>
  <c r="E62" i="4"/>
  <c r="E63" i="4"/>
  <c r="E64" i="4"/>
  <c r="E66" i="4"/>
  <c r="E70" i="4"/>
  <c r="E73" i="4"/>
  <c r="E74" i="4"/>
  <c r="E75" i="4"/>
  <c r="E77" i="4"/>
  <c r="E79" i="4"/>
  <c r="E78" i="4"/>
  <c r="E80" i="4"/>
  <c r="E76" i="4"/>
  <c r="E82" i="4"/>
  <c r="E81" i="4"/>
  <c r="E85" i="4"/>
  <c r="E84" i="4"/>
  <c r="E86" i="4"/>
  <c r="E87" i="4"/>
  <c r="E83" i="4"/>
  <c r="E88" i="4"/>
  <c r="E89" i="4"/>
  <c r="E90" i="4"/>
  <c r="E91" i="4"/>
  <c r="E92" i="4"/>
  <c r="E93" i="4"/>
  <c r="E94" i="4"/>
  <c r="E95" i="4"/>
  <c r="E96" i="4"/>
  <c r="E97" i="4"/>
  <c r="E99" i="4"/>
  <c r="E98" i="4"/>
  <c r="E100" i="4"/>
  <c r="E101" i="4"/>
  <c r="E102" i="4"/>
  <c r="E68" i="4"/>
  <c r="E65" i="4"/>
  <c r="E67" i="4"/>
  <c r="E71" i="4"/>
  <c r="D61" i="4"/>
  <c r="D62" i="4"/>
  <c r="D63" i="4"/>
  <c r="D64" i="4"/>
  <c r="D66" i="4"/>
  <c r="D70" i="4"/>
  <c r="D73" i="4"/>
  <c r="D74" i="4"/>
  <c r="D75" i="4"/>
  <c r="D77" i="4"/>
  <c r="D79" i="4"/>
  <c r="D78" i="4"/>
  <c r="D80" i="4"/>
  <c r="D76" i="4"/>
  <c r="D82" i="4"/>
  <c r="D81" i="4"/>
  <c r="D85" i="4"/>
  <c r="D84" i="4"/>
  <c r="D86" i="4"/>
  <c r="D87" i="4"/>
  <c r="D83" i="4"/>
  <c r="D88" i="4"/>
  <c r="D89" i="4"/>
  <c r="D90" i="4"/>
  <c r="D91" i="4"/>
  <c r="D92" i="4"/>
  <c r="D93" i="4"/>
  <c r="D94" i="4"/>
  <c r="D95" i="4"/>
  <c r="D96" i="4"/>
  <c r="D97" i="4"/>
  <c r="D99" i="4"/>
  <c r="D98" i="4"/>
  <c r="D100" i="4"/>
  <c r="D101" i="4"/>
  <c r="D102" i="4"/>
  <c r="D68" i="4"/>
  <c r="D65" i="4"/>
  <c r="D67" i="4"/>
  <c r="D71" i="4"/>
  <c r="G5" i="4"/>
  <c r="G6" i="4"/>
  <c r="G7" i="4"/>
  <c r="G12" i="4"/>
  <c r="G14" i="4"/>
  <c r="G15" i="4"/>
  <c r="G16" i="4"/>
  <c r="G17" i="4"/>
  <c r="G18" i="4"/>
  <c r="G19" i="4"/>
  <c r="G20" i="4"/>
  <c r="G21" i="4"/>
  <c r="G22" i="4"/>
  <c r="G23" i="4"/>
  <c r="G24" i="4"/>
  <c r="G26" i="4"/>
  <c r="G25" i="4"/>
  <c r="G27" i="4"/>
  <c r="G30" i="4"/>
  <c r="G29" i="4"/>
  <c r="G28" i="4"/>
  <c r="G32" i="4"/>
  <c r="G31" i="4"/>
  <c r="G33" i="4"/>
  <c r="G35" i="4"/>
  <c r="G34" i="4"/>
  <c r="G36" i="4"/>
  <c r="G37" i="4"/>
  <c r="G38" i="4"/>
  <c r="G39" i="4"/>
  <c r="G41" i="4"/>
  <c r="G40" i="4"/>
  <c r="G42" i="4"/>
  <c r="G43" i="4"/>
  <c r="G45" i="4"/>
  <c r="G44" i="4"/>
  <c r="G10" i="4"/>
  <c r="G11" i="4"/>
  <c r="G8" i="4"/>
  <c r="G13" i="4"/>
  <c r="F5" i="4"/>
  <c r="F6" i="4"/>
  <c r="F7" i="4"/>
  <c r="F12" i="4"/>
  <c r="F14" i="4"/>
  <c r="F15" i="4"/>
  <c r="F16" i="4"/>
  <c r="F17" i="4"/>
  <c r="F18" i="4"/>
  <c r="F19" i="4"/>
  <c r="F20" i="4"/>
  <c r="F21" i="4"/>
  <c r="F22" i="4"/>
  <c r="F23" i="4"/>
  <c r="F24" i="4"/>
  <c r="F26" i="4"/>
  <c r="F25" i="4"/>
  <c r="F27" i="4"/>
  <c r="F30" i="4"/>
  <c r="F29" i="4"/>
  <c r="F28" i="4"/>
  <c r="F32" i="4"/>
  <c r="F31" i="4"/>
  <c r="F33" i="4"/>
  <c r="F35" i="4"/>
  <c r="F34" i="4"/>
  <c r="F36" i="4"/>
  <c r="F37" i="4"/>
  <c r="F38" i="4"/>
  <c r="F39" i="4"/>
  <c r="F41" i="4"/>
  <c r="F40" i="4"/>
  <c r="F42" i="4"/>
  <c r="F43" i="4"/>
  <c r="F45" i="4"/>
  <c r="F44" i="4"/>
  <c r="F10" i="4"/>
  <c r="F11" i="4"/>
  <c r="F8" i="4"/>
  <c r="F13" i="4"/>
  <c r="E5" i="4"/>
  <c r="E6" i="4"/>
  <c r="E7" i="4"/>
  <c r="E12" i="4"/>
  <c r="E14" i="4"/>
  <c r="E15" i="4"/>
  <c r="E16" i="4"/>
  <c r="E17" i="4"/>
  <c r="E18" i="4"/>
  <c r="E19" i="4"/>
  <c r="E20" i="4"/>
  <c r="E21" i="4"/>
  <c r="E22" i="4"/>
  <c r="E23" i="4"/>
  <c r="E24" i="4"/>
  <c r="E26" i="4"/>
  <c r="E25" i="4"/>
  <c r="E27" i="4"/>
  <c r="E30" i="4"/>
  <c r="E29" i="4"/>
  <c r="E28" i="4"/>
  <c r="E32" i="4"/>
  <c r="E31" i="4"/>
  <c r="E33" i="4"/>
  <c r="E35" i="4"/>
  <c r="E34" i="4"/>
  <c r="E36" i="4"/>
  <c r="E37" i="4"/>
  <c r="E38" i="4"/>
  <c r="E39" i="4"/>
  <c r="E41" i="4"/>
  <c r="E40" i="4"/>
  <c r="E42" i="4"/>
  <c r="E43" i="4"/>
  <c r="E45" i="4"/>
  <c r="E44" i="4"/>
  <c r="E10" i="4"/>
  <c r="E11" i="4"/>
  <c r="E8" i="4"/>
  <c r="E13" i="4"/>
  <c r="D5" i="4"/>
  <c r="D6" i="4"/>
  <c r="D7" i="4"/>
  <c r="D12" i="4"/>
  <c r="D14" i="4"/>
  <c r="D15" i="4"/>
  <c r="D16" i="4"/>
  <c r="D17" i="4"/>
  <c r="D18" i="4"/>
  <c r="D19" i="4"/>
  <c r="D20" i="4"/>
  <c r="D21" i="4"/>
  <c r="D22" i="4"/>
  <c r="D23" i="4"/>
  <c r="D24" i="4"/>
  <c r="D26" i="4"/>
  <c r="D25" i="4"/>
  <c r="D27" i="4"/>
  <c r="D30" i="4"/>
  <c r="D29" i="4"/>
  <c r="D28" i="4"/>
  <c r="D32" i="4"/>
  <c r="D31" i="4"/>
  <c r="D33" i="4"/>
  <c r="D35" i="4"/>
  <c r="D34" i="4"/>
  <c r="D36" i="4"/>
  <c r="D37" i="4"/>
  <c r="D38" i="4"/>
  <c r="D39" i="4"/>
  <c r="D41" i="4"/>
  <c r="D40" i="4"/>
  <c r="D42" i="4"/>
  <c r="D43" i="4"/>
  <c r="D45" i="4"/>
  <c r="D44" i="4"/>
  <c r="D10" i="4"/>
  <c r="D11" i="4"/>
  <c r="D8" i="4"/>
  <c r="D13" i="4"/>
  <c r="D18" i="3"/>
  <c r="D73" i="5"/>
  <c r="D65" i="5"/>
  <c r="D69" i="5"/>
  <c r="D70" i="5"/>
  <c r="E73" i="5"/>
  <c r="E65" i="5"/>
  <c r="E69" i="5"/>
  <c r="E70" i="5"/>
  <c r="F73" i="5"/>
  <c r="F65" i="5"/>
  <c r="F69" i="5"/>
  <c r="F70" i="5"/>
  <c r="G73" i="5"/>
  <c r="G65" i="5"/>
  <c r="G69" i="5"/>
  <c r="G70" i="5"/>
  <c r="AE73" i="5"/>
  <c r="AE65" i="5"/>
  <c r="AE69" i="5"/>
  <c r="AE70" i="5"/>
  <c r="AF73" i="5"/>
  <c r="AF65" i="5"/>
  <c r="AF69" i="5"/>
  <c r="AF70" i="5"/>
  <c r="AG73" i="5"/>
  <c r="AG65" i="5"/>
  <c r="AG69" i="5"/>
  <c r="AG70" i="5"/>
  <c r="AH73" i="5"/>
  <c r="AH65" i="5"/>
  <c r="AH69" i="5"/>
  <c r="AH70" i="5"/>
  <c r="G67" i="5"/>
  <c r="G71" i="5"/>
  <c r="G74" i="5"/>
  <c r="G75" i="5"/>
  <c r="G76" i="5"/>
  <c r="G77" i="5"/>
  <c r="G78" i="5"/>
  <c r="G79" i="5"/>
  <c r="G80" i="5"/>
  <c r="G81" i="5"/>
  <c r="G82" i="5"/>
  <c r="G83" i="5"/>
  <c r="G84" i="5"/>
  <c r="G86" i="5"/>
  <c r="G85" i="5"/>
  <c r="G88" i="5"/>
  <c r="G89" i="5"/>
  <c r="G87" i="5"/>
  <c r="G90" i="5"/>
  <c r="G91" i="5"/>
  <c r="G92" i="5"/>
  <c r="G94" i="5"/>
  <c r="G95" i="5"/>
  <c r="G96" i="5"/>
  <c r="G93" i="5"/>
  <c r="G97" i="5"/>
  <c r="G98" i="5"/>
  <c r="G99" i="5"/>
  <c r="G100" i="5"/>
  <c r="G101" i="5"/>
  <c r="G102" i="5"/>
  <c r="G104" i="5"/>
  <c r="G105" i="5"/>
  <c r="G103" i="5"/>
  <c r="G106" i="5"/>
  <c r="G107" i="5"/>
  <c r="G108" i="5"/>
  <c r="G109" i="5"/>
  <c r="G72" i="5"/>
  <c r="G110" i="5"/>
  <c r="G68" i="5"/>
  <c r="G64" i="5"/>
  <c r="G66" i="5"/>
  <c r="F67" i="5"/>
  <c r="F71" i="5"/>
  <c r="F74" i="5"/>
  <c r="F75" i="5"/>
  <c r="F76" i="5"/>
  <c r="F77" i="5"/>
  <c r="F78" i="5"/>
  <c r="F79" i="5"/>
  <c r="F80" i="5"/>
  <c r="F81" i="5"/>
  <c r="F82" i="5"/>
  <c r="F83" i="5"/>
  <c r="F84" i="5"/>
  <c r="F86" i="5"/>
  <c r="F85" i="5"/>
  <c r="F88" i="5"/>
  <c r="F89" i="5"/>
  <c r="F87" i="5"/>
  <c r="F90" i="5"/>
  <c r="F91" i="5"/>
  <c r="F92" i="5"/>
  <c r="F94" i="5"/>
  <c r="F95" i="5"/>
  <c r="F96" i="5"/>
  <c r="F93" i="5"/>
  <c r="F97" i="5"/>
  <c r="F98" i="5"/>
  <c r="F99" i="5"/>
  <c r="F100" i="5"/>
  <c r="F101" i="5"/>
  <c r="F102" i="5"/>
  <c r="F104" i="5"/>
  <c r="F105" i="5"/>
  <c r="F103" i="5"/>
  <c r="F106" i="5"/>
  <c r="F107" i="5"/>
  <c r="F108" i="5"/>
  <c r="F109" i="5"/>
  <c r="F72" i="5"/>
  <c r="F110" i="5"/>
  <c r="F68" i="5"/>
  <c r="F64" i="5"/>
  <c r="F66" i="5"/>
  <c r="E67" i="5"/>
  <c r="E71" i="5"/>
  <c r="E74" i="5"/>
  <c r="E75" i="5"/>
  <c r="E76" i="5"/>
  <c r="E77" i="5"/>
  <c r="E78" i="5"/>
  <c r="E79" i="5"/>
  <c r="E80" i="5"/>
  <c r="E81" i="5"/>
  <c r="E82" i="5"/>
  <c r="E83" i="5"/>
  <c r="E84" i="5"/>
  <c r="E86" i="5"/>
  <c r="E85" i="5"/>
  <c r="E88" i="5"/>
  <c r="E89" i="5"/>
  <c r="E87" i="5"/>
  <c r="E90" i="5"/>
  <c r="E91" i="5"/>
  <c r="E92" i="5"/>
  <c r="E94" i="5"/>
  <c r="E95" i="5"/>
  <c r="E96" i="5"/>
  <c r="E93" i="5"/>
  <c r="E97" i="5"/>
  <c r="E98" i="5"/>
  <c r="E99" i="5"/>
  <c r="E100" i="5"/>
  <c r="E101" i="5"/>
  <c r="E102" i="5"/>
  <c r="E104" i="5"/>
  <c r="E105" i="5"/>
  <c r="E103" i="5"/>
  <c r="E106" i="5"/>
  <c r="E107" i="5"/>
  <c r="E108" i="5"/>
  <c r="E109" i="5"/>
  <c r="E72" i="5"/>
  <c r="E110" i="5"/>
  <c r="E68" i="5"/>
  <c r="E64" i="5"/>
  <c r="E66" i="5"/>
  <c r="D67" i="5"/>
  <c r="D71" i="5"/>
  <c r="D74" i="5"/>
  <c r="D75" i="5"/>
  <c r="D76" i="5"/>
  <c r="D77" i="5"/>
  <c r="D78" i="5"/>
  <c r="D79" i="5"/>
  <c r="D80" i="5"/>
  <c r="D81" i="5"/>
  <c r="D82" i="5"/>
  <c r="D83" i="5"/>
  <c r="D84" i="5"/>
  <c r="D86" i="5"/>
  <c r="D85" i="5"/>
  <c r="D88" i="5"/>
  <c r="D89" i="5"/>
  <c r="D87" i="5"/>
  <c r="D90" i="5"/>
  <c r="D91" i="5"/>
  <c r="D92" i="5"/>
  <c r="D94" i="5"/>
  <c r="D95" i="5"/>
  <c r="D96" i="5"/>
  <c r="D93" i="5"/>
  <c r="D97" i="5"/>
  <c r="D98" i="5"/>
  <c r="D99" i="5"/>
  <c r="D100" i="5"/>
  <c r="D101" i="5"/>
  <c r="D102" i="5"/>
  <c r="D104" i="5"/>
  <c r="D105" i="5"/>
  <c r="D103" i="5"/>
  <c r="D106" i="5"/>
  <c r="D107" i="5"/>
  <c r="D108" i="5"/>
  <c r="D109" i="5"/>
  <c r="D72" i="5"/>
  <c r="D110" i="5"/>
  <c r="D68" i="5"/>
  <c r="D64" i="5"/>
  <c r="D66" i="5"/>
  <c r="G3" i="5"/>
  <c r="G11" i="5"/>
  <c r="G13" i="5"/>
  <c r="G14" i="5"/>
  <c r="G15" i="5"/>
  <c r="G16" i="5"/>
  <c r="G17" i="5"/>
  <c r="G18" i="5"/>
  <c r="G19" i="5"/>
  <c r="G20" i="5"/>
  <c r="G21" i="5"/>
  <c r="G22" i="5"/>
  <c r="G23" i="5"/>
  <c r="G25" i="5"/>
  <c r="G24" i="5"/>
  <c r="G26" i="5"/>
  <c r="G27" i="5"/>
  <c r="G28" i="5"/>
  <c r="G29" i="5"/>
  <c r="G30" i="5"/>
  <c r="G31" i="5"/>
  <c r="G32" i="5"/>
  <c r="G33" i="5"/>
  <c r="G34" i="5"/>
  <c r="G36" i="5"/>
  <c r="G37" i="5"/>
  <c r="G35" i="5"/>
  <c r="G38" i="5"/>
  <c r="G39" i="5"/>
  <c r="G40" i="5"/>
  <c r="G41" i="5"/>
  <c r="G42" i="5"/>
  <c r="G43" i="5"/>
  <c r="G44" i="5"/>
  <c r="G45" i="5"/>
  <c r="G46" i="5"/>
  <c r="G47" i="5"/>
  <c r="G49" i="5"/>
  <c r="G8" i="5"/>
  <c r="G48" i="5"/>
  <c r="G12" i="5"/>
  <c r="G7" i="5"/>
  <c r="G6" i="5"/>
  <c r="G10" i="5"/>
  <c r="G4" i="5"/>
  <c r="G9" i="5"/>
  <c r="G5" i="5"/>
  <c r="F3" i="5"/>
  <c r="F11" i="5"/>
  <c r="F13" i="5"/>
  <c r="F14" i="5"/>
  <c r="F15" i="5"/>
  <c r="F16" i="5"/>
  <c r="F17" i="5"/>
  <c r="F18" i="5"/>
  <c r="F19" i="5"/>
  <c r="F20" i="5"/>
  <c r="F21" i="5"/>
  <c r="F22" i="5"/>
  <c r="F23" i="5"/>
  <c r="F25" i="5"/>
  <c r="F24" i="5"/>
  <c r="F26" i="5"/>
  <c r="F27" i="5"/>
  <c r="F28" i="5"/>
  <c r="F29" i="5"/>
  <c r="F30" i="5"/>
  <c r="F31" i="5"/>
  <c r="F32" i="5"/>
  <c r="F33" i="5"/>
  <c r="F34" i="5"/>
  <c r="F36" i="5"/>
  <c r="F37" i="5"/>
  <c r="F35" i="5"/>
  <c r="F38" i="5"/>
  <c r="F39" i="5"/>
  <c r="F40" i="5"/>
  <c r="F41" i="5"/>
  <c r="F42" i="5"/>
  <c r="F43" i="5"/>
  <c r="F44" i="5"/>
  <c r="F45" i="5"/>
  <c r="F46" i="5"/>
  <c r="F47" i="5"/>
  <c r="F49" i="5"/>
  <c r="F8" i="5"/>
  <c r="F48" i="5"/>
  <c r="F12" i="5"/>
  <c r="F7" i="5"/>
  <c r="F6" i="5"/>
  <c r="F10" i="5"/>
  <c r="F4" i="5"/>
  <c r="F9" i="5"/>
  <c r="F5" i="5"/>
  <c r="E3" i="5"/>
  <c r="E11" i="5"/>
  <c r="E13" i="5"/>
  <c r="E14" i="5"/>
  <c r="E15" i="5"/>
  <c r="E16" i="5"/>
  <c r="E17" i="5"/>
  <c r="E18" i="5"/>
  <c r="E19" i="5"/>
  <c r="E20" i="5"/>
  <c r="E21" i="5"/>
  <c r="E22" i="5"/>
  <c r="E23" i="5"/>
  <c r="E25" i="5"/>
  <c r="E24" i="5"/>
  <c r="E26" i="5"/>
  <c r="E27" i="5"/>
  <c r="E28" i="5"/>
  <c r="E29" i="5"/>
  <c r="E30" i="5"/>
  <c r="E31" i="5"/>
  <c r="E32" i="5"/>
  <c r="E33" i="5"/>
  <c r="E34" i="5"/>
  <c r="E36" i="5"/>
  <c r="E37" i="5"/>
  <c r="E35" i="5"/>
  <c r="E38" i="5"/>
  <c r="E39" i="5"/>
  <c r="E40" i="5"/>
  <c r="E41" i="5"/>
  <c r="E42" i="5"/>
  <c r="E43" i="5"/>
  <c r="E44" i="5"/>
  <c r="E45" i="5"/>
  <c r="E46" i="5"/>
  <c r="E47" i="5"/>
  <c r="E49" i="5"/>
  <c r="E8" i="5"/>
  <c r="E48" i="5"/>
  <c r="E12" i="5"/>
  <c r="E7" i="5"/>
  <c r="E6" i="5"/>
  <c r="E10" i="5"/>
  <c r="E4" i="5"/>
  <c r="E9" i="5"/>
  <c r="E5" i="5"/>
  <c r="D3" i="5"/>
  <c r="D11" i="5"/>
  <c r="D13" i="5"/>
  <c r="D14" i="5"/>
  <c r="D15" i="5"/>
  <c r="D16" i="5"/>
  <c r="D17" i="5"/>
  <c r="D18" i="5"/>
  <c r="D19" i="5"/>
  <c r="D20" i="5"/>
  <c r="D21" i="5"/>
  <c r="D22" i="5"/>
  <c r="D23" i="5"/>
  <c r="D25" i="5"/>
  <c r="D24" i="5"/>
  <c r="D26" i="5"/>
  <c r="D27" i="5"/>
  <c r="D28" i="5"/>
  <c r="D29" i="5"/>
  <c r="D30" i="5"/>
  <c r="D31" i="5"/>
  <c r="D32" i="5"/>
  <c r="D33" i="5"/>
  <c r="D34" i="5"/>
  <c r="D36" i="5"/>
  <c r="D37" i="5"/>
  <c r="D35" i="5"/>
  <c r="D38" i="5"/>
  <c r="D39" i="5"/>
  <c r="D40" i="5"/>
  <c r="D41" i="5"/>
  <c r="D42" i="5"/>
  <c r="D43" i="5"/>
  <c r="D44" i="5"/>
  <c r="D45" i="5"/>
  <c r="D46" i="5"/>
  <c r="D47" i="5"/>
  <c r="D49" i="5"/>
  <c r="D8" i="5"/>
  <c r="D48" i="5"/>
  <c r="D12" i="5"/>
  <c r="D7" i="5"/>
  <c r="D6" i="5"/>
  <c r="D10" i="5"/>
  <c r="D4" i="5"/>
  <c r="D9" i="5"/>
  <c r="D5" i="5"/>
  <c r="G62" i="3"/>
  <c r="G63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7" i="3"/>
  <c r="G96" i="3"/>
  <c r="G64" i="3"/>
  <c r="G60" i="3"/>
  <c r="G65" i="3"/>
  <c r="G59" i="3"/>
  <c r="F62" i="3"/>
  <c r="F63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7" i="3"/>
  <c r="F96" i="3"/>
  <c r="F64" i="3"/>
  <c r="F60" i="3"/>
  <c r="F65" i="3"/>
  <c r="F59" i="3"/>
  <c r="E62" i="3"/>
  <c r="E63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7" i="3"/>
  <c r="E96" i="3"/>
  <c r="E64" i="3"/>
  <c r="E60" i="3"/>
  <c r="E65" i="3"/>
  <c r="E59" i="3"/>
  <c r="D62" i="3"/>
  <c r="D63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7" i="3"/>
  <c r="D96" i="3"/>
  <c r="D64" i="3"/>
  <c r="D60" i="3"/>
  <c r="D65" i="3"/>
  <c r="D59" i="3"/>
  <c r="G6" i="3"/>
  <c r="G11" i="3"/>
  <c r="G13" i="3"/>
  <c r="G12" i="3"/>
  <c r="G14" i="3"/>
  <c r="G15" i="3"/>
  <c r="G16" i="3"/>
  <c r="G17" i="3"/>
  <c r="G18" i="3"/>
  <c r="G20" i="3"/>
  <c r="G21" i="3"/>
  <c r="G19" i="3"/>
  <c r="G22" i="3"/>
  <c r="G23" i="3"/>
  <c r="G24" i="3"/>
  <c r="G25" i="3"/>
  <c r="G26" i="3"/>
  <c r="G27" i="3"/>
  <c r="G28" i="3"/>
  <c r="G29" i="3"/>
  <c r="G31" i="3"/>
  <c r="G30" i="3"/>
  <c r="G33" i="3"/>
  <c r="G32" i="3"/>
  <c r="G34" i="3"/>
  <c r="G37" i="3"/>
  <c r="G36" i="3"/>
  <c r="G35" i="3"/>
  <c r="G38" i="3"/>
  <c r="G39" i="3"/>
  <c r="G40" i="3"/>
  <c r="G41" i="3"/>
  <c r="G43" i="3"/>
  <c r="G42" i="3"/>
  <c r="G10" i="3"/>
  <c r="G7" i="3"/>
  <c r="G8" i="3"/>
  <c r="G4" i="3"/>
  <c r="G5" i="3"/>
  <c r="F6" i="3"/>
  <c r="F11" i="3"/>
  <c r="F13" i="3"/>
  <c r="F12" i="3"/>
  <c r="F14" i="3"/>
  <c r="F15" i="3"/>
  <c r="F16" i="3"/>
  <c r="F17" i="3"/>
  <c r="F18" i="3"/>
  <c r="F20" i="3"/>
  <c r="F21" i="3"/>
  <c r="F19" i="3"/>
  <c r="F22" i="3"/>
  <c r="F23" i="3"/>
  <c r="F24" i="3"/>
  <c r="F25" i="3"/>
  <c r="F26" i="3"/>
  <c r="F27" i="3"/>
  <c r="F28" i="3"/>
  <c r="F29" i="3"/>
  <c r="F31" i="3"/>
  <c r="F30" i="3"/>
  <c r="F33" i="3"/>
  <c r="F32" i="3"/>
  <c r="F34" i="3"/>
  <c r="F37" i="3"/>
  <c r="F36" i="3"/>
  <c r="F35" i="3"/>
  <c r="F38" i="3"/>
  <c r="F39" i="3"/>
  <c r="F40" i="3"/>
  <c r="F41" i="3"/>
  <c r="F43" i="3"/>
  <c r="F42" i="3"/>
  <c r="F10" i="3"/>
  <c r="F7" i="3"/>
  <c r="F8" i="3"/>
  <c r="F4" i="3"/>
  <c r="F5" i="3"/>
  <c r="F44" i="3"/>
  <c r="E6" i="3"/>
  <c r="E11" i="3"/>
  <c r="E13" i="3"/>
  <c r="E12" i="3"/>
  <c r="E14" i="3"/>
  <c r="E15" i="3"/>
  <c r="E16" i="3"/>
  <c r="E17" i="3"/>
  <c r="E18" i="3"/>
  <c r="E20" i="3"/>
  <c r="E21" i="3"/>
  <c r="E19" i="3"/>
  <c r="E22" i="3"/>
  <c r="E23" i="3"/>
  <c r="E24" i="3"/>
  <c r="E25" i="3"/>
  <c r="E26" i="3"/>
  <c r="E27" i="3"/>
  <c r="E28" i="3"/>
  <c r="E29" i="3"/>
  <c r="E31" i="3"/>
  <c r="E30" i="3"/>
  <c r="E33" i="3"/>
  <c r="E32" i="3"/>
  <c r="E34" i="3"/>
  <c r="E37" i="3"/>
  <c r="E36" i="3"/>
  <c r="E35" i="3"/>
  <c r="E38" i="3"/>
  <c r="E39" i="3"/>
  <c r="E40" i="3"/>
  <c r="E41" i="3"/>
  <c r="E43" i="3"/>
  <c r="E42" i="3"/>
  <c r="E10" i="3"/>
  <c r="E7" i="3"/>
  <c r="E8" i="3"/>
  <c r="E4" i="3"/>
  <c r="E5" i="3"/>
  <c r="E44" i="3"/>
  <c r="D6" i="3"/>
  <c r="D11" i="3"/>
  <c r="D13" i="3"/>
  <c r="D12" i="3"/>
  <c r="D14" i="3"/>
  <c r="D15" i="3"/>
  <c r="D16" i="3"/>
  <c r="D17" i="3"/>
  <c r="D20" i="3"/>
  <c r="D21" i="3"/>
  <c r="D19" i="3"/>
  <c r="D22" i="3"/>
  <c r="D23" i="3"/>
  <c r="D24" i="3"/>
  <c r="D25" i="3"/>
  <c r="D26" i="3"/>
  <c r="D27" i="3"/>
  <c r="D28" i="3"/>
  <c r="D29" i="3"/>
  <c r="D31" i="3"/>
  <c r="D30" i="3"/>
  <c r="D33" i="3"/>
  <c r="D32" i="3"/>
  <c r="D34" i="3"/>
  <c r="D37" i="3"/>
  <c r="D36" i="3"/>
  <c r="D35" i="3"/>
  <c r="D38" i="3"/>
  <c r="D39" i="3"/>
  <c r="D40" i="3"/>
  <c r="D41" i="3"/>
  <c r="D43" i="3"/>
  <c r="D42" i="3"/>
  <c r="D10" i="3"/>
  <c r="D7" i="3"/>
  <c r="D8" i="3"/>
  <c r="D4" i="3"/>
  <c r="D5" i="3"/>
  <c r="D44" i="3"/>
  <c r="AH10" i="5"/>
  <c r="AH4" i="5"/>
  <c r="AH9" i="5"/>
  <c r="AH5" i="5"/>
  <c r="AS10" i="5"/>
  <c r="AS4" i="5"/>
  <c r="AS9" i="5"/>
  <c r="AS5" i="5"/>
  <c r="AT10" i="5"/>
  <c r="AT4" i="5"/>
  <c r="AT9" i="5"/>
  <c r="AT5" i="5"/>
  <c r="AU10" i="5"/>
  <c r="AU4" i="5"/>
  <c r="AU9" i="5"/>
  <c r="AU5" i="5"/>
  <c r="AE59" i="3"/>
  <c r="AF59" i="3"/>
  <c r="AG59" i="3"/>
  <c r="AH59" i="3"/>
  <c r="AE61" i="3"/>
  <c r="AF61" i="3"/>
  <c r="AG61" i="3"/>
  <c r="AH61" i="3"/>
  <c r="AE101" i="3"/>
  <c r="AF101" i="3"/>
  <c r="AG101" i="3"/>
  <c r="AH101" i="3"/>
  <c r="AH8" i="3"/>
  <c r="AH4" i="3"/>
  <c r="AH5" i="3"/>
  <c r="AH44" i="3"/>
  <c r="AS8" i="3"/>
  <c r="AS4" i="3"/>
  <c r="AS5" i="3"/>
  <c r="AS44" i="3"/>
  <c r="AT8" i="3"/>
  <c r="AT4" i="3"/>
  <c r="AT5" i="3"/>
  <c r="AT44" i="3"/>
  <c r="AU8" i="3"/>
  <c r="AU4" i="3"/>
  <c r="AU5" i="3"/>
  <c r="AU44" i="3"/>
  <c r="AH68" i="6"/>
  <c r="AH63" i="6"/>
  <c r="AE68" i="6"/>
  <c r="AE63" i="6"/>
  <c r="AF68" i="6"/>
  <c r="AF63" i="6"/>
  <c r="AG68" i="6"/>
  <c r="AG63" i="6"/>
  <c r="AH5" i="6"/>
  <c r="AH4" i="6"/>
  <c r="AS5" i="6"/>
  <c r="AS4" i="6"/>
  <c r="AT5" i="6"/>
  <c r="AT4" i="6"/>
  <c r="AU5" i="6"/>
  <c r="AU4" i="6"/>
  <c r="AY132" i="12"/>
  <c r="AY116" i="12"/>
  <c r="AZ132" i="12"/>
  <c r="AZ116" i="12"/>
  <c r="BA132" i="12"/>
  <c r="BA116" i="12"/>
  <c r="BB132" i="12"/>
  <c r="BB116" i="12"/>
  <c r="BC132" i="12"/>
  <c r="BC116" i="12"/>
  <c r="BD132" i="12"/>
  <c r="BD116" i="12"/>
  <c r="BE132" i="12"/>
  <c r="BE116" i="12"/>
  <c r="BF132" i="12"/>
  <c r="BF116" i="12"/>
  <c r="BG132" i="12"/>
  <c r="BG116" i="12"/>
  <c r="BH132" i="12"/>
  <c r="BH116" i="12"/>
  <c r="BI132" i="12"/>
  <c r="BI116" i="12"/>
  <c r="BJ132" i="12"/>
  <c r="BJ116" i="12"/>
  <c r="CB25" i="12"/>
  <c r="CB3" i="12"/>
  <c r="CC25" i="12"/>
  <c r="CC3" i="12"/>
  <c r="CD25" i="12"/>
  <c r="CD3" i="12"/>
  <c r="BC7" i="11"/>
  <c r="BC14" i="11"/>
  <c r="BC15" i="11"/>
  <c r="BC16" i="11"/>
  <c r="BC17" i="11"/>
  <c r="AU26" i="11"/>
  <c r="AU35" i="11"/>
  <c r="AU36" i="11"/>
  <c r="AU37" i="11"/>
  <c r="AU38" i="11"/>
  <c r="AV26" i="11"/>
  <c r="AV35" i="11"/>
  <c r="AV36" i="11"/>
  <c r="AV37" i="11"/>
  <c r="AV38" i="11"/>
  <c r="AW26" i="11"/>
  <c r="AW35" i="11"/>
  <c r="AW36" i="11"/>
  <c r="AW37" i="11"/>
  <c r="AW38" i="11"/>
  <c r="AX26" i="11"/>
  <c r="AX35" i="11"/>
  <c r="AX36" i="11"/>
  <c r="AX37" i="11"/>
  <c r="AX38" i="11"/>
  <c r="AY26" i="11"/>
  <c r="AY35" i="11"/>
  <c r="AY36" i="11"/>
  <c r="AY37" i="11"/>
  <c r="AY38" i="11"/>
  <c r="AZ26" i="11"/>
  <c r="AZ35" i="11"/>
  <c r="AZ36" i="11"/>
  <c r="AZ37" i="11"/>
  <c r="AZ38" i="11"/>
  <c r="BA26" i="11"/>
  <c r="BA35" i="11"/>
  <c r="BA36" i="11"/>
  <c r="BA37" i="11"/>
  <c r="BA38" i="11"/>
  <c r="BB26" i="11"/>
  <c r="BB35" i="11"/>
  <c r="BB36" i="11"/>
  <c r="BB37" i="11"/>
  <c r="BB38" i="11"/>
  <c r="BC26" i="11"/>
  <c r="BC35" i="11"/>
  <c r="BC36" i="11"/>
  <c r="BC37" i="11"/>
  <c r="BC38" i="11"/>
  <c r="AX7" i="11"/>
  <c r="AX14" i="11"/>
  <c r="AX15" i="11"/>
  <c r="AX16" i="11"/>
  <c r="AX17" i="11"/>
  <c r="AY7" i="11"/>
  <c r="AY14" i="11"/>
  <c r="AY15" i="11"/>
  <c r="AY16" i="11"/>
  <c r="AY17" i="11"/>
  <c r="AZ7" i="11"/>
  <c r="AZ14" i="11"/>
  <c r="AZ15" i="11"/>
  <c r="AZ16" i="11"/>
  <c r="AZ17" i="11"/>
  <c r="BA7" i="11"/>
  <c r="BA14" i="11"/>
  <c r="BA15" i="11"/>
  <c r="BA16" i="11"/>
  <c r="BA17" i="11"/>
  <c r="BB7" i="11"/>
  <c r="BB14" i="11"/>
  <c r="BB15" i="11"/>
  <c r="BB16" i="11"/>
  <c r="BB17" i="11"/>
  <c r="BN7" i="11"/>
  <c r="BN14" i="11"/>
  <c r="BH14" i="11" s="1"/>
  <c r="BN15" i="11"/>
  <c r="BH15" i="11" s="1"/>
  <c r="BN16" i="11"/>
  <c r="BH16" i="11" s="1"/>
  <c r="BN17" i="11"/>
  <c r="BH17" i="11" s="1"/>
  <c r="BO7" i="11"/>
  <c r="BO14" i="11"/>
  <c r="BO15" i="11"/>
  <c r="BO16" i="11"/>
  <c r="BI16" i="11" s="1"/>
  <c r="BO17" i="11"/>
  <c r="BP7" i="11"/>
  <c r="BP14" i="11"/>
  <c r="BJ14" i="11" s="1"/>
  <c r="BP15" i="11"/>
  <c r="BJ15" i="11" s="1"/>
  <c r="BP16" i="11"/>
  <c r="BJ16" i="11" s="1"/>
  <c r="BP17" i="11"/>
  <c r="BJ17" i="11" s="1"/>
  <c r="AY124" i="12"/>
  <c r="AY133" i="12"/>
  <c r="AY117" i="12"/>
  <c r="AY137" i="12"/>
  <c r="AY134" i="12"/>
  <c r="AZ124" i="12"/>
  <c r="AZ133" i="12"/>
  <c r="AZ117" i="12"/>
  <c r="AZ137" i="12"/>
  <c r="AZ134" i="12"/>
  <c r="BA124" i="12"/>
  <c r="BA133" i="12"/>
  <c r="BA117" i="12"/>
  <c r="BA137" i="12"/>
  <c r="BA134" i="12"/>
  <c r="BB124" i="12"/>
  <c r="BB133" i="12"/>
  <c r="BB117" i="12"/>
  <c r="BB137" i="12"/>
  <c r="BB134" i="12"/>
  <c r="BC124" i="12"/>
  <c r="BC133" i="12"/>
  <c r="BC117" i="12"/>
  <c r="BC137" i="12"/>
  <c r="BC134" i="12"/>
  <c r="BD124" i="12"/>
  <c r="BD133" i="12"/>
  <c r="BD117" i="12"/>
  <c r="BD137" i="12"/>
  <c r="BD134" i="12"/>
  <c r="BE124" i="12"/>
  <c r="BE133" i="12"/>
  <c r="BE117" i="12"/>
  <c r="BE137" i="12"/>
  <c r="BE134" i="12"/>
  <c r="BF124" i="12"/>
  <c r="BF133" i="12"/>
  <c r="BF117" i="12"/>
  <c r="BF137" i="12"/>
  <c r="BF134" i="12"/>
  <c r="BG124" i="12"/>
  <c r="BG133" i="12"/>
  <c r="BG117" i="12"/>
  <c r="BG137" i="12"/>
  <c r="BG134" i="12"/>
  <c r="BH124" i="12"/>
  <c r="BH133" i="12"/>
  <c r="BH117" i="12"/>
  <c r="BH137" i="12"/>
  <c r="BH134" i="12"/>
  <c r="BI124" i="12"/>
  <c r="BI133" i="12"/>
  <c r="BI117" i="12"/>
  <c r="BI137" i="12"/>
  <c r="BI134" i="12"/>
  <c r="BJ124" i="12"/>
  <c r="BJ133" i="12"/>
  <c r="BJ117" i="12"/>
  <c r="BJ137" i="12"/>
  <c r="BJ134" i="12"/>
  <c r="CB21" i="12"/>
  <c r="CB23" i="12"/>
  <c r="CB7" i="12"/>
  <c r="CB20" i="12"/>
  <c r="CB31" i="12"/>
  <c r="CC21" i="12"/>
  <c r="CC23" i="12"/>
  <c r="CC7" i="12"/>
  <c r="CC20" i="12"/>
  <c r="CC31" i="12"/>
  <c r="CD21" i="12"/>
  <c r="CD23" i="12"/>
  <c r="CD7" i="12"/>
  <c r="CD20" i="12"/>
  <c r="CD31" i="12"/>
  <c r="AH61" i="6"/>
  <c r="AH62" i="6"/>
  <c r="AH65" i="6"/>
  <c r="AH67" i="6"/>
  <c r="AH64" i="6"/>
  <c r="AE61" i="6"/>
  <c r="AE62" i="6"/>
  <c r="AE65" i="6"/>
  <c r="AE67" i="6"/>
  <c r="AE64" i="6"/>
  <c r="AF61" i="6"/>
  <c r="AF62" i="6"/>
  <c r="AF65" i="6"/>
  <c r="AF67" i="6"/>
  <c r="AF64" i="6"/>
  <c r="AG61" i="6"/>
  <c r="AG62" i="6"/>
  <c r="AG65" i="6"/>
  <c r="AG67" i="6"/>
  <c r="AG64" i="6"/>
  <c r="AH3" i="6"/>
  <c r="AH6" i="6"/>
  <c r="AH7" i="6"/>
  <c r="AH10" i="6"/>
  <c r="AS3" i="6"/>
  <c r="AS6" i="6"/>
  <c r="AS14" i="6"/>
  <c r="AS7" i="6"/>
  <c r="AS10" i="6"/>
  <c r="AT3" i="6"/>
  <c r="AT6" i="6"/>
  <c r="AT14" i="6"/>
  <c r="AT7" i="6"/>
  <c r="AT10" i="6"/>
  <c r="AU3" i="6"/>
  <c r="AU6" i="6"/>
  <c r="AU14" i="6"/>
  <c r="AU7" i="6"/>
  <c r="AU10" i="6"/>
  <c r="AH102" i="4"/>
  <c r="AH68" i="4"/>
  <c r="AH65" i="4"/>
  <c r="AH67" i="4"/>
  <c r="AH71" i="4"/>
  <c r="AE68" i="4"/>
  <c r="AE65" i="4"/>
  <c r="AE67" i="4"/>
  <c r="AE71" i="4"/>
  <c r="AF102" i="4"/>
  <c r="AF68" i="4"/>
  <c r="AF65" i="4"/>
  <c r="AF67" i="4"/>
  <c r="AF71" i="4"/>
  <c r="AG102" i="4"/>
  <c r="AG68" i="4"/>
  <c r="AG65" i="4"/>
  <c r="AG67" i="4"/>
  <c r="AG71" i="4"/>
  <c r="AH44" i="4"/>
  <c r="AH10" i="4"/>
  <c r="AH11" i="4"/>
  <c r="AH8" i="4"/>
  <c r="AH13" i="4"/>
  <c r="AS44" i="4"/>
  <c r="AS10" i="4"/>
  <c r="AS11" i="4"/>
  <c r="AS8" i="4"/>
  <c r="AS13" i="4"/>
  <c r="AT44" i="4"/>
  <c r="AT10" i="4"/>
  <c r="AT11" i="4"/>
  <c r="AT8" i="4"/>
  <c r="AT13" i="4"/>
  <c r="AU44" i="4"/>
  <c r="AU10" i="4"/>
  <c r="AU11" i="4"/>
  <c r="AU8" i="4"/>
  <c r="AU13" i="4"/>
  <c r="AS11" i="5"/>
  <c r="AS8" i="5"/>
  <c r="AS48" i="5"/>
  <c r="AS12" i="5"/>
  <c r="AS7" i="5"/>
  <c r="AS6" i="5"/>
  <c r="AH67" i="5"/>
  <c r="AH72" i="5"/>
  <c r="AH110" i="5"/>
  <c r="AH68" i="5"/>
  <c r="AH64" i="5"/>
  <c r="AH66" i="5"/>
  <c r="AH11" i="5"/>
  <c r="AH8" i="5"/>
  <c r="AH48" i="5"/>
  <c r="AH12" i="5"/>
  <c r="AH7" i="5"/>
  <c r="AH6" i="5"/>
  <c r="AE67" i="5"/>
  <c r="AE72" i="5"/>
  <c r="AE110" i="5"/>
  <c r="AE68" i="5"/>
  <c r="AE64" i="5"/>
  <c r="AE66" i="5"/>
  <c r="AF67" i="5"/>
  <c r="AF72" i="5"/>
  <c r="AF110" i="5"/>
  <c r="AF68" i="5"/>
  <c r="AF64" i="5"/>
  <c r="AF66" i="5"/>
  <c r="AG67" i="5"/>
  <c r="AG72" i="5"/>
  <c r="AG110" i="5"/>
  <c r="AG68" i="5"/>
  <c r="AG64" i="5"/>
  <c r="AG66" i="5"/>
  <c r="AT11" i="5"/>
  <c r="AT8" i="5"/>
  <c r="AT48" i="5"/>
  <c r="AT12" i="5"/>
  <c r="AT7" i="5"/>
  <c r="AT6" i="5"/>
  <c r="AU11" i="5"/>
  <c r="AU8" i="5"/>
  <c r="AU48" i="5"/>
  <c r="AU12" i="5"/>
  <c r="AU7" i="5"/>
  <c r="AU6" i="5"/>
  <c r="AE63" i="3"/>
  <c r="AE96" i="3"/>
  <c r="AE64" i="3"/>
  <c r="AE60" i="3"/>
  <c r="AE65" i="3"/>
  <c r="AF63" i="3"/>
  <c r="AF96" i="3"/>
  <c r="AF64" i="3"/>
  <c r="AF60" i="3"/>
  <c r="AF65" i="3"/>
  <c r="AG63" i="3"/>
  <c r="AG96" i="3"/>
  <c r="AG64" i="3"/>
  <c r="AG60" i="3"/>
  <c r="AG65" i="3"/>
  <c r="AH63" i="3"/>
  <c r="AH96" i="3"/>
  <c r="AH64" i="3"/>
  <c r="AH60" i="3"/>
  <c r="AH65" i="3"/>
  <c r="AH13" i="3"/>
  <c r="AH42" i="3"/>
  <c r="AH10" i="3"/>
  <c r="AH7" i="3"/>
  <c r="AS13" i="3"/>
  <c r="AS42" i="3"/>
  <c r="AS10" i="3"/>
  <c r="AS7" i="3"/>
  <c r="AT13" i="3"/>
  <c r="AT42" i="3"/>
  <c r="AT10" i="3"/>
  <c r="AT7" i="3"/>
  <c r="AU13" i="3"/>
  <c r="AU42" i="3"/>
  <c r="AU10" i="3"/>
  <c r="AU7" i="3"/>
  <c r="P21" i="10" l="1"/>
  <c r="P28" i="10"/>
  <c r="BK222" i="12"/>
  <c r="BK225" i="12"/>
  <c r="G5" i="10"/>
  <c r="G12" i="10"/>
  <c r="BK221" i="12"/>
  <c r="BH18" i="11"/>
  <c r="AR18" i="11" s="1"/>
  <c r="AU18" i="11" s="1"/>
  <c r="BD18" i="11" s="1"/>
  <c r="BH19" i="11"/>
  <c r="AR19" i="11" s="1"/>
  <c r="AU19" i="11" s="1"/>
  <c r="BD19" i="11" s="1"/>
  <c r="BH20" i="11"/>
  <c r="AR20" i="11" s="1"/>
  <c r="AU20" i="11" s="1"/>
  <c r="BD20" i="11" s="1"/>
  <c r="BJ19" i="11"/>
  <c r="AT19" i="11" s="1"/>
  <c r="AW19" i="11" s="1"/>
  <c r="BJ20" i="11"/>
  <c r="AT20" i="11" s="1"/>
  <c r="AW20" i="11" s="1"/>
  <c r="BI19" i="11"/>
  <c r="AS19" i="11" s="1"/>
  <c r="AV19" i="11" s="1"/>
  <c r="BI20" i="11"/>
  <c r="AS20" i="11" s="1"/>
  <c r="AV20" i="11" s="1"/>
  <c r="BJ18" i="11"/>
  <c r="AT18" i="11" s="1"/>
  <c r="AW18" i="11" s="1"/>
  <c r="AN57" i="6"/>
  <c r="AC57" i="6" s="1"/>
  <c r="AF57" i="6" s="1"/>
  <c r="AN54" i="6"/>
  <c r="AC54" i="6" s="1"/>
  <c r="AF54" i="6" s="1"/>
  <c r="AO55" i="6"/>
  <c r="AD55" i="6" s="1"/>
  <c r="AG55" i="6" s="1"/>
  <c r="AN55" i="6"/>
  <c r="AC55" i="6" s="1"/>
  <c r="AF55" i="6" s="1"/>
  <c r="AM52" i="6"/>
  <c r="AB52" i="6" s="1"/>
  <c r="AE52" i="6" s="1"/>
  <c r="AI52" i="6" s="1"/>
  <c r="AO53" i="6"/>
  <c r="AD53" i="6" s="1"/>
  <c r="AG53" i="6" s="1"/>
  <c r="AO56" i="6"/>
  <c r="AD56" i="6" s="1"/>
  <c r="AG56" i="6" s="1"/>
  <c r="AM55" i="6"/>
  <c r="AB55" i="6" s="1"/>
  <c r="AE55" i="6" s="1"/>
  <c r="AI55" i="6" s="1"/>
  <c r="AO54" i="6"/>
  <c r="AD54" i="6" s="1"/>
  <c r="AG54" i="6" s="1"/>
  <c r="AM54" i="6"/>
  <c r="AB54" i="6" s="1"/>
  <c r="AE54" i="6" s="1"/>
  <c r="AI54" i="6" s="1"/>
  <c r="AO57" i="6"/>
  <c r="AD57" i="6" s="1"/>
  <c r="AG57" i="6" s="1"/>
  <c r="AM56" i="6"/>
  <c r="AB56" i="6" s="1"/>
  <c r="AE56" i="6" s="1"/>
  <c r="AI56" i="6" s="1"/>
  <c r="AN56" i="6"/>
  <c r="AC56" i="6" s="1"/>
  <c r="AF56" i="6" s="1"/>
  <c r="AN52" i="6"/>
  <c r="AC52" i="6" s="1"/>
  <c r="AF52" i="6" s="1"/>
  <c r="AM57" i="6"/>
  <c r="AB57" i="6" s="1"/>
  <c r="AE57" i="6" s="1"/>
  <c r="AI57" i="6" s="1"/>
  <c r="AO52" i="4"/>
  <c r="AD52" i="4" s="1"/>
  <c r="AG52" i="4" s="1"/>
  <c r="AO54" i="4"/>
  <c r="AD54" i="4" s="1"/>
  <c r="AG54" i="4" s="1"/>
  <c r="AN52" i="4"/>
  <c r="AC52" i="4" s="1"/>
  <c r="AF52" i="4" s="1"/>
  <c r="AM51" i="4"/>
  <c r="AB51" i="4" s="1"/>
  <c r="AE51" i="4" s="1"/>
  <c r="AI51" i="4" s="1"/>
  <c r="AO55" i="4"/>
  <c r="AD55" i="4" s="1"/>
  <c r="AG55" i="4" s="1"/>
  <c r="AM52" i="4"/>
  <c r="AB52" i="4" s="1"/>
  <c r="AE52" i="4" s="1"/>
  <c r="AI52" i="4" s="1"/>
  <c r="AO56" i="4"/>
  <c r="AD56" i="4" s="1"/>
  <c r="AG56" i="4" s="1"/>
  <c r="AM53" i="4"/>
  <c r="AB53" i="4" s="1"/>
  <c r="AE53" i="4" s="1"/>
  <c r="AI53" i="4" s="1"/>
  <c r="AM54" i="4"/>
  <c r="AB54" i="4" s="1"/>
  <c r="AE54" i="4" s="1"/>
  <c r="AI54" i="4" s="1"/>
  <c r="AN51" i="4"/>
  <c r="AC51" i="4" s="1"/>
  <c r="AF51" i="4" s="1"/>
  <c r="AN54" i="4"/>
  <c r="AC54" i="4" s="1"/>
  <c r="AF54" i="4" s="1"/>
  <c r="AN55" i="4"/>
  <c r="AC55" i="4" s="1"/>
  <c r="AF55" i="4" s="1"/>
  <c r="AM55" i="4"/>
  <c r="AB55" i="4" s="1"/>
  <c r="AE55" i="4" s="1"/>
  <c r="AI55" i="4" s="1"/>
  <c r="AN56" i="4"/>
  <c r="AC56" i="4" s="1"/>
  <c r="AF56" i="4" s="1"/>
  <c r="AM57" i="5"/>
  <c r="AB57" i="5" s="1"/>
  <c r="AE57" i="5" s="1"/>
  <c r="AI57" i="5" s="1"/>
  <c r="AO57" i="5"/>
  <c r="AD57" i="5" s="1"/>
  <c r="AG57" i="5" s="1"/>
  <c r="AO58" i="5"/>
  <c r="AD58" i="5" s="1"/>
  <c r="AG58" i="5" s="1"/>
  <c r="AM59" i="5"/>
  <c r="AB59" i="5" s="1"/>
  <c r="AE59" i="5" s="1"/>
  <c r="AI59" i="5" s="1"/>
  <c r="AO59" i="5"/>
  <c r="AD59" i="5" s="1"/>
  <c r="AG59" i="5" s="1"/>
  <c r="AN59" i="5"/>
  <c r="AC59" i="5" s="1"/>
  <c r="AF59" i="5" s="1"/>
  <c r="AN60" i="5"/>
  <c r="AC60" i="5" s="1"/>
  <c r="AF60" i="5" s="1"/>
  <c r="AN57" i="5"/>
  <c r="AC57" i="5" s="1"/>
  <c r="AF57" i="5" s="1"/>
  <c r="AN58" i="5"/>
  <c r="AC58" i="5" s="1"/>
  <c r="AF58" i="5" s="1"/>
  <c r="AM58" i="5"/>
  <c r="AB58" i="5" s="1"/>
  <c r="AE58" i="5" s="1"/>
  <c r="AI58" i="5" s="1"/>
  <c r="AM60" i="5"/>
  <c r="AB60" i="5" s="1"/>
  <c r="AE60" i="5" s="1"/>
  <c r="AI60" i="5" s="1"/>
  <c r="AM50" i="3"/>
  <c r="AB50" i="3" s="1"/>
  <c r="AE50" i="3" s="1"/>
  <c r="AI50" i="3" s="1"/>
  <c r="AO52" i="3"/>
  <c r="AD52" i="3" s="1"/>
  <c r="AG52" i="3" s="1"/>
  <c r="AM52" i="3"/>
  <c r="AB52" i="3" s="1"/>
  <c r="AE52" i="3" s="1"/>
  <c r="AI52" i="3" s="1"/>
  <c r="AO51" i="3"/>
  <c r="AD51" i="3" s="1"/>
  <c r="AG51" i="3" s="1"/>
  <c r="AO53" i="3"/>
  <c r="AD53" i="3" s="1"/>
  <c r="AG53" i="3" s="1"/>
  <c r="AM49" i="3"/>
  <c r="AB49" i="3" s="1"/>
  <c r="AE49" i="3" s="1"/>
  <c r="AI49" i="3" s="1"/>
  <c r="AM53" i="3"/>
  <c r="AB53" i="3" s="1"/>
  <c r="AE53" i="3" s="1"/>
  <c r="AI53" i="3" s="1"/>
  <c r="AN49" i="3"/>
  <c r="AC49" i="3" s="1"/>
  <c r="AF49" i="3" s="1"/>
  <c r="AO49" i="3"/>
  <c r="AD49" i="3" s="1"/>
  <c r="AG49" i="3" s="1"/>
  <c r="AN50" i="3"/>
  <c r="AC50" i="3" s="1"/>
  <c r="AF50" i="3" s="1"/>
  <c r="AN51" i="3"/>
  <c r="AC51" i="3" s="1"/>
  <c r="AF51" i="3" s="1"/>
  <c r="BV108" i="12"/>
  <c r="BP108" i="12" s="1"/>
  <c r="BV109" i="12"/>
  <c r="BP109" i="12" s="1"/>
  <c r="BW108" i="12"/>
  <c r="BQ108" i="12" s="1"/>
  <c r="BW109" i="12"/>
  <c r="BQ109" i="12" s="1"/>
  <c r="BX108" i="12"/>
  <c r="BR108" i="12" s="1"/>
  <c r="BX109" i="12"/>
  <c r="BR109" i="12" s="1"/>
  <c r="BK217" i="12"/>
  <c r="BK218" i="12"/>
  <c r="BV105" i="12"/>
  <c r="BP105" i="12" s="1"/>
  <c r="BB105" i="12" s="1"/>
  <c r="BX113" i="12"/>
  <c r="BR113" i="12" s="1"/>
  <c r="BJ113" i="12" s="1"/>
  <c r="BW111" i="12"/>
  <c r="BQ111" i="12" s="1"/>
  <c r="BW110" i="12"/>
  <c r="BQ110" i="12" s="1"/>
  <c r="BX110" i="12"/>
  <c r="BR110" i="12" s="1"/>
  <c r="BX111" i="12"/>
  <c r="BR111" i="12" s="1"/>
  <c r="BV110" i="12"/>
  <c r="BP110" i="12" s="1"/>
  <c r="BK220" i="12"/>
  <c r="BV111" i="12"/>
  <c r="BP111" i="12" s="1"/>
  <c r="BK219" i="12"/>
  <c r="BV112" i="12"/>
  <c r="BP112" i="12" s="1"/>
  <c r="BK216" i="12"/>
  <c r="BW112" i="12"/>
  <c r="BQ112" i="12" s="1"/>
  <c r="BW103" i="12"/>
  <c r="BQ103" i="12" s="1"/>
  <c r="AZ103" i="12" s="1"/>
  <c r="BX112" i="12"/>
  <c r="BR112" i="12" s="1"/>
  <c r="BW113" i="12"/>
  <c r="BQ113" i="12" s="1"/>
  <c r="BX106" i="12"/>
  <c r="BR106" i="12" s="1"/>
  <c r="BX102" i="12"/>
  <c r="BR102" i="12" s="1"/>
  <c r="BV103" i="12"/>
  <c r="BP103" i="12" s="1"/>
  <c r="BW104" i="12"/>
  <c r="BQ104" i="12" s="1"/>
  <c r="BV107" i="12"/>
  <c r="BP107" i="12" s="1"/>
  <c r="BX104" i="12"/>
  <c r="BR104" i="12" s="1"/>
  <c r="BW107" i="12"/>
  <c r="BQ107" i="12" s="1"/>
  <c r="BV101" i="12"/>
  <c r="BP101" i="12" s="1"/>
  <c r="BX107" i="12"/>
  <c r="BR107" i="12" s="1"/>
  <c r="BV104" i="12"/>
  <c r="BP104" i="12" s="1"/>
  <c r="BW101" i="12"/>
  <c r="BQ101" i="12" s="1"/>
  <c r="BW105" i="12"/>
  <c r="BQ105" i="12" s="1"/>
  <c r="BX103" i="12"/>
  <c r="BR103" i="12" s="1"/>
  <c r="BV106" i="12"/>
  <c r="BP106" i="12" s="1"/>
  <c r="BX105" i="12"/>
  <c r="BR105" i="12" s="1"/>
  <c r="BV113" i="12"/>
  <c r="BP113" i="12" s="1"/>
  <c r="BW102" i="12"/>
  <c r="BQ102" i="12" s="1"/>
  <c r="BW106" i="12"/>
  <c r="BQ106" i="12" s="1"/>
  <c r="BX101" i="12"/>
  <c r="BR101" i="12" s="1"/>
  <c r="BV102" i="12"/>
  <c r="BP102" i="12" s="1"/>
  <c r="BL46" i="1"/>
  <c r="BL29" i="1"/>
  <c r="BL14" i="1"/>
  <c r="BM52" i="1"/>
  <c r="BM36" i="1"/>
  <c r="BM20" i="1"/>
  <c r="BN42" i="1"/>
  <c r="BN26" i="1"/>
  <c r="BN10" i="1"/>
  <c r="BO48" i="1"/>
  <c r="BO31" i="1"/>
  <c r="BO16" i="1"/>
  <c r="BI17" i="11"/>
  <c r="AS17" i="11" s="1"/>
  <c r="AV17" i="11" s="1"/>
  <c r="BI15" i="11"/>
  <c r="AS15" i="11" s="1"/>
  <c r="AV15" i="11" s="1"/>
  <c r="BI14" i="11"/>
  <c r="AS14" i="11" s="1"/>
  <c r="AV14" i="11" s="1"/>
  <c r="AR14" i="11"/>
  <c r="AU14" i="11" s="1"/>
  <c r="BJ7" i="11"/>
  <c r="AT7" i="11" s="1"/>
  <c r="AW7" i="11" s="1"/>
  <c r="AT17" i="11"/>
  <c r="AW17" i="11" s="1"/>
  <c r="BI7" i="11"/>
  <c r="AS7" i="11" s="1"/>
  <c r="AV7" i="11" s="1"/>
  <c r="AT16" i="11"/>
  <c r="AW16" i="11" s="1"/>
  <c r="BH7" i="11"/>
  <c r="AR7" i="11" s="1"/>
  <c r="AU7" i="11" s="1"/>
  <c r="AT15" i="11"/>
  <c r="AW15" i="11" s="1"/>
  <c r="AT14" i="11"/>
  <c r="AW14" i="11" s="1"/>
  <c r="AO3" i="6"/>
  <c r="AD3" i="6" s="1"/>
  <c r="AG3" i="6" s="1"/>
  <c r="AS16" i="11"/>
  <c r="AV16" i="11" s="1"/>
  <c r="AR17" i="11"/>
  <c r="AU17" i="11" s="1"/>
  <c r="AR16" i="11"/>
  <c r="AU16" i="11" s="1"/>
  <c r="AR15" i="11"/>
  <c r="AU15" i="11" s="1"/>
  <c r="AM54" i="5"/>
  <c r="AB54" i="5" s="1"/>
  <c r="AE54" i="5" s="1"/>
  <c r="AM53" i="5"/>
  <c r="AB53" i="5" s="1"/>
  <c r="AE53" i="5" s="1"/>
  <c r="BV17" i="12"/>
  <c r="BP17" i="12" s="1"/>
  <c r="AM52" i="5"/>
  <c r="AB52" i="5" s="1"/>
  <c r="AE52" i="5" s="1"/>
  <c r="BV16" i="12"/>
  <c r="BP16" i="12" s="1"/>
  <c r="AM50" i="5"/>
  <c r="AB50" i="5" s="1"/>
  <c r="AE50" i="5" s="1"/>
  <c r="AO50" i="4"/>
  <c r="AD50" i="4" s="1"/>
  <c r="AG50" i="4" s="1"/>
  <c r="AM5" i="5"/>
  <c r="AB5" i="5" s="1"/>
  <c r="AE5" i="5" s="1"/>
  <c r="AO49" i="4"/>
  <c r="AD49" i="4" s="1"/>
  <c r="AG49" i="4" s="1"/>
  <c r="BW100" i="12"/>
  <c r="BQ100" i="12" s="1"/>
  <c r="AZ100" i="12" s="1"/>
  <c r="BW38" i="12"/>
  <c r="BQ38" i="12" s="1"/>
  <c r="AO48" i="4"/>
  <c r="AD48" i="4" s="1"/>
  <c r="AG48" i="4" s="1"/>
  <c r="BW48" i="12"/>
  <c r="BQ48" i="12" s="1"/>
  <c r="AO47" i="4"/>
  <c r="AD47" i="4" s="1"/>
  <c r="AG47" i="4" s="1"/>
  <c r="BW8" i="12"/>
  <c r="BQ8" i="12" s="1"/>
  <c r="BI8" i="12" s="1"/>
  <c r="BX9" i="12"/>
  <c r="BR9" i="12" s="1"/>
  <c r="AN50" i="4"/>
  <c r="AC50" i="4" s="1"/>
  <c r="AF50" i="4" s="1"/>
  <c r="AO50" i="5"/>
  <c r="AD50" i="5" s="1"/>
  <c r="AG50" i="5" s="1"/>
  <c r="BW25" i="12"/>
  <c r="BQ25" i="12" s="1"/>
  <c r="AM50" i="4"/>
  <c r="AB50" i="4" s="1"/>
  <c r="AE50" i="4" s="1"/>
  <c r="AN49" i="4"/>
  <c r="AC49" i="4" s="1"/>
  <c r="AF49" i="4" s="1"/>
  <c r="AO5" i="5"/>
  <c r="AD5" i="5" s="1"/>
  <c r="AG5" i="5" s="1"/>
  <c r="AM49" i="4"/>
  <c r="AB49" i="4" s="1"/>
  <c r="AE49" i="4" s="1"/>
  <c r="AN48" i="4"/>
  <c r="AC48" i="4" s="1"/>
  <c r="AF48" i="4" s="1"/>
  <c r="AO9" i="5"/>
  <c r="BW20" i="12"/>
  <c r="BQ20" i="12" s="1"/>
  <c r="AM48" i="4"/>
  <c r="AB48" i="4" s="1"/>
  <c r="AE48" i="4" s="1"/>
  <c r="AN47" i="4"/>
  <c r="AC47" i="4" s="1"/>
  <c r="AF47" i="4" s="1"/>
  <c r="BW21" i="12"/>
  <c r="BQ21" i="12" s="1"/>
  <c r="AM47" i="4"/>
  <c r="AB47" i="4" s="1"/>
  <c r="AE47" i="4" s="1"/>
  <c r="AM8" i="5"/>
  <c r="AB8" i="5" s="1"/>
  <c r="AE8" i="5" s="1"/>
  <c r="BV5" i="12"/>
  <c r="BP5" i="12" s="1"/>
  <c r="AY5" i="12" s="1"/>
  <c r="BW7" i="12"/>
  <c r="BQ7" i="12" s="1"/>
  <c r="AM46" i="4"/>
  <c r="AB46" i="4" s="1"/>
  <c r="AE46" i="4" s="1"/>
  <c r="AM7" i="5"/>
  <c r="AB7" i="5" s="1"/>
  <c r="AE7" i="5" s="1"/>
  <c r="AM6" i="5"/>
  <c r="AB6" i="5" s="1"/>
  <c r="AE6" i="5" s="1"/>
  <c r="BW3" i="12"/>
  <c r="BQ3" i="12" s="1"/>
  <c r="AM42" i="3"/>
  <c r="AB42" i="3" s="1"/>
  <c r="AE42" i="3" s="1"/>
  <c r="AN7" i="3"/>
  <c r="AC7" i="3" s="1"/>
  <c r="AF7" i="3" s="1"/>
  <c r="AO48" i="3"/>
  <c r="AD48" i="3" s="1"/>
  <c r="AG48" i="3" s="1"/>
  <c r="AO47" i="3"/>
  <c r="AD47" i="3" s="1"/>
  <c r="AG47" i="3" s="1"/>
  <c r="AM10" i="3"/>
  <c r="AB10" i="3" s="1"/>
  <c r="AE10" i="3" s="1"/>
  <c r="AM8" i="3"/>
  <c r="AB8" i="3" s="1"/>
  <c r="AE8" i="3" s="1"/>
  <c r="AM7" i="3"/>
  <c r="AB7" i="3" s="1"/>
  <c r="AE7" i="3" s="1"/>
  <c r="AN48" i="3"/>
  <c r="AC48" i="3" s="1"/>
  <c r="AF48" i="3" s="1"/>
  <c r="AO46" i="3"/>
  <c r="AD46" i="3" s="1"/>
  <c r="AG46" i="3" s="1"/>
  <c r="AN47" i="3"/>
  <c r="AC47" i="3" s="1"/>
  <c r="AF47" i="3" s="1"/>
  <c r="AO45" i="3"/>
  <c r="AD45" i="3" s="1"/>
  <c r="AG45" i="3" s="1"/>
  <c r="AM48" i="3"/>
  <c r="AB48" i="3" s="1"/>
  <c r="AE48" i="3" s="1"/>
  <c r="AN46" i="3"/>
  <c r="AC46" i="3" s="1"/>
  <c r="AF46" i="3" s="1"/>
  <c r="AO44" i="3"/>
  <c r="AD44" i="3" s="1"/>
  <c r="AG44" i="3" s="1"/>
  <c r="AM47" i="3"/>
  <c r="AB47" i="3" s="1"/>
  <c r="AE47" i="3" s="1"/>
  <c r="AN45" i="3"/>
  <c r="AC45" i="3" s="1"/>
  <c r="AF45" i="3" s="1"/>
  <c r="AO3" i="3"/>
  <c r="AD3" i="3" s="1"/>
  <c r="AG3" i="3" s="1"/>
  <c r="AM46" i="3"/>
  <c r="AB46" i="3" s="1"/>
  <c r="AE46" i="3" s="1"/>
  <c r="AN44" i="3"/>
  <c r="AC44" i="3" s="1"/>
  <c r="AF44" i="3" s="1"/>
  <c r="AO9" i="3"/>
  <c r="AD9" i="3" s="1"/>
  <c r="AG9" i="3" s="1"/>
  <c r="AM45" i="3"/>
  <c r="AB45" i="3" s="1"/>
  <c r="AE45" i="3" s="1"/>
  <c r="AN3" i="3"/>
  <c r="AC3" i="3" s="1"/>
  <c r="AF3" i="3" s="1"/>
  <c r="AO5" i="3"/>
  <c r="AD5" i="3" s="1"/>
  <c r="AG5" i="3" s="1"/>
  <c r="AM44" i="3"/>
  <c r="AB44" i="3" s="1"/>
  <c r="AE44" i="3" s="1"/>
  <c r="AN9" i="3"/>
  <c r="AC9" i="3" s="1"/>
  <c r="AF9" i="3" s="1"/>
  <c r="AO4" i="3"/>
  <c r="AD4" i="3" s="1"/>
  <c r="AG4" i="3" s="1"/>
  <c r="AO13" i="3"/>
  <c r="AD13" i="3" s="1"/>
  <c r="AM3" i="3"/>
  <c r="AB3" i="3" s="1"/>
  <c r="AE3" i="3" s="1"/>
  <c r="AN5" i="3"/>
  <c r="AC5" i="3" s="1"/>
  <c r="AF5" i="3" s="1"/>
  <c r="AM9" i="3"/>
  <c r="AB9" i="3" s="1"/>
  <c r="AE9" i="3" s="1"/>
  <c r="AN4" i="3"/>
  <c r="AC4" i="3" s="1"/>
  <c r="AF4" i="3" s="1"/>
  <c r="AN13" i="3"/>
  <c r="AC13" i="3" s="1"/>
  <c r="AF13" i="3" s="1"/>
  <c r="AO42" i="3"/>
  <c r="AD42" i="3" s="1"/>
  <c r="AG42" i="3" s="1"/>
  <c r="AO10" i="3"/>
  <c r="AD10" i="3" s="1"/>
  <c r="AG10" i="3" s="1"/>
  <c r="AM5" i="3"/>
  <c r="AB5" i="3" s="1"/>
  <c r="AE5" i="3" s="1"/>
  <c r="AO8" i="3"/>
  <c r="AD8" i="3" s="1"/>
  <c r="AG8" i="3" s="1"/>
  <c r="AM4" i="3"/>
  <c r="AB4" i="3" s="1"/>
  <c r="AE4" i="3" s="1"/>
  <c r="AM13" i="3"/>
  <c r="AB13" i="3" s="1"/>
  <c r="AE13" i="3" s="1"/>
  <c r="AN42" i="3"/>
  <c r="AC42" i="3" s="1"/>
  <c r="AF42" i="3" s="1"/>
  <c r="AN10" i="3"/>
  <c r="AC10" i="3" s="1"/>
  <c r="AF10" i="3" s="1"/>
  <c r="AO7" i="3"/>
  <c r="AD7" i="3" s="1"/>
  <c r="AG7" i="3" s="1"/>
  <c r="AN8" i="3"/>
  <c r="AC8" i="3" s="1"/>
  <c r="AF8" i="3" s="1"/>
  <c r="BW23" i="12"/>
  <c r="BQ23" i="12" s="1"/>
  <c r="BV31" i="12"/>
  <c r="BP31" i="12" s="1"/>
  <c r="AY31" i="12" s="1"/>
  <c r="BW5" i="12"/>
  <c r="BQ5" i="12" s="1"/>
  <c r="BX25" i="12"/>
  <c r="BR25" i="12" s="1"/>
  <c r="BX7" i="12"/>
  <c r="BR7" i="12" s="1"/>
  <c r="BJ7" i="12" s="1"/>
  <c r="BX23" i="12"/>
  <c r="BR23" i="12" s="1"/>
  <c r="BW17" i="12"/>
  <c r="BQ17" i="12" s="1"/>
  <c r="BC17" i="12" s="1"/>
  <c r="BX100" i="12"/>
  <c r="BR100" i="12" s="1"/>
  <c r="BD100" i="12" s="1"/>
  <c r="BX38" i="12"/>
  <c r="BR38" i="12" s="1"/>
  <c r="BW16" i="12"/>
  <c r="BQ16" i="12" s="1"/>
  <c r="BX48" i="12"/>
  <c r="BR48" i="12" s="1"/>
  <c r="BX20" i="12"/>
  <c r="BR20" i="12" s="1"/>
  <c r="BX3" i="12"/>
  <c r="BR3" i="12" s="1"/>
  <c r="BX8" i="12"/>
  <c r="BR8" i="12" s="1"/>
  <c r="BG8" i="12" s="1"/>
  <c r="BX21" i="12"/>
  <c r="BR21" i="12" s="1"/>
  <c r="BJ21" i="12" s="1"/>
  <c r="BV9" i="12"/>
  <c r="BP9" i="12" s="1"/>
  <c r="AY9" i="12" s="1"/>
  <c r="BW31" i="12"/>
  <c r="BQ31" i="12" s="1"/>
  <c r="BX5" i="12"/>
  <c r="BR5" i="12" s="1"/>
  <c r="BJ5" i="12" s="1"/>
  <c r="BV25" i="12"/>
  <c r="BP25" i="12" s="1"/>
  <c r="BV7" i="12"/>
  <c r="BP7" i="12" s="1"/>
  <c r="BV23" i="12"/>
  <c r="BP23" i="12" s="1"/>
  <c r="BX17" i="12"/>
  <c r="BR17" i="12" s="1"/>
  <c r="BJ17" i="12" s="1"/>
  <c r="BV100" i="12"/>
  <c r="BP100" i="12" s="1"/>
  <c r="BV38" i="12"/>
  <c r="BP38" i="12" s="1"/>
  <c r="BX16" i="12"/>
  <c r="BR16" i="12" s="1"/>
  <c r="BG16" i="12" s="1"/>
  <c r="BV48" i="12"/>
  <c r="BP48" i="12" s="1"/>
  <c r="BV20" i="12"/>
  <c r="BP20" i="12" s="1"/>
  <c r="BV3" i="12"/>
  <c r="BP3" i="12" s="1"/>
  <c r="BV8" i="12"/>
  <c r="BP8" i="12" s="1"/>
  <c r="BV21" i="12"/>
  <c r="BP21" i="12" s="1"/>
  <c r="BW9" i="12"/>
  <c r="BQ9" i="12" s="1"/>
  <c r="BX31" i="12"/>
  <c r="BR31" i="12" s="1"/>
  <c r="AN46" i="4"/>
  <c r="AC46" i="4" s="1"/>
  <c r="AF46" i="4" s="1"/>
  <c r="AO46" i="4"/>
  <c r="AD46" i="4" s="1"/>
  <c r="AG46" i="4" s="1"/>
  <c r="AM3" i="4"/>
  <c r="AB3" i="4" s="1"/>
  <c r="AE3" i="4" s="1"/>
  <c r="AN3" i="4"/>
  <c r="AC3" i="4" s="1"/>
  <c r="AF3" i="4" s="1"/>
  <c r="AO3" i="4"/>
  <c r="AD3" i="4" s="1"/>
  <c r="AG3" i="4" s="1"/>
  <c r="AM4" i="4"/>
  <c r="AB4" i="4" s="1"/>
  <c r="AE4" i="4" s="1"/>
  <c r="AN4" i="4"/>
  <c r="AC4" i="4" s="1"/>
  <c r="AF4" i="4" s="1"/>
  <c r="AO4" i="4"/>
  <c r="AD4" i="4" s="1"/>
  <c r="AG4" i="4" s="1"/>
  <c r="AM9" i="4"/>
  <c r="AB9" i="4" s="1"/>
  <c r="AE9" i="4" s="1"/>
  <c r="AN9" i="4"/>
  <c r="AC9" i="4" s="1"/>
  <c r="AF9" i="4" s="1"/>
  <c r="AO9" i="4"/>
  <c r="AD9" i="4" s="1"/>
  <c r="AG9" i="4" s="1"/>
  <c r="AM44" i="4"/>
  <c r="AB44" i="4" s="1"/>
  <c r="AE44" i="4" s="1"/>
  <c r="AN44" i="4"/>
  <c r="AC44" i="4" s="1"/>
  <c r="AF44" i="4" s="1"/>
  <c r="AO44" i="4"/>
  <c r="AD44" i="4" s="1"/>
  <c r="AG44" i="4" s="1"/>
  <c r="AM13" i="4"/>
  <c r="AB13" i="4" s="1"/>
  <c r="AE13" i="4" s="1"/>
  <c r="AN13" i="4"/>
  <c r="AC13" i="4" s="1"/>
  <c r="AF13" i="4" s="1"/>
  <c r="AO13" i="4"/>
  <c r="AD13" i="4" s="1"/>
  <c r="AG13" i="4" s="1"/>
  <c r="AM11" i="4"/>
  <c r="AB11" i="4" s="1"/>
  <c r="AE11" i="4" s="1"/>
  <c r="AN11" i="4"/>
  <c r="AC11" i="4" s="1"/>
  <c r="AF11" i="4" s="1"/>
  <c r="AO11" i="4"/>
  <c r="AD11" i="4" s="1"/>
  <c r="AG11" i="4" s="1"/>
  <c r="AM10" i="4"/>
  <c r="AB10" i="4" s="1"/>
  <c r="AE10" i="4" s="1"/>
  <c r="AN10" i="4"/>
  <c r="AC10" i="4" s="1"/>
  <c r="AF10" i="4" s="1"/>
  <c r="AO10" i="4"/>
  <c r="AD10" i="4" s="1"/>
  <c r="AG10" i="4" s="1"/>
  <c r="AM8" i="4"/>
  <c r="AB8" i="4" s="1"/>
  <c r="AE8" i="4" s="1"/>
  <c r="AN8" i="4"/>
  <c r="AC8" i="4" s="1"/>
  <c r="AF8" i="4" s="1"/>
  <c r="AO8" i="4"/>
  <c r="AD8" i="4" s="1"/>
  <c r="AG8" i="4" s="1"/>
  <c r="AM51" i="5"/>
  <c r="AB51" i="5" s="1"/>
  <c r="AE51" i="5" s="1"/>
  <c r="AN12" i="5"/>
  <c r="AC12" i="5" s="1"/>
  <c r="AF12" i="5" s="1"/>
  <c r="AO4" i="5"/>
  <c r="AD4" i="5" s="1"/>
  <c r="AG4" i="5" s="1"/>
  <c r="AN56" i="5"/>
  <c r="AC56" i="5" s="1"/>
  <c r="AF56" i="5" s="1"/>
  <c r="AN11" i="5"/>
  <c r="AC11" i="5" s="1"/>
  <c r="AF11" i="5" s="1"/>
  <c r="AN55" i="5"/>
  <c r="AC55" i="5" s="1"/>
  <c r="AF55" i="5" s="1"/>
  <c r="AN10" i="5"/>
  <c r="AC10" i="5" s="1"/>
  <c r="AF10" i="5" s="1"/>
  <c r="AO48" i="5"/>
  <c r="AD48" i="5" s="1"/>
  <c r="AG48" i="5" s="1"/>
  <c r="AM9" i="5"/>
  <c r="AB9" i="5" s="1"/>
  <c r="AE9" i="5" s="1"/>
  <c r="AN54" i="5"/>
  <c r="AC54" i="5" s="1"/>
  <c r="AF54" i="5" s="1"/>
  <c r="AN8" i="5"/>
  <c r="AC8" i="5" s="1"/>
  <c r="AF8" i="5" s="1"/>
  <c r="AM4" i="5"/>
  <c r="AB4" i="5" s="1"/>
  <c r="AE4" i="5" s="1"/>
  <c r="AN53" i="5"/>
  <c r="AC53" i="5" s="1"/>
  <c r="AF53" i="5" s="1"/>
  <c r="AN7" i="5"/>
  <c r="AC7" i="5" s="1"/>
  <c r="AF7" i="5" s="1"/>
  <c r="AN52" i="5"/>
  <c r="AC52" i="5" s="1"/>
  <c r="AF52" i="5" s="1"/>
  <c r="AN6" i="5"/>
  <c r="AC6" i="5" s="1"/>
  <c r="AF6" i="5" s="1"/>
  <c r="AM48" i="5"/>
  <c r="AB48" i="5" s="1"/>
  <c r="AE48" i="5" s="1"/>
  <c r="AN51" i="5"/>
  <c r="AC51" i="5" s="1"/>
  <c r="AF51" i="5" s="1"/>
  <c r="AO12" i="5"/>
  <c r="AD12" i="5" s="1"/>
  <c r="AG12" i="5" s="1"/>
  <c r="AN50" i="5"/>
  <c r="AC50" i="5" s="1"/>
  <c r="AF50" i="5" s="1"/>
  <c r="AO56" i="5"/>
  <c r="AD56" i="5" s="1"/>
  <c r="AG56" i="5" s="1"/>
  <c r="AO11" i="5"/>
  <c r="AD11" i="5" s="1"/>
  <c r="AG11" i="5" s="1"/>
  <c r="AN5" i="5"/>
  <c r="AC5" i="5" s="1"/>
  <c r="AF5" i="5" s="1"/>
  <c r="AO55" i="5"/>
  <c r="AD55" i="5" s="1"/>
  <c r="AG55" i="5" s="1"/>
  <c r="AO10" i="5"/>
  <c r="AD10" i="5" s="1"/>
  <c r="AG10" i="5" s="1"/>
  <c r="AN9" i="5"/>
  <c r="AC9" i="5" s="1"/>
  <c r="AF9" i="5" s="1"/>
  <c r="AO54" i="5"/>
  <c r="AD54" i="5" s="1"/>
  <c r="AG54" i="5" s="1"/>
  <c r="AO8" i="5"/>
  <c r="AD8" i="5" s="1"/>
  <c r="AG8" i="5" s="1"/>
  <c r="AM12" i="5"/>
  <c r="AB12" i="5" s="1"/>
  <c r="AE12" i="5" s="1"/>
  <c r="AN4" i="5"/>
  <c r="AC4" i="5" s="1"/>
  <c r="AF4" i="5" s="1"/>
  <c r="AO53" i="5"/>
  <c r="AD53" i="5" s="1"/>
  <c r="AG53" i="5" s="1"/>
  <c r="AO7" i="5"/>
  <c r="AD7" i="5" s="1"/>
  <c r="AG7" i="5" s="1"/>
  <c r="AM56" i="5"/>
  <c r="AB56" i="5" s="1"/>
  <c r="AE56" i="5" s="1"/>
  <c r="AM11" i="5"/>
  <c r="AB11" i="5" s="1"/>
  <c r="AE11" i="5" s="1"/>
  <c r="AO52" i="5"/>
  <c r="AD52" i="5" s="1"/>
  <c r="AG52" i="5" s="1"/>
  <c r="AO6" i="5"/>
  <c r="AD6" i="5" s="1"/>
  <c r="AG6" i="5" s="1"/>
  <c r="AD9" i="5"/>
  <c r="AG9" i="5" s="1"/>
  <c r="AM55" i="5"/>
  <c r="AB55" i="5" s="1"/>
  <c r="AE55" i="5" s="1"/>
  <c r="AM10" i="5"/>
  <c r="AB10" i="5" s="1"/>
  <c r="AE10" i="5" s="1"/>
  <c r="AN48" i="5"/>
  <c r="AC48" i="5" s="1"/>
  <c r="AF48" i="5" s="1"/>
  <c r="AO51" i="5"/>
  <c r="AD51" i="5" s="1"/>
  <c r="AG51" i="5" s="1"/>
  <c r="AN49" i="6"/>
  <c r="AC49" i="6" s="1"/>
  <c r="AF49" i="6" s="1"/>
  <c r="AN48" i="6"/>
  <c r="AC48" i="6" s="1"/>
  <c r="AF48" i="6" s="1"/>
  <c r="AM48" i="6"/>
  <c r="AB48" i="6" s="1"/>
  <c r="AE48" i="6" s="1"/>
  <c r="AM47" i="6"/>
  <c r="AB47" i="6" s="1"/>
  <c r="AE47" i="6" s="1"/>
  <c r="AM4" i="6"/>
  <c r="AB4" i="6" s="1"/>
  <c r="AE4" i="6" s="1"/>
  <c r="AM5" i="6"/>
  <c r="AB5" i="6" s="1"/>
  <c r="AE5" i="6" s="1"/>
  <c r="AO50" i="6"/>
  <c r="AD50" i="6" s="1"/>
  <c r="AG50" i="6" s="1"/>
  <c r="AO49" i="6"/>
  <c r="AD49" i="6" s="1"/>
  <c r="AG49" i="6" s="1"/>
  <c r="AN47" i="6"/>
  <c r="AC47" i="6" s="1"/>
  <c r="AF47" i="6" s="1"/>
  <c r="AO48" i="6"/>
  <c r="AD48" i="6" s="1"/>
  <c r="AG48" i="6" s="1"/>
  <c r="AN4" i="6"/>
  <c r="AC4" i="6" s="1"/>
  <c r="AF4" i="6" s="1"/>
  <c r="AO47" i="6"/>
  <c r="AD47" i="6" s="1"/>
  <c r="AG47" i="6" s="1"/>
  <c r="AN5" i="6"/>
  <c r="AC5" i="6" s="1"/>
  <c r="AF5" i="6" s="1"/>
  <c r="AO4" i="6"/>
  <c r="AD4" i="6" s="1"/>
  <c r="AG4" i="6" s="1"/>
  <c r="AM14" i="6"/>
  <c r="AB14" i="6" s="1"/>
  <c r="AE14" i="6" s="1"/>
  <c r="AO5" i="6"/>
  <c r="AD5" i="6" s="1"/>
  <c r="AG5" i="6" s="1"/>
  <c r="AN14" i="6"/>
  <c r="AC14" i="6" s="1"/>
  <c r="AF14" i="6" s="1"/>
  <c r="AO14" i="6"/>
  <c r="AD14" i="6" s="1"/>
  <c r="AG14" i="6" s="1"/>
  <c r="AM10" i="6"/>
  <c r="AB10" i="6" s="1"/>
  <c r="AE10" i="6" s="1"/>
  <c r="AN10" i="6"/>
  <c r="AC10" i="6" s="1"/>
  <c r="AF10" i="6" s="1"/>
  <c r="AO10" i="6"/>
  <c r="AD10" i="6" s="1"/>
  <c r="AG10" i="6" s="1"/>
  <c r="AM7" i="6"/>
  <c r="AB7" i="6" s="1"/>
  <c r="AE7" i="6" s="1"/>
  <c r="AM6" i="6"/>
  <c r="AB6" i="6" s="1"/>
  <c r="AE6" i="6" s="1"/>
  <c r="AN7" i="6"/>
  <c r="AC7" i="6" s="1"/>
  <c r="AF7" i="6" s="1"/>
  <c r="AM51" i="6"/>
  <c r="AB51" i="6" s="1"/>
  <c r="AE51" i="6" s="1"/>
  <c r="AM3" i="6"/>
  <c r="AB3" i="6" s="1"/>
  <c r="AE3" i="6" s="1"/>
  <c r="AN6" i="6"/>
  <c r="AC6" i="6" s="1"/>
  <c r="AF6" i="6" s="1"/>
  <c r="AO7" i="6"/>
  <c r="AD7" i="6" s="1"/>
  <c r="AG7" i="6" s="1"/>
  <c r="AM50" i="6"/>
  <c r="AB50" i="6" s="1"/>
  <c r="AE50" i="6" s="1"/>
  <c r="AN51" i="6"/>
  <c r="AC51" i="6" s="1"/>
  <c r="AF51" i="6" s="1"/>
  <c r="AN3" i="6"/>
  <c r="AC3" i="6" s="1"/>
  <c r="AF3" i="6" s="1"/>
  <c r="AO6" i="6"/>
  <c r="AD6" i="6" s="1"/>
  <c r="AG6" i="6" s="1"/>
  <c r="AM49" i="6"/>
  <c r="AB49" i="6" s="1"/>
  <c r="AE49" i="6" s="1"/>
  <c r="AN50" i="6"/>
  <c r="AC50" i="6" s="1"/>
  <c r="AF50" i="6" s="1"/>
  <c r="AO51" i="6"/>
  <c r="AD51" i="6" s="1"/>
  <c r="AG51" i="6" s="1"/>
  <c r="BL50" i="1"/>
  <c r="BL34" i="1"/>
  <c r="BL18" i="1"/>
  <c r="BM39" i="1"/>
  <c r="BM24" i="1"/>
  <c r="BM8" i="1"/>
  <c r="BN46" i="1"/>
  <c r="BN29" i="1"/>
  <c r="BN14" i="1"/>
  <c r="BO52" i="1"/>
  <c r="BO36" i="1"/>
  <c r="BO20" i="1"/>
  <c r="BL49" i="1"/>
  <c r="BL33" i="1"/>
  <c r="BL17" i="1"/>
  <c r="BM41" i="1"/>
  <c r="BM23" i="1"/>
  <c r="BM7" i="1"/>
  <c r="BN45" i="1"/>
  <c r="BN30" i="1"/>
  <c r="BN13" i="1"/>
  <c r="BO51" i="1"/>
  <c r="BO35" i="1"/>
  <c r="BO19" i="1"/>
  <c r="BL48" i="1"/>
  <c r="BL31" i="1"/>
  <c r="BL16" i="1"/>
  <c r="BM4" i="1"/>
  <c r="BM38" i="1"/>
  <c r="BM22" i="1"/>
  <c r="BM6" i="1"/>
  <c r="BN43" i="1"/>
  <c r="BN28" i="1"/>
  <c r="BN12" i="1"/>
  <c r="BO50" i="1"/>
  <c r="BO34" i="1"/>
  <c r="BO18" i="1"/>
  <c r="BL47" i="1"/>
  <c r="BL32" i="1"/>
  <c r="BL15" i="1"/>
  <c r="BM37" i="1"/>
  <c r="BM21" i="1"/>
  <c r="BM5" i="1"/>
  <c r="BN44" i="1"/>
  <c r="BN27" i="1"/>
  <c r="BN11" i="1"/>
  <c r="BO49" i="1"/>
  <c r="BO33" i="1"/>
  <c r="BO17" i="1"/>
  <c r="BM43" i="1"/>
  <c r="BM46" i="1"/>
  <c r="BM29" i="1"/>
  <c r="BM14" i="1"/>
  <c r="BL41" i="1"/>
  <c r="BL23" i="1"/>
  <c r="BL7" i="1"/>
  <c r="BM45" i="1"/>
  <c r="BM30" i="1"/>
  <c r="BM13" i="1"/>
  <c r="BM28" i="1"/>
  <c r="BM12" i="1"/>
  <c r="BM44" i="1"/>
  <c r="BK44" i="1" s="1"/>
  <c r="BM27" i="1"/>
  <c r="BM11" i="1"/>
  <c r="BL45" i="1"/>
  <c r="BL30" i="1"/>
  <c r="BM51" i="1"/>
  <c r="BM35" i="1"/>
  <c r="BM19" i="1"/>
  <c r="BN40" i="1"/>
  <c r="BN25" i="1"/>
  <c r="BN9" i="1"/>
  <c r="BO32" i="1"/>
  <c r="BO15" i="1"/>
  <c r="BL43" i="1"/>
  <c r="BL28" i="1"/>
  <c r="BL12" i="1"/>
  <c r="BM50" i="1"/>
  <c r="BM34" i="1"/>
  <c r="BK34" i="1" s="1"/>
  <c r="BM18" i="1"/>
  <c r="BN39" i="1"/>
  <c r="BN24" i="1"/>
  <c r="BN8" i="1"/>
  <c r="BO29" i="1"/>
  <c r="BO14" i="1"/>
  <c r="BL44" i="1"/>
  <c r="BL27" i="1"/>
  <c r="BL11" i="1"/>
  <c r="BM49" i="1"/>
  <c r="BM33" i="1"/>
  <c r="BM17" i="1"/>
  <c r="BN41" i="1"/>
  <c r="BN23" i="1"/>
  <c r="BN7" i="1"/>
  <c r="BO30" i="1"/>
  <c r="BO13" i="1"/>
  <c r="BL42" i="1"/>
  <c r="BL26" i="1"/>
  <c r="BL10" i="1"/>
  <c r="BM48" i="1"/>
  <c r="BM31" i="1"/>
  <c r="BM16" i="1"/>
  <c r="BN4" i="1"/>
  <c r="BN38" i="1"/>
  <c r="BN22" i="1"/>
  <c r="BN6" i="1"/>
  <c r="BO43" i="1"/>
  <c r="BO28" i="1"/>
  <c r="BO12" i="1"/>
  <c r="BL52" i="1"/>
  <c r="BL36" i="1"/>
  <c r="BL20" i="1"/>
  <c r="BM42" i="1"/>
  <c r="BM26" i="1"/>
  <c r="BM10" i="1"/>
  <c r="BN48" i="1"/>
  <c r="BN31" i="1"/>
  <c r="BN16" i="1"/>
  <c r="BO4" i="1"/>
  <c r="BO38" i="1"/>
  <c r="BO22" i="1"/>
  <c r="BO6" i="1"/>
  <c r="BL51" i="1"/>
  <c r="BL35" i="1"/>
  <c r="BL19" i="1"/>
  <c r="BM40" i="1"/>
  <c r="BK40" i="1" s="1"/>
  <c r="BM25" i="1"/>
  <c r="BK25" i="1" s="1"/>
  <c r="BM9" i="1"/>
  <c r="BN47" i="1"/>
  <c r="BN32" i="1"/>
  <c r="BK32" i="1" s="1"/>
  <c r="BN15" i="1"/>
  <c r="BO37" i="1"/>
  <c r="BO21" i="1"/>
  <c r="BO5" i="1"/>
  <c r="BL13" i="1"/>
  <c r="BL39" i="1"/>
  <c r="BL24" i="1"/>
  <c r="BL8" i="1"/>
  <c r="BN52" i="1"/>
  <c r="BN36" i="1"/>
  <c r="BN20" i="1"/>
  <c r="BO42" i="1"/>
  <c r="BO26" i="1"/>
  <c r="BO10" i="1"/>
  <c r="BN51" i="1"/>
  <c r="BN35" i="1"/>
  <c r="BN19" i="1"/>
  <c r="BO40" i="1"/>
  <c r="BO25" i="1"/>
  <c r="BO9" i="1"/>
  <c r="BL4" i="1"/>
  <c r="BL38" i="1"/>
  <c r="BK38" i="1" s="1"/>
  <c r="BL22" i="1"/>
  <c r="BL6" i="1"/>
  <c r="BK6" i="1" s="1"/>
  <c r="BN50" i="1"/>
  <c r="BN34" i="1"/>
  <c r="BN18" i="1"/>
  <c r="BO39" i="1"/>
  <c r="BO24" i="1"/>
  <c r="BO8" i="1"/>
  <c r="BL37" i="1"/>
  <c r="BL21" i="1"/>
  <c r="BL5" i="1"/>
  <c r="BN49" i="1"/>
  <c r="BN33" i="1"/>
  <c r="BN17" i="1"/>
  <c r="BO41" i="1"/>
  <c r="BO23" i="1"/>
  <c r="BO7" i="1"/>
  <c r="BK47" i="1"/>
  <c r="BK46" i="1"/>
  <c r="BK48" i="1"/>
  <c r="BM118" i="12"/>
  <c r="BM154" i="12"/>
  <c r="BN215" i="12"/>
  <c r="BN118" i="12"/>
  <c r="BN214" i="12"/>
  <c r="BN123" i="12"/>
  <c r="BM215" i="12"/>
  <c r="BM214" i="12"/>
  <c r="BO154" i="12"/>
  <c r="BO118" i="12"/>
  <c r="BN154" i="12"/>
  <c r="BM123" i="12"/>
  <c r="BO123" i="12"/>
  <c r="BL215" i="12"/>
  <c r="BL214" i="12"/>
  <c r="BL118" i="12"/>
  <c r="BO215" i="12"/>
  <c r="BL154" i="12"/>
  <c r="BO214" i="12"/>
  <c r="BL123" i="12"/>
  <c r="BM122" i="12"/>
  <c r="BM131" i="12"/>
  <c r="BN141" i="12"/>
  <c r="BN122" i="12"/>
  <c r="BL132" i="12"/>
  <c r="BO122" i="12"/>
  <c r="BN131" i="12"/>
  <c r="BM125" i="12"/>
  <c r="BO131" i="12"/>
  <c r="BN125" i="12"/>
  <c r="BO125" i="12"/>
  <c r="BM127" i="12"/>
  <c r="BN127" i="12"/>
  <c r="BM141" i="12"/>
  <c r="BO127" i="12"/>
  <c r="BO141" i="12"/>
  <c r="BL127" i="12"/>
  <c r="BL141" i="12"/>
  <c r="BL122" i="12"/>
  <c r="BL131" i="12"/>
  <c r="BL125" i="12"/>
  <c r="BL116" i="12"/>
  <c r="BO116" i="12"/>
  <c r="BO132" i="12"/>
  <c r="BM132" i="12"/>
  <c r="BN134" i="12"/>
  <c r="BN132" i="12"/>
  <c r="BN124" i="12"/>
  <c r="BM134" i="12"/>
  <c r="BM116" i="12"/>
  <c r="BO133" i="12"/>
  <c r="BN116" i="12"/>
  <c r="BO124" i="12"/>
  <c r="BM137" i="12"/>
  <c r="BO134" i="12"/>
  <c r="BN137" i="12"/>
  <c r="BM117" i="12"/>
  <c r="BL133" i="12"/>
  <c r="BO137" i="12"/>
  <c r="BN117" i="12"/>
  <c r="BM133" i="12"/>
  <c r="BL124" i="12"/>
  <c r="BO117" i="12"/>
  <c r="BN133" i="12"/>
  <c r="BM124" i="12"/>
  <c r="BL134" i="12"/>
  <c r="BL137" i="12"/>
  <c r="BL117" i="12"/>
  <c r="N28" i="10" l="1"/>
  <c r="N21" i="10"/>
  <c r="O28" i="10"/>
  <c r="O21" i="10"/>
  <c r="M28" i="10"/>
  <c r="M21" i="10"/>
  <c r="D12" i="10"/>
  <c r="D5" i="10"/>
  <c r="E12" i="10"/>
  <c r="E5" i="10"/>
  <c r="F12" i="10"/>
  <c r="F5" i="10"/>
  <c r="BE105" i="12"/>
  <c r="BA113" i="12"/>
  <c r="BG113" i="12"/>
  <c r="BG109" i="12"/>
  <c r="BA109" i="12"/>
  <c r="BJ109" i="12"/>
  <c r="BD109" i="12"/>
  <c r="BD113" i="12"/>
  <c r="BG108" i="12"/>
  <c r="BA108" i="12"/>
  <c r="BJ108" i="12"/>
  <c r="BD108" i="12"/>
  <c r="AZ109" i="12"/>
  <c r="BI109" i="12"/>
  <c r="BC109" i="12"/>
  <c r="BF109" i="12"/>
  <c r="BH105" i="12"/>
  <c r="AZ108" i="12"/>
  <c r="BI108" i="12"/>
  <c r="BC108" i="12"/>
  <c r="BF108" i="12"/>
  <c r="AY105" i="12"/>
  <c r="AY109" i="12"/>
  <c r="BH109" i="12"/>
  <c r="BB109" i="12"/>
  <c r="BE109" i="12"/>
  <c r="AY108" i="12"/>
  <c r="BH108" i="12"/>
  <c r="BB108" i="12"/>
  <c r="BE108" i="12"/>
  <c r="BH111" i="12"/>
  <c r="AY111" i="12"/>
  <c r="BB111" i="12"/>
  <c r="BE111" i="12"/>
  <c r="BF103" i="12"/>
  <c r="AY110" i="12"/>
  <c r="BH110" i="12"/>
  <c r="BB110" i="12"/>
  <c r="BE110" i="12"/>
  <c r="BG111" i="12"/>
  <c r="BA111" i="12"/>
  <c r="BJ111" i="12"/>
  <c r="BD111" i="12"/>
  <c r="BG110" i="12"/>
  <c r="BA110" i="12"/>
  <c r="BJ110" i="12"/>
  <c r="BD110" i="12"/>
  <c r="AZ110" i="12"/>
  <c r="BI110" i="12"/>
  <c r="BC110" i="12"/>
  <c r="BF110" i="12"/>
  <c r="AZ111" i="12"/>
  <c r="BI111" i="12"/>
  <c r="BC111" i="12"/>
  <c r="BF111" i="12"/>
  <c r="BA112" i="12"/>
  <c r="BD112" i="12"/>
  <c r="BG112" i="12"/>
  <c r="BJ112" i="12"/>
  <c r="AZ112" i="12"/>
  <c r="BC112" i="12"/>
  <c r="BF112" i="12"/>
  <c r="BI112" i="12"/>
  <c r="BI103" i="12"/>
  <c r="AY112" i="12"/>
  <c r="BB112" i="12"/>
  <c r="BE112" i="12"/>
  <c r="BH112" i="12"/>
  <c r="BC103" i="12"/>
  <c r="BA107" i="12"/>
  <c r="BD107" i="12"/>
  <c r="BG107" i="12"/>
  <c r="BJ107" i="12"/>
  <c r="BA101" i="12"/>
  <c r="BD101" i="12"/>
  <c r="BG101" i="12"/>
  <c r="BJ101" i="12"/>
  <c r="AZ107" i="12"/>
  <c r="BC107" i="12"/>
  <c r="BF107" i="12"/>
  <c r="BI107" i="12"/>
  <c r="BB102" i="12"/>
  <c r="BE102" i="12"/>
  <c r="BH102" i="12"/>
  <c r="AY102" i="12"/>
  <c r="BI106" i="12"/>
  <c r="AZ106" i="12"/>
  <c r="BC106" i="12"/>
  <c r="BF106" i="12"/>
  <c r="BA104" i="12"/>
  <c r="BD104" i="12"/>
  <c r="BG104" i="12"/>
  <c r="BJ104" i="12"/>
  <c r="BF102" i="12"/>
  <c r="BC102" i="12"/>
  <c r="BI102" i="12"/>
  <c r="AZ102" i="12"/>
  <c r="BE113" i="12"/>
  <c r="BH113" i="12"/>
  <c r="AY113" i="12"/>
  <c r="BB113" i="12"/>
  <c r="AY107" i="12"/>
  <c r="BB107" i="12"/>
  <c r="BE107" i="12"/>
  <c r="BH107" i="12"/>
  <c r="BC104" i="12"/>
  <c r="AZ104" i="12"/>
  <c r="BF104" i="12"/>
  <c r="BI104" i="12"/>
  <c r="BD105" i="12"/>
  <c r="BG105" i="12"/>
  <c r="BA105" i="12"/>
  <c r="BJ105" i="12"/>
  <c r="AY106" i="12"/>
  <c r="BB106" i="12"/>
  <c r="BH106" i="12"/>
  <c r="BE106" i="12"/>
  <c r="BH103" i="12"/>
  <c r="AY103" i="12"/>
  <c r="BB103" i="12"/>
  <c r="BE103" i="12"/>
  <c r="BD103" i="12"/>
  <c r="BG103" i="12"/>
  <c r="BA103" i="12"/>
  <c r="BJ103" i="12"/>
  <c r="BJ102" i="12"/>
  <c r="BA102" i="12"/>
  <c r="BD102" i="12"/>
  <c r="BG102" i="12"/>
  <c r="BD106" i="12"/>
  <c r="BG106" i="12"/>
  <c r="BJ106" i="12"/>
  <c r="BA106" i="12"/>
  <c r="BH101" i="12"/>
  <c r="AY101" i="12"/>
  <c r="BB101" i="12"/>
  <c r="BE101" i="12"/>
  <c r="AZ105" i="12"/>
  <c r="BI105" i="12"/>
  <c r="BF105" i="12"/>
  <c r="BC105" i="12"/>
  <c r="BC113" i="12"/>
  <c r="AZ113" i="12"/>
  <c r="BF113" i="12"/>
  <c r="BI113" i="12"/>
  <c r="AZ101" i="12"/>
  <c r="BC101" i="12"/>
  <c r="BF101" i="12"/>
  <c r="BI101" i="12"/>
  <c r="AY104" i="12"/>
  <c r="BE104" i="12"/>
  <c r="BH104" i="12"/>
  <c r="BB104" i="12"/>
  <c r="BK50" i="1"/>
  <c r="BK35" i="1"/>
  <c r="BK49" i="1"/>
  <c r="BK8" i="1"/>
  <c r="BK51" i="1"/>
  <c r="BK24" i="1"/>
  <c r="BK15" i="1"/>
  <c r="BK39" i="1"/>
  <c r="BK31" i="1"/>
  <c r="BK4" i="1"/>
  <c r="BK11" i="1"/>
  <c r="BK27" i="1"/>
  <c r="BK29" i="1"/>
  <c r="BK14" i="1"/>
  <c r="BF17" i="12"/>
  <c r="AZ17" i="12"/>
  <c r="BI17" i="12"/>
  <c r="AY17" i="12"/>
  <c r="BH17" i="12"/>
  <c r="BB17" i="12"/>
  <c r="BE17" i="12"/>
  <c r="BA7" i="12"/>
  <c r="BD7" i="12"/>
  <c r="BG7" i="12"/>
  <c r="BF8" i="12"/>
  <c r="BC21" i="12"/>
  <c r="BI21" i="12"/>
  <c r="BF21" i="12"/>
  <c r="AZ21" i="12"/>
  <c r="BG9" i="12"/>
  <c r="BJ9" i="12"/>
  <c r="BD9" i="12"/>
  <c r="BA9" i="12"/>
  <c r="AY16" i="12"/>
  <c r="BH16" i="12"/>
  <c r="BE16" i="12"/>
  <c r="BB16" i="12"/>
  <c r="BI38" i="12"/>
  <c r="BC38" i="12"/>
  <c r="AZ38" i="12"/>
  <c r="BF38" i="12"/>
  <c r="BC8" i="12"/>
  <c r="AZ8" i="12"/>
  <c r="BE8" i="12"/>
  <c r="AY8" i="12"/>
  <c r="BB8" i="12"/>
  <c r="BI23" i="12"/>
  <c r="AZ23" i="12"/>
  <c r="BC23" i="12"/>
  <c r="BF23" i="12"/>
  <c r="AZ7" i="12"/>
  <c r="BI7" i="12"/>
  <c r="BF7" i="12"/>
  <c r="BC7" i="12"/>
  <c r="BC9" i="12"/>
  <c r="AZ9" i="12"/>
  <c r="BF9" i="12"/>
  <c r="BI9" i="12"/>
  <c r="AY48" i="12"/>
  <c r="BB48" i="12"/>
  <c r="BE48" i="12"/>
  <c r="BH48" i="12"/>
  <c r="BI20" i="12"/>
  <c r="BF20" i="12"/>
  <c r="BC20" i="12"/>
  <c r="AZ20" i="12"/>
  <c r="AZ25" i="12"/>
  <c r="BI25" i="12"/>
  <c r="BF25" i="12"/>
  <c r="BC25" i="12"/>
  <c r="AZ48" i="12"/>
  <c r="BC48" i="12"/>
  <c r="BF48" i="12"/>
  <c r="BI48" i="12"/>
  <c r="BI3" i="12"/>
  <c r="BC3" i="12"/>
  <c r="AZ3" i="12"/>
  <c r="BF3" i="12"/>
  <c r="BA16" i="12"/>
  <c r="BG5" i="12"/>
  <c r="BA5" i="12"/>
  <c r="BJ16" i="12"/>
  <c r="BD16" i="12"/>
  <c r="BG21" i="12"/>
  <c r="BA21" i="12"/>
  <c r="BD21" i="12"/>
  <c r="BD5" i="12"/>
  <c r="BH38" i="12"/>
  <c r="AY38" i="12"/>
  <c r="BE38" i="12"/>
  <c r="BB38" i="12"/>
  <c r="BC16" i="12"/>
  <c r="AZ16" i="12"/>
  <c r="BI16" i="12"/>
  <c r="BF16" i="12"/>
  <c r="BJ23" i="12"/>
  <c r="BG23" i="12"/>
  <c r="BD23" i="12"/>
  <c r="BA23" i="12"/>
  <c r="AY100" i="12"/>
  <c r="BB100" i="12"/>
  <c r="BE100" i="12"/>
  <c r="BH100" i="12"/>
  <c r="AY23" i="12"/>
  <c r="BB23" i="12"/>
  <c r="BE23" i="12"/>
  <c r="BH23" i="12"/>
  <c r="AY21" i="12"/>
  <c r="BE21" i="12"/>
  <c r="BH21" i="12"/>
  <c r="BB21" i="12"/>
  <c r="BI31" i="12"/>
  <c r="AZ31" i="12"/>
  <c r="BF31" i="12"/>
  <c r="BC31" i="12"/>
  <c r="AY7" i="12"/>
  <c r="BE7" i="12"/>
  <c r="BB7" i="12"/>
  <c r="BH7" i="12"/>
  <c r="BJ3" i="12"/>
  <c r="BA3" i="12"/>
  <c r="BG3" i="12"/>
  <c r="BD3" i="12"/>
  <c r="BE3" i="12"/>
  <c r="AY3" i="12"/>
  <c r="BH3" i="12"/>
  <c r="BB3" i="12"/>
  <c r="AY25" i="12"/>
  <c r="BB25" i="12"/>
  <c r="BE25" i="12"/>
  <c r="BH25" i="12"/>
  <c r="BD20" i="12"/>
  <c r="BA20" i="12"/>
  <c r="BJ20" i="12"/>
  <c r="BG20" i="12"/>
  <c r="BJ31" i="12"/>
  <c r="BG31" i="12"/>
  <c r="BD31" i="12"/>
  <c r="BA31" i="12"/>
  <c r="AY20" i="12"/>
  <c r="BH20" i="12"/>
  <c r="BB20" i="12"/>
  <c r="BE20" i="12"/>
  <c r="BA25" i="12"/>
  <c r="BJ25" i="12"/>
  <c r="BD25" i="12"/>
  <c r="BG25" i="12"/>
  <c r="BJ38" i="12"/>
  <c r="BA38" i="12"/>
  <c r="BD38" i="12"/>
  <c r="BG38" i="12"/>
  <c r="BJ48" i="12"/>
  <c r="BA48" i="12"/>
  <c r="BD48" i="12"/>
  <c r="BG48" i="12"/>
  <c r="AZ5" i="12"/>
  <c r="BC5" i="12"/>
  <c r="BF5" i="12"/>
  <c r="BI5" i="12"/>
  <c r="BA100" i="12"/>
  <c r="BJ100" i="12"/>
  <c r="BA17" i="12"/>
  <c r="BD17" i="12"/>
  <c r="BH5" i="12"/>
  <c r="BG17" i="12"/>
  <c r="BE5" i="12"/>
  <c r="BG100" i="12"/>
  <c r="BB9" i="12"/>
  <c r="BB5" i="12"/>
  <c r="BI100" i="12"/>
  <c r="BD8" i="12"/>
  <c r="BB31" i="12"/>
  <c r="BE9" i="12"/>
  <c r="BF100" i="12"/>
  <c r="BA8" i="12"/>
  <c r="BE31" i="12"/>
  <c r="BH9" i="12"/>
  <c r="BC100" i="12"/>
  <c r="BJ8" i="12"/>
  <c r="BH31" i="12"/>
  <c r="BH8" i="12"/>
  <c r="BK28" i="1"/>
  <c r="BK43" i="1"/>
  <c r="BK30" i="1"/>
  <c r="BK17" i="1"/>
  <c r="BK13" i="1"/>
  <c r="BK22" i="1"/>
  <c r="BK16" i="1"/>
  <c r="BK41" i="1"/>
  <c r="BK21" i="1"/>
  <c r="BK12" i="1"/>
  <c r="BK37" i="1"/>
  <c r="BK26" i="1"/>
  <c r="BK45" i="1"/>
  <c r="BK33" i="1"/>
  <c r="BK9" i="1"/>
  <c r="BK18" i="1"/>
  <c r="BK7" i="1"/>
  <c r="BK23" i="1"/>
  <c r="BK5" i="1"/>
  <c r="BK42" i="1"/>
  <c r="BK10" i="1"/>
  <c r="BK20" i="1"/>
  <c r="BK36" i="1"/>
  <c r="BK19" i="1"/>
  <c r="BK52" i="1"/>
  <c r="BK154" i="12"/>
  <c r="BK123" i="12"/>
  <c r="BK118" i="12"/>
  <c r="BK214" i="12"/>
  <c r="BK215" i="12"/>
  <c r="BK131" i="12"/>
  <c r="BK122" i="12"/>
  <c r="BK141" i="12"/>
  <c r="BK127" i="12"/>
  <c r="BK125" i="12"/>
  <c r="BK116" i="12"/>
  <c r="BK132" i="12"/>
  <c r="BK134" i="12"/>
  <c r="BK124" i="12"/>
  <c r="BK137" i="12"/>
  <c r="AG13" i="3"/>
  <c r="BK133" i="12"/>
  <c r="BK117" i="12"/>
  <c r="BO108" i="12" l="1"/>
  <c r="BM108" i="12"/>
  <c r="BM109" i="12"/>
  <c r="BN108" i="12"/>
  <c r="BL108" i="12"/>
  <c r="BK108" i="12" s="1"/>
  <c r="BN109" i="12"/>
  <c r="BL109" i="12"/>
  <c r="BM110" i="12"/>
  <c r="BL113" i="12"/>
  <c r="BO109" i="12"/>
  <c r="BN113" i="12"/>
  <c r="BM102" i="12"/>
  <c r="BN110" i="12"/>
  <c r="BO110" i="12"/>
  <c r="BO112" i="12"/>
  <c r="BL110" i="12"/>
  <c r="BK110" i="12" s="1"/>
  <c r="BN106" i="12"/>
  <c r="BN112" i="12"/>
  <c r="BM112" i="12"/>
  <c r="BN111" i="12"/>
  <c r="BL112" i="12"/>
  <c r="BM111" i="12"/>
  <c r="BM113" i="12"/>
  <c r="BL111" i="12"/>
  <c r="BO111" i="12"/>
  <c r="BL102" i="12"/>
  <c r="BO102" i="12"/>
  <c r="BO113" i="12"/>
  <c r="BK113" i="12" s="1"/>
  <c r="BN105" i="12"/>
  <c r="BM104" i="12"/>
  <c r="BO106" i="12"/>
  <c r="BM106" i="12"/>
  <c r="BN102" i="12"/>
  <c r="BM105" i="12"/>
  <c r="BO105" i="12"/>
  <c r="BL106" i="12"/>
  <c r="BL105" i="12"/>
  <c r="BL104" i="12"/>
  <c r="BO104" i="12"/>
  <c r="BN101" i="12"/>
  <c r="BN103" i="12"/>
  <c r="BO107" i="12"/>
  <c r="BN104" i="12"/>
  <c r="BM101" i="12"/>
  <c r="BM103" i="12"/>
  <c r="BN107" i="12"/>
  <c r="BL101" i="12"/>
  <c r="BL103" i="12"/>
  <c r="BM107" i="12"/>
  <c r="BO101" i="12"/>
  <c r="BO103" i="12"/>
  <c r="BL107" i="12"/>
  <c r="BO17" i="12"/>
  <c r="BL17" i="12"/>
  <c r="BN23" i="12"/>
  <c r="BM48" i="12"/>
  <c r="BN48" i="12"/>
  <c r="BM17" i="12"/>
  <c r="BN17" i="12"/>
  <c r="BO25" i="12"/>
  <c r="BO21" i="12"/>
  <c r="BL9" i="12"/>
  <c r="BL7" i="12"/>
  <c r="BN8" i="12"/>
  <c r="BL16" i="12"/>
  <c r="BN3" i="12"/>
  <c r="BO8" i="12"/>
  <c r="BN5" i="12"/>
  <c r="BO5" i="12"/>
  <c r="BL5" i="12"/>
  <c r="BO7" i="12"/>
  <c r="BL20" i="12"/>
  <c r="BL23" i="12"/>
  <c r="BM16" i="12"/>
  <c r="BM23" i="12"/>
  <c r="BN7" i="12"/>
  <c r="BL25" i="12"/>
  <c r="BN16" i="12"/>
  <c r="BL38" i="12"/>
  <c r="BM20" i="12"/>
  <c r="BM25" i="12"/>
  <c r="BN25" i="12"/>
  <c r="BM3" i="12"/>
  <c r="BO48" i="12"/>
  <c r="BM8" i="12"/>
  <c r="BL8" i="12"/>
  <c r="BM31" i="12"/>
  <c r="BL48" i="12"/>
  <c r="BM9" i="12"/>
  <c r="BL31" i="12"/>
  <c r="BM100" i="12"/>
  <c r="BO100" i="12"/>
  <c r="BM38" i="12"/>
  <c r="BO38" i="12"/>
  <c r="BO3" i="12"/>
  <c r="BN38" i="12"/>
  <c r="BM7" i="12"/>
  <c r="BL100" i="12"/>
  <c r="BL3" i="12"/>
  <c r="BO20" i="12"/>
  <c r="BO31" i="12"/>
  <c r="BO9" i="12"/>
  <c r="BN31" i="12"/>
  <c r="BO23" i="12"/>
  <c r="BO16" i="12"/>
  <c r="BN20" i="12"/>
  <c r="BN9" i="12"/>
  <c r="BM5" i="12"/>
  <c r="BN21" i="12"/>
  <c r="BM21" i="12"/>
  <c r="BN100" i="12"/>
  <c r="BL21" i="12"/>
  <c r="BK102" i="12" l="1"/>
  <c r="BK109" i="12"/>
  <c r="BK111" i="12"/>
  <c r="BK112" i="12"/>
  <c r="BK106" i="12"/>
  <c r="BK104" i="12"/>
  <c r="BK105" i="12"/>
  <c r="BK107" i="12"/>
  <c r="BK103" i="12"/>
  <c r="BK101" i="12"/>
  <c r="BK17" i="12"/>
  <c r="BK16" i="12"/>
  <c r="BK31" i="12"/>
  <c r="BK20" i="12"/>
  <c r="BK23" i="12"/>
  <c r="BK48" i="12"/>
  <c r="BK5" i="12"/>
  <c r="BK8" i="12"/>
  <c r="BK7" i="12"/>
  <c r="BK25" i="12"/>
  <c r="BK9" i="12"/>
  <c r="BK21" i="12"/>
  <c r="BK3" i="12"/>
  <c r="BK100" i="12"/>
  <c r="BK38" i="12"/>
  <c r="AH100" i="6"/>
  <c r="AE100" i="6"/>
  <c r="AF100" i="6"/>
  <c r="AG100" i="6"/>
  <c r="AH42" i="6"/>
  <c r="AS42" i="6"/>
  <c r="AM42" i="6" s="1"/>
  <c r="AT42" i="6"/>
  <c r="AU42" i="6"/>
  <c r="I154" i="13"/>
  <c r="K154" i="13" s="1"/>
  <c r="C154" i="13"/>
  <c r="E154" i="13" s="1"/>
  <c r="I153" i="13"/>
  <c r="K153" i="13" s="1"/>
  <c r="C153" i="13"/>
  <c r="E153" i="13" s="1"/>
  <c r="I104" i="13"/>
  <c r="K104" i="13" s="1"/>
  <c r="C104" i="13"/>
  <c r="E104" i="13" s="1"/>
  <c r="I103" i="13"/>
  <c r="K103" i="13" s="1"/>
  <c r="C103" i="13"/>
  <c r="E103" i="13" s="1"/>
  <c r="I54" i="13"/>
  <c r="K54" i="13" s="1"/>
  <c r="C54" i="13"/>
  <c r="E54" i="13" s="1"/>
  <c r="I53" i="13"/>
  <c r="K53" i="13" s="1"/>
  <c r="C53" i="13"/>
  <c r="E53" i="13" s="1"/>
  <c r="I4" i="13"/>
  <c r="K4" i="13" s="1"/>
  <c r="C4" i="13"/>
  <c r="E4" i="13" s="1"/>
  <c r="I3" i="13"/>
  <c r="K3" i="13" s="1"/>
  <c r="C3" i="13"/>
  <c r="E3" i="13" s="1"/>
  <c r="AO42" i="6" l="1"/>
  <c r="AD42" i="6" s="1"/>
  <c r="AG42" i="6" s="1"/>
  <c r="AN42" i="6"/>
  <c r="AC42" i="6" s="1"/>
  <c r="AF42" i="6" s="1"/>
  <c r="K105" i="13"/>
  <c r="E105" i="13"/>
  <c r="K155" i="13"/>
  <c r="E155" i="13"/>
  <c r="AB42" i="6"/>
  <c r="AE42" i="6" s="1"/>
  <c r="E5" i="13"/>
  <c r="K5" i="13"/>
  <c r="K55" i="13"/>
  <c r="E55" i="13"/>
  <c r="AY135" i="12"/>
  <c r="AY206" i="12"/>
  <c r="AY188" i="12"/>
  <c r="AY161" i="12"/>
  <c r="AY194" i="12"/>
  <c r="AY205" i="12"/>
  <c r="AY209" i="12"/>
  <c r="AY195" i="12"/>
  <c r="AY200" i="12"/>
  <c r="AY199" i="12"/>
  <c r="AZ135" i="12"/>
  <c r="AZ206" i="12"/>
  <c r="AZ188" i="12"/>
  <c r="AZ161" i="12"/>
  <c r="AZ194" i="12"/>
  <c r="AZ205" i="12"/>
  <c r="AZ209" i="12"/>
  <c r="AZ195" i="12"/>
  <c r="AZ200" i="12"/>
  <c r="AZ199" i="12"/>
  <c r="BA135" i="12"/>
  <c r="BA206" i="12"/>
  <c r="BA188" i="12"/>
  <c r="BA161" i="12"/>
  <c r="BA194" i="12"/>
  <c r="BA205" i="12"/>
  <c r="BA209" i="12"/>
  <c r="BA195" i="12"/>
  <c r="BA200" i="12"/>
  <c r="BA199" i="12"/>
  <c r="BB135" i="12"/>
  <c r="BB206" i="12"/>
  <c r="BB188" i="12"/>
  <c r="BB161" i="12"/>
  <c r="BB194" i="12"/>
  <c r="BB205" i="12"/>
  <c r="BB209" i="12"/>
  <c r="BB195" i="12"/>
  <c r="BB200" i="12"/>
  <c r="BB199" i="12"/>
  <c r="BC135" i="12"/>
  <c r="BC206" i="12"/>
  <c r="BC188" i="12"/>
  <c r="BC161" i="12"/>
  <c r="BC194" i="12"/>
  <c r="BC205" i="12"/>
  <c r="BC209" i="12"/>
  <c r="BC195" i="12"/>
  <c r="BC200" i="12"/>
  <c r="BC199" i="12"/>
  <c r="BD135" i="12"/>
  <c r="BD206" i="12"/>
  <c r="BD188" i="12"/>
  <c r="BD161" i="12"/>
  <c r="BD194" i="12"/>
  <c r="BD205" i="12"/>
  <c r="BD209" i="12"/>
  <c r="BD195" i="12"/>
  <c r="BD200" i="12"/>
  <c r="BD199" i="12"/>
  <c r="BE135" i="12"/>
  <c r="BE206" i="12"/>
  <c r="BE188" i="12"/>
  <c r="BE161" i="12"/>
  <c r="BE194" i="12"/>
  <c r="BE205" i="12"/>
  <c r="BE209" i="12"/>
  <c r="BE195" i="12"/>
  <c r="BE200" i="12"/>
  <c r="BE199" i="12"/>
  <c r="BF135" i="12"/>
  <c r="BF206" i="12"/>
  <c r="BF188" i="12"/>
  <c r="BF161" i="12"/>
  <c r="BF194" i="12"/>
  <c r="BF205" i="12"/>
  <c r="BF209" i="12"/>
  <c r="BF195" i="12"/>
  <c r="BF200" i="12"/>
  <c r="BF199" i="12"/>
  <c r="BG135" i="12"/>
  <c r="BG206" i="12"/>
  <c r="BG188" i="12"/>
  <c r="BG161" i="12"/>
  <c r="BG194" i="12"/>
  <c r="BG205" i="12"/>
  <c r="BG209" i="12"/>
  <c r="BG195" i="12"/>
  <c r="BG200" i="12"/>
  <c r="BG199" i="12"/>
  <c r="BH135" i="12"/>
  <c r="BH206" i="12"/>
  <c r="BH188" i="12"/>
  <c r="BH161" i="12"/>
  <c r="BH194" i="12"/>
  <c r="BH205" i="12"/>
  <c r="BH209" i="12"/>
  <c r="BH195" i="12"/>
  <c r="BH200" i="12"/>
  <c r="BH199" i="12"/>
  <c r="BI135" i="12"/>
  <c r="BI206" i="12"/>
  <c r="BI188" i="12"/>
  <c r="BI161" i="12"/>
  <c r="BI194" i="12"/>
  <c r="BI205" i="12"/>
  <c r="BI209" i="12"/>
  <c r="BI195" i="12"/>
  <c r="BI200" i="12"/>
  <c r="BI199" i="12"/>
  <c r="BJ135" i="12"/>
  <c r="BJ206" i="12"/>
  <c r="BJ188" i="12"/>
  <c r="BJ161" i="12"/>
  <c r="BJ194" i="12"/>
  <c r="BJ205" i="12"/>
  <c r="BJ209" i="12"/>
  <c r="BJ195" i="12"/>
  <c r="BJ200" i="12"/>
  <c r="BJ199" i="12"/>
  <c r="CB19" i="12"/>
  <c r="CB99" i="12"/>
  <c r="CB74" i="12"/>
  <c r="CB56" i="12"/>
  <c r="CB85" i="12"/>
  <c r="CB94" i="12"/>
  <c r="CB93" i="12"/>
  <c r="CB83" i="12"/>
  <c r="CB87" i="12"/>
  <c r="CB92" i="12"/>
  <c r="CC19" i="12"/>
  <c r="CC99" i="12"/>
  <c r="CC74" i="12"/>
  <c r="CC56" i="12"/>
  <c r="CC85" i="12"/>
  <c r="CC94" i="12"/>
  <c r="CC93" i="12"/>
  <c r="CC83" i="12"/>
  <c r="CC87" i="12"/>
  <c r="CC92" i="12"/>
  <c r="CD19" i="12"/>
  <c r="CD99" i="12"/>
  <c r="CD74" i="12"/>
  <c r="CD56" i="12"/>
  <c r="CD85" i="12"/>
  <c r="CD94" i="12"/>
  <c r="CD93" i="12"/>
  <c r="CD83" i="12"/>
  <c r="CD87" i="12"/>
  <c r="CD92" i="12"/>
  <c r="AY140" i="12"/>
  <c r="AY139" i="12"/>
  <c r="AY153" i="12"/>
  <c r="AY172" i="12"/>
  <c r="AY168" i="12"/>
  <c r="AY183" i="12"/>
  <c r="AY182" i="12"/>
  <c r="AY178" i="12"/>
  <c r="AY197" i="12"/>
  <c r="AY203" i="12"/>
  <c r="AY176" i="12"/>
  <c r="AY196" i="12"/>
  <c r="AY128" i="12"/>
  <c r="AY136" i="12"/>
  <c r="AY166" i="12"/>
  <c r="AY151" i="12"/>
  <c r="AY207" i="12"/>
  <c r="AY121" i="12"/>
  <c r="AY165" i="12"/>
  <c r="AY173" i="12"/>
  <c r="AY213" i="12"/>
  <c r="AY148" i="12"/>
  <c r="AY208" i="12"/>
  <c r="AY185" i="12"/>
  <c r="AY198" i="12"/>
  <c r="AY179" i="12"/>
  <c r="AY190" i="12"/>
  <c r="AY152" i="12"/>
  <c r="AY210" i="12"/>
  <c r="AY126" i="12"/>
  <c r="AY146" i="12"/>
  <c r="AY130" i="12"/>
  <c r="AY156" i="12"/>
  <c r="AY138" i="12"/>
  <c r="AY187" i="12"/>
  <c r="AY162" i="12"/>
  <c r="AY181" i="12"/>
  <c r="AZ140" i="12"/>
  <c r="AZ139" i="12"/>
  <c r="AZ153" i="12"/>
  <c r="AZ172" i="12"/>
  <c r="AZ168" i="12"/>
  <c r="AZ183" i="12"/>
  <c r="AZ182" i="12"/>
  <c r="AZ178" i="12"/>
  <c r="AZ197" i="12"/>
  <c r="AZ203" i="12"/>
  <c r="AZ176" i="12"/>
  <c r="AZ196" i="12"/>
  <c r="AZ128" i="12"/>
  <c r="AZ136" i="12"/>
  <c r="AZ166" i="12"/>
  <c r="AZ151" i="12"/>
  <c r="AZ207" i="12"/>
  <c r="AZ121" i="12"/>
  <c r="AZ165" i="12"/>
  <c r="AZ173" i="12"/>
  <c r="AZ213" i="12"/>
  <c r="AZ148" i="12"/>
  <c r="AZ208" i="12"/>
  <c r="AZ185" i="12"/>
  <c r="AZ198" i="12"/>
  <c r="AZ179" i="12"/>
  <c r="AZ190" i="12"/>
  <c r="AZ152" i="12"/>
  <c r="AZ210" i="12"/>
  <c r="AZ126" i="12"/>
  <c r="AZ146" i="12"/>
  <c r="AZ130" i="12"/>
  <c r="AZ156" i="12"/>
  <c r="AZ138" i="12"/>
  <c r="AZ187" i="12"/>
  <c r="AZ162" i="12"/>
  <c r="AZ181" i="12"/>
  <c r="BA140" i="12"/>
  <c r="BA139" i="12"/>
  <c r="BA153" i="12"/>
  <c r="BA172" i="12"/>
  <c r="BA168" i="12"/>
  <c r="BA183" i="12"/>
  <c r="BA182" i="12"/>
  <c r="BA178" i="12"/>
  <c r="BA197" i="12"/>
  <c r="BA203" i="12"/>
  <c r="BA176" i="12"/>
  <c r="BA196" i="12"/>
  <c r="BA128" i="12"/>
  <c r="BA136" i="12"/>
  <c r="BA166" i="12"/>
  <c r="BA151" i="12"/>
  <c r="BA207" i="12"/>
  <c r="BA121" i="12"/>
  <c r="BA165" i="12"/>
  <c r="BA173" i="12"/>
  <c r="BA213" i="12"/>
  <c r="BA148" i="12"/>
  <c r="BA208" i="12"/>
  <c r="BA185" i="12"/>
  <c r="BA198" i="12"/>
  <c r="BA179" i="12"/>
  <c r="BA190" i="12"/>
  <c r="BA152" i="12"/>
  <c r="BA210" i="12"/>
  <c r="BA126" i="12"/>
  <c r="BA146" i="12"/>
  <c r="BA130" i="12"/>
  <c r="BA156" i="12"/>
  <c r="BA138" i="12"/>
  <c r="BA187" i="12"/>
  <c r="BA162" i="12"/>
  <c r="BA181" i="12"/>
  <c r="BB140" i="12"/>
  <c r="BB139" i="12"/>
  <c r="BB153" i="12"/>
  <c r="BB172" i="12"/>
  <c r="BB168" i="12"/>
  <c r="BB183" i="12"/>
  <c r="BB182" i="12"/>
  <c r="BB178" i="12"/>
  <c r="BB197" i="12"/>
  <c r="BB203" i="12"/>
  <c r="BB176" i="12"/>
  <c r="BB196" i="12"/>
  <c r="BB128" i="12"/>
  <c r="BB136" i="12"/>
  <c r="BB166" i="12"/>
  <c r="BB151" i="12"/>
  <c r="BB207" i="12"/>
  <c r="BB121" i="12"/>
  <c r="BB165" i="12"/>
  <c r="BB173" i="12"/>
  <c r="BB213" i="12"/>
  <c r="BB148" i="12"/>
  <c r="BB208" i="12"/>
  <c r="BB185" i="12"/>
  <c r="BB198" i="12"/>
  <c r="BB179" i="12"/>
  <c r="BB190" i="12"/>
  <c r="BB152" i="12"/>
  <c r="BB210" i="12"/>
  <c r="BB126" i="12"/>
  <c r="BB146" i="12"/>
  <c r="BB130" i="12"/>
  <c r="BB156" i="12"/>
  <c r="BB138" i="12"/>
  <c r="BB187" i="12"/>
  <c r="BB162" i="12"/>
  <c r="BB181" i="12"/>
  <c r="BC140" i="12"/>
  <c r="BC139" i="12"/>
  <c r="BC153" i="12"/>
  <c r="BC172" i="12"/>
  <c r="BC168" i="12"/>
  <c r="BC183" i="12"/>
  <c r="BC182" i="12"/>
  <c r="BC178" i="12"/>
  <c r="BC197" i="12"/>
  <c r="BC203" i="12"/>
  <c r="BC176" i="12"/>
  <c r="BC196" i="12"/>
  <c r="BC128" i="12"/>
  <c r="BC136" i="12"/>
  <c r="BC166" i="12"/>
  <c r="BC151" i="12"/>
  <c r="BC207" i="12"/>
  <c r="BC121" i="12"/>
  <c r="BC165" i="12"/>
  <c r="BC173" i="12"/>
  <c r="BC213" i="12"/>
  <c r="BC148" i="12"/>
  <c r="BC208" i="12"/>
  <c r="BC185" i="12"/>
  <c r="BC198" i="12"/>
  <c r="BC179" i="12"/>
  <c r="BC190" i="12"/>
  <c r="BC152" i="12"/>
  <c r="BC210" i="12"/>
  <c r="BC126" i="12"/>
  <c r="BC146" i="12"/>
  <c r="BC130" i="12"/>
  <c r="BC156" i="12"/>
  <c r="BC138" i="12"/>
  <c r="BC187" i="12"/>
  <c r="BC162" i="12"/>
  <c r="BC181" i="12"/>
  <c r="BD140" i="12"/>
  <c r="BD139" i="12"/>
  <c r="BD153" i="12"/>
  <c r="BD172" i="12"/>
  <c r="BD168" i="12"/>
  <c r="BD183" i="12"/>
  <c r="BD182" i="12"/>
  <c r="BD178" i="12"/>
  <c r="BD197" i="12"/>
  <c r="BD203" i="12"/>
  <c r="BD176" i="12"/>
  <c r="BD196" i="12"/>
  <c r="BD128" i="12"/>
  <c r="BD136" i="12"/>
  <c r="BD166" i="12"/>
  <c r="BD151" i="12"/>
  <c r="BD207" i="12"/>
  <c r="BD121" i="12"/>
  <c r="BD165" i="12"/>
  <c r="BD173" i="12"/>
  <c r="BD213" i="12"/>
  <c r="BD148" i="12"/>
  <c r="BD208" i="12"/>
  <c r="BD185" i="12"/>
  <c r="BD198" i="12"/>
  <c r="BD179" i="12"/>
  <c r="BD190" i="12"/>
  <c r="BD152" i="12"/>
  <c r="BD210" i="12"/>
  <c r="BD126" i="12"/>
  <c r="BD146" i="12"/>
  <c r="BD130" i="12"/>
  <c r="BD156" i="12"/>
  <c r="BD138" i="12"/>
  <c r="BD187" i="12"/>
  <c r="BD162" i="12"/>
  <c r="BD181" i="12"/>
  <c r="BE140" i="12"/>
  <c r="BE139" i="12"/>
  <c r="BE153" i="12"/>
  <c r="BE172" i="12"/>
  <c r="BE168" i="12"/>
  <c r="BE183" i="12"/>
  <c r="BE182" i="12"/>
  <c r="BE178" i="12"/>
  <c r="BE197" i="12"/>
  <c r="BE203" i="12"/>
  <c r="BE176" i="12"/>
  <c r="BE196" i="12"/>
  <c r="BE128" i="12"/>
  <c r="BE136" i="12"/>
  <c r="BE166" i="12"/>
  <c r="BE151" i="12"/>
  <c r="BE207" i="12"/>
  <c r="BE121" i="12"/>
  <c r="BE165" i="12"/>
  <c r="BE173" i="12"/>
  <c r="BE213" i="12"/>
  <c r="BE148" i="12"/>
  <c r="BE208" i="12"/>
  <c r="BE185" i="12"/>
  <c r="BE198" i="12"/>
  <c r="BE179" i="12"/>
  <c r="BE190" i="12"/>
  <c r="BE152" i="12"/>
  <c r="BE210" i="12"/>
  <c r="BE126" i="12"/>
  <c r="BE146" i="12"/>
  <c r="BE130" i="12"/>
  <c r="BE156" i="12"/>
  <c r="BE138" i="12"/>
  <c r="BE187" i="12"/>
  <c r="BE162" i="12"/>
  <c r="BE181" i="12"/>
  <c r="BF140" i="12"/>
  <c r="BF139" i="12"/>
  <c r="BF153" i="12"/>
  <c r="BF172" i="12"/>
  <c r="BF168" i="12"/>
  <c r="BF183" i="12"/>
  <c r="BF182" i="12"/>
  <c r="BF178" i="12"/>
  <c r="BF197" i="12"/>
  <c r="BF203" i="12"/>
  <c r="BF176" i="12"/>
  <c r="BF196" i="12"/>
  <c r="BF128" i="12"/>
  <c r="BF136" i="12"/>
  <c r="BF166" i="12"/>
  <c r="BF151" i="12"/>
  <c r="BF207" i="12"/>
  <c r="BF121" i="12"/>
  <c r="BF165" i="12"/>
  <c r="BF173" i="12"/>
  <c r="BF213" i="12"/>
  <c r="BF148" i="12"/>
  <c r="BF208" i="12"/>
  <c r="BF185" i="12"/>
  <c r="BF198" i="12"/>
  <c r="BF179" i="12"/>
  <c r="BF190" i="12"/>
  <c r="BF152" i="12"/>
  <c r="BF210" i="12"/>
  <c r="BF126" i="12"/>
  <c r="BF146" i="12"/>
  <c r="BF130" i="12"/>
  <c r="BF156" i="12"/>
  <c r="BF138" i="12"/>
  <c r="BF187" i="12"/>
  <c r="BF162" i="12"/>
  <c r="BF181" i="12"/>
  <c r="BG140" i="12"/>
  <c r="BG139" i="12"/>
  <c r="BG153" i="12"/>
  <c r="BG172" i="12"/>
  <c r="BG168" i="12"/>
  <c r="BG183" i="12"/>
  <c r="BG182" i="12"/>
  <c r="BG178" i="12"/>
  <c r="BG197" i="12"/>
  <c r="BG203" i="12"/>
  <c r="BG176" i="12"/>
  <c r="BG196" i="12"/>
  <c r="BG128" i="12"/>
  <c r="BG136" i="12"/>
  <c r="BG166" i="12"/>
  <c r="BG151" i="12"/>
  <c r="BG207" i="12"/>
  <c r="BG121" i="12"/>
  <c r="BG165" i="12"/>
  <c r="BG173" i="12"/>
  <c r="BG213" i="12"/>
  <c r="BG148" i="12"/>
  <c r="BG208" i="12"/>
  <c r="BG185" i="12"/>
  <c r="BG198" i="12"/>
  <c r="BG179" i="12"/>
  <c r="BG190" i="12"/>
  <c r="BG152" i="12"/>
  <c r="BG210" i="12"/>
  <c r="BG126" i="12"/>
  <c r="BG146" i="12"/>
  <c r="BG130" i="12"/>
  <c r="BG156" i="12"/>
  <c r="BG138" i="12"/>
  <c r="BG187" i="12"/>
  <c r="BG162" i="12"/>
  <c r="BG181" i="12"/>
  <c r="BH140" i="12"/>
  <c r="BH139" i="12"/>
  <c r="BH153" i="12"/>
  <c r="BH172" i="12"/>
  <c r="BH168" i="12"/>
  <c r="BH183" i="12"/>
  <c r="BH182" i="12"/>
  <c r="BH178" i="12"/>
  <c r="BH197" i="12"/>
  <c r="BH203" i="12"/>
  <c r="BH176" i="12"/>
  <c r="BH196" i="12"/>
  <c r="BH128" i="12"/>
  <c r="BH136" i="12"/>
  <c r="BH166" i="12"/>
  <c r="BH151" i="12"/>
  <c r="BH207" i="12"/>
  <c r="BH121" i="12"/>
  <c r="BH165" i="12"/>
  <c r="BH173" i="12"/>
  <c r="BH213" i="12"/>
  <c r="BH148" i="12"/>
  <c r="BH208" i="12"/>
  <c r="BH185" i="12"/>
  <c r="BH198" i="12"/>
  <c r="BH179" i="12"/>
  <c r="BH190" i="12"/>
  <c r="BH152" i="12"/>
  <c r="BH210" i="12"/>
  <c r="BH126" i="12"/>
  <c r="BH146" i="12"/>
  <c r="BH130" i="12"/>
  <c r="BH156" i="12"/>
  <c r="BH138" i="12"/>
  <c r="BH187" i="12"/>
  <c r="BH162" i="12"/>
  <c r="BH181" i="12"/>
  <c r="BI140" i="12"/>
  <c r="BI139" i="12"/>
  <c r="BI153" i="12"/>
  <c r="BI172" i="12"/>
  <c r="BI168" i="12"/>
  <c r="BI183" i="12"/>
  <c r="BI182" i="12"/>
  <c r="BI178" i="12"/>
  <c r="BI197" i="12"/>
  <c r="BI203" i="12"/>
  <c r="BI176" i="12"/>
  <c r="BI196" i="12"/>
  <c r="BI128" i="12"/>
  <c r="BI136" i="12"/>
  <c r="BI166" i="12"/>
  <c r="BI151" i="12"/>
  <c r="BI207" i="12"/>
  <c r="BI121" i="12"/>
  <c r="BI165" i="12"/>
  <c r="BI173" i="12"/>
  <c r="BI213" i="12"/>
  <c r="BI148" i="12"/>
  <c r="BI208" i="12"/>
  <c r="BI185" i="12"/>
  <c r="BI198" i="12"/>
  <c r="BI179" i="12"/>
  <c r="BI190" i="12"/>
  <c r="BI152" i="12"/>
  <c r="BI210" i="12"/>
  <c r="BI126" i="12"/>
  <c r="BI146" i="12"/>
  <c r="BI130" i="12"/>
  <c r="BI156" i="12"/>
  <c r="BI138" i="12"/>
  <c r="BI187" i="12"/>
  <c r="BI162" i="12"/>
  <c r="BI181" i="12"/>
  <c r="BJ140" i="12"/>
  <c r="BJ139" i="12"/>
  <c r="BJ153" i="12"/>
  <c r="BJ172" i="12"/>
  <c r="BJ168" i="12"/>
  <c r="BJ183" i="12"/>
  <c r="BJ182" i="12"/>
  <c r="BJ178" i="12"/>
  <c r="BJ197" i="12"/>
  <c r="BJ203" i="12"/>
  <c r="BJ176" i="12"/>
  <c r="BJ196" i="12"/>
  <c r="BJ128" i="12"/>
  <c r="BJ136" i="12"/>
  <c r="BJ166" i="12"/>
  <c r="BJ151" i="12"/>
  <c r="BJ207" i="12"/>
  <c r="BJ121" i="12"/>
  <c r="BJ165" i="12"/>
  <c r="BJ173" i="12"/>
  <c r="BJ213" i="12"/>
  <c r="BJ148" i="12"/>
  <c r="BJ208" i="12"/>
  <c r="BJ185" i="12"/>
  <c r="BJ198" i="12"/>
  <c r="BJ179" i="12"/>
  <c r="BJ190" i="12"/>
  <c r="BJ152" i="12"/>
  <c r="BJ210" i="12"/>
  <c r="BJ126" i="12"/>
  <c r="BJ146" i="12"/>
  <c r="BJ130" i="12"/>
  <c r="BJ156" i="12"/>
  <c r="BJ138" i="12"/>
  <c r="BJ187" i="12"/>
  <c r="BJ162" i="12"/>
  <c r="BJ181" i="12"/>
  <c r="CB69" i="12"/>
  <c r="CB98" i="12"/>
  <c r="CB18" i="12"/>
  <c r="BV18" i="12" s="1"/>
  <c r="CB34" i="12"/>
  <c r="BV34" i="12" s="1"/>
  <c r="CB58" i="12"/>
  <c r="BV58" i="12" s="1"/>
  <c r="CB43" i="12"/>
  <c r="BV43" i="12" s="1"/>
  <c r="CB88" i="12"/>
  <c r="BV88" i="12" s="1"/>
  <c r="CB15" i="12"/>
  <c r="BV15" i="12" s="1"/>
  <c r="CB55" i="12"/>
  <c r="BV55" i="12" s="1"/>
  <c r="CB62" i="12"/>
  <c r="BV62" i="12" s="1"/>
  <c r="CB95" i="12"/>
  <c r="BV95" i="12" s="1"/>
  <c r="CB30" i="12"/>
  <c r="BV30" i="12" s="1"/>
  <c r="CB84" i="12"/>
  <c r="BV84" i="12" s="1"/>
  <c r="CB79" i="12"/>
  <c r="BV79" i="12" s="1"/>
  <c r="CB89" i="12"/>
  <c r="BV89" i="12" s="1"/>
  <c r="CB70" i="12"/>
  <c r="BV70" i="12" s="1"/>
  <c r="CB75" i="12"/>
  <c r="BV75" i="12" s="1"/>
  <c r="CB42" i="12"/>
  <c r="BV42" i="12" s="1"/>
  <c r="CB96" i="12"/>
  <c r="BV96" i="12" s="1"/>
  <c r="CB12" i="12"/>
  <c r="CB36" i="12"/>
  <c r="CB13" i="12"/>
  <c r="CB44" i="12"/>
  <c r="CB28" i="12"/>
  <c r="CB68" i="12"/>
  <c r="CB52" i="12"/>
  <c r="CB78" i="12"/>
  <c r="CC69" i="12"/>
  <c r="CC98" i="12"/>
  <c r="CC18" i="12"/>
  <c r="BW18" i="12" s="1"/>
  <c r="CC34" i="12"/>
  <c r="BW34" i="12" s="1"/>
  <c r="CC58" i="12"/>
  <c r="BW58" i="12" s="1"/>
  <c r="CC43" i="12"/>
  <c r="BW43" i="12" s="1"/>
  <c r="CC88" i="12"/>
  <c r="BW88" i="12" s="1"/>
  <c r="CC15" i="12"/>
  <c r="BW15" i="12" s="1"/>
  <c r="CC55" i="12"/>
  <c r="BW55" i="12" s="1"/>
  <c r="CC62" i="12"/>
  <c r="BW62" i="12" s="1"/>
  <c r="CC95" i="12"/>
  <c r="BW95" i="12" s="1"/>
  <c r="CC30" i="12"/>
  <c r="BW30" i="12" s="1"/>
  <c r="CC84" i="12"/>
  <c r="BW84" i="12" s="1"/>
  <c r="CC79" i="12"/>
  <c r="BW79" i="12" s="1"/>
  <c r="CC89" i="12"/>
  <c r="BW89" i="12" s="1"/>
  <c r="CC70" i="12"/>
  <c r="BW70" i="12" s="1"/>
  <c r="CC75" i="12"/>
  <c r="BW75" i="12" s="1"/>
  <c r="CC42" i="12"/>
  <c r="BW42" i="12" s="1"/>
  <c r="CC96" i="12"/>
  <c r="BW96" i="12" s="1"/>
  <c r="CC12" i="12"/>
  <c r="CC36" i="12"/>
  <c r="CC13" i="12"/>
  <c r="CC44" i="12"/>
  <c r="CC28" i="12"/>
  <c r="CC68" i="12"/>
  <c r="CC52" i="12"/>
  <c r="CC78" i="12"/>
  <c r="CD69" i="12"/>
  <c r="CD98" i="12"/>
  <c r="CD18" i="12"/>
  <c r="BX18" i="12" s="1"/>
  <c r="CD34" i="12"/>
  <c r="BX34" i="12" s="1"/>
  <c r="CD58" i="12"/>
  <c r="BX58" i="12" s="1"/>
  <c r="CD43" i="12"/>
  <c r="BX43" i="12" s="1"/>
  <c r="CD88" i="12"/>
  <c r="BX88" i="12" s="1"/>
  <c r="CD15" i="12"/>
  <c r="BX15" i="12" s="1"/>
  <c r="CD55" i="12"/>
  <c r="BX55" i="12" s="1"/>
  <c r="CD62" i="12"/>
  <c r="BX62" i="12" s="1"/>
  <c r="CD95" i="12"/>
  <c r="BX95" i="12" s="1"/>
  <c r="CD30" i="12"/>
  <c r="BX30" i="12" s="1"/>
  <c r="CD84" i="12"/>
  <c r="BX84" i="12" s="1"/>
  <c r="CD79" i="12"/>
  <c r="BX79" i="12" s="1"/>
  <c r="CD89" i="12"/>
  <c r="BX89" i="12" s="1"/>
  <c r="CD70" i="12"/>
  <c r="BX70" i="12" s="1"/>
  <c r="CD75" i="12"/>
  <c r="BX75" i="12" s="1"/>
  <c r="CD42" i="12"/>
  <c r="BX42" i="12" s="1"/>
  <c r="CD96" i="12"/>
  <c r="BX96" i="12" s="1"/>
  <c r="CD12" i="12"/>
  <c r="CD36" i="12"/>
  <c r="CD13" i="12"/>
  <c r="CD44" i="12"/>
  <c r="CD28" i="12"/>
  <c r="CD68" i="12"/>
  <c r="CD52" i="12"/>
  <c r="CD78" i="12"/>
  <c r="CB10" i="12"/>
  <c r="CB26" i="12"/>
  <c r="CB46" i="12"/>
  <c r="CB59" i="12"/>
  <c r="CB61" i="12"/>
  <c r="CB73" i="12"/>
  <c r="CB77" i="12"/>
  <c r="CB66" i="12"/>
  <c r="CB80" i="12"/>
  <c r="CB86" i="12"/>
  <c r="CC10" i="12"/>
  <c r="CC26" i="12"/>
  <c r="CC46" i="12"/>
  <c r="CC59" i="12"/>
  <c r="CC61" i="12"/>
  <c r="CC73" i="12"/>
  <c r="CC77" i="12"/>
  <c r="CC66" i="12"/>
  <c r="CC80" i="12"/>
  <c r="CC86" i="12"/>
  <c r="CD10" i="12"/>
  <c r="CD26" i="12"/>
  <c r="CD46" i="12"/>
  <c r="CD59" i="12"/>
  <c r="CD61" i="12"/>
  <c r="CD73" i="12"/>
  <c r="CD77" i="12"/>
  <c r="CD66" i="12"/>
  <c r="CD80" i="12"/>
  <c r="CD86" i="12"/>
  <c r="BJ119" i="12"/>
  <c r="BJ211" i="12"/>
  <c r="BJ158" i="12"/>
  <c r="BJ147" i="12"/>
  <c r="BJ180" i="12"/>
  <c r="BJ171" i="12"/>
  <c r="BJ170" i="12"/>
  <c r="BJ160" i="12"/>
  <c r="BJ164" i="12"/>
  <c r="BJ155" i="12"/>
  <c r="BJ167" i="12"/>
  <c r="BJ189" i="12"/>
  <c r="BJ212" i="12"/>
  <c r="BJ175" i="12"/>
  <c r="BJ177" i="12"/>
  <c r="BJ193" i="12"/>
  <c r="BJ192" i="12"/>
  <c r="BJ184" i="12"/>
  <c r="BJ120" i="12"/>
  <c r="BJ129" i="12"/>
  <c r="BJ144" i="12"/>
  <c r="BJ150" i="12"/>
  <c r="BJ145" i="12"/>
  <c r="BJ149" i="12"/>
  <c r="BJ157" i="12"/>
  <c r="BJ159" i="12"/>
  <c r="BJ191" i="12"/>
  <c r="BJ174" i="12"/>
  <c r="BJ201" i="12"/>
  <c r="BJ169" i="12"/>
  <c r="BJ163" i="12"/>
  <c r="BJ186" i="12"/>
  <c r="BJ204" i="12"/>
  <c r="BJ202" i="12"/>
  <c r="BJ143" i="12"/>
  <c r="BJ142" i="12"/>
  <c r="BI119" i="12"/>
  <c r="BI211" i="12"/>
  <c r="BI158" i="12"/>
  <c r="BI147" i="12"/>
  <c r="BI180" i="12"/>
  <c r="BI171" i="12"/>
  <c r="BI170" i="12"/>
  <c r="BI160" i="12"/>
  <c r="BI164" i="12"/>
  <c r="BI155" i="12"/>
  <c r="BI167" i="12"/>
  <c r="BI189" i="12"/>
  <c r="BI212" i="12"/>
  <c r="BI175" i="12"/>
  <c r="BI177" i="12"/>
  <c r="BI193" i="12"/>
  <c r="BI192" i="12"/>
  <c r="BI184" i="12"/>
  <c r="BI120" i="12"/>
  <c r="BI129" i="12"/>
  <c r="BI144" i="12"/>
  <c r="BI150" i="12"/>
  <c r="BI145" i="12"/>
  <c r="BI149" i="12"/>
  <c r="BI157" i="12"/>
  <c r="BI159" i="12"/>
  <c r="BI191" i="12"/>
  <c r="BI174" i="12"/>
  <c r="BI201" i="12"/>
  <c r="BI169" i="12"/>
  <c r="BI163" i="12"/>
  <c r="BI186" i="12"/>
  <c r="BI204" i="12"/>
  <c r="BI202" i="12"/>
  <c r="BI143" i="12"/>
  <c r="BI142" i="12"/>
  <c r="BH119" i="12"/>
  <c r="BH211" i="12"/>
  <c r="BH158" i="12"/>
  <c r="BH147" i="12"/>
  <c r="BH180" i="12"/>
  <c r="BH171" i="12"/>
  <c r="BH170" i="12"/>
  <c r="BH160" i="12"/>
  <c r="BH164" i="12"/>
  <c r="BH155" i="12"/>
  <c r="BH167" i="12"/>
  <c r="BH189" i="12"/>
  <c r="BH212" i="12"/>
  <c r="BH175" i="12"/>
  <c r="BH177" i="12"/>
  <c r="BH193" i="12"/>
  <c r="BH192" i="12"/>
  <c r="BH184" i="12"/>
  <c r="BH120" i="12"/>
  <c r="BH129" i="12"/>
  <c r="BH144" i="12"/>
  <c r="BH150" i="12"/>
  <c r="BH145" i="12"/>
  <c r="BH149" i="12"/>
  <c r="BH157" i="12"/>
  <c r="BH159" i="12"/>
  <c r="BH191" i="12"/>
  <c r="BH174" i="12"/>
  <c r="BH201" i="12"/>
  <c r="BH169" i="12"/>
  <c r="BH163" i="12"/>
  <c r="BH186" i="12"/>
  <c r="BH204" i="12"/>
  <c r="BH202" i="12"/>
  <c r="BH143" i="12"/>
  <c r="BH142" i="12"/>
  <c r="BG119" i="12"/>
  <c r="BG211" i="12"/>
  <c r="BG158" i="12"/>
  <c r="BG147" i="12"/>
  <c r="BG180" i="12"/>
  <c r="BG171" i="12"/>
  <c r="BG170" i="12"/>
  <c r="BG160" i="12"/>
  <c r="BG164" i="12"/>
  <c r="BG155" i="12"/>
  <c r="BG167" i="12"/>
  <c r="BG189" i="12"/>
  <c r="BG212" i="12"/>
  <c r="BG175" i="12"/>
  <c r="BG177" i="12"/>
  <c r="BG193" i="12"/>
  <c r="BG192" i="12"/>
  <c r="BG184" i="12"/>
  <c r="BG120" i="12"/>
  <c r="BG129" i="12"/>
  <c r="BG144" i="12"/>
  <c r="BG150" i="12"/>
  <c r="BG145" i="12"/>
  <c r="BG149" i="12"/>
  <c r="BG157" i="12"/>
  <c r="BG159" i="12"/>
  <c r="BG191" i="12"/>
  <c r="BG174" i="12"/>
  <c r="BG201" i="12"/>
  <c r="BG169" i="12"/>
  <c r="BG163" i="12"/>
  <c r="BG186" i="12"/>
  <c r="BG204" i="12"/>
  <c r="BG202" i="12"/>
  <c r="BG143" i="12"/>
  <c r="BG142" i="12"/>
  <c r="BF119" i="12"/>
  <c r="BF211" i="12"/>
  <c r="BF158" i="12"/>
  <c r="BF147" i="12"/>
  <c r="BF180" i="12"/>
  <c r="BF171" i="12"/>
  <c r="BF170" i="12"/>
  <c r="BF160" i="12"/>
  <c r="BF164" i="12"/>
  <c r="BF155" i="12"/>
  <c r="BF167" i="12"/>
  <c r="BF189" i="12"/>
  <c r="BF212" i="12"/>
  <c r="BF175" i="12"/>
  <c r="BF177" i="12"/>
  <c r="BF193" i="12"/>
  <c r="BF192" i="12"/>
  <c r="BF184" i="12"/>
  <c r="BF120" i="12"/>
  <c r="BF129" i="12"/>
  <c r="BF144" i="12"/>
  <c r="BF150" i="12"/>
  <c r="BF145" i="12"/>
  <c r="BF149" i="12"/>
  <c r="BF157" i="12"/>
  <c r="BF159" i="12"/>
  <c r="BF191" i="12"/>
  <c r="BF174" i="12"/>
  <c r="BF201" i="12"/>
  <c r="BF169" i="12"/>
  <c r="BF163" i="12"/>
  <c r="BF186" i="12"/>
  <c r="BF204" i="12"/>
  <c r="BF202" i="12"/>
  <c r="BF143" i="12"/>
  <c r="BF142" i="12"/>
  <c r="BE119" i="12"/>
  <c r="BE211" i="12"/>
  <c r="BE158" i="12"/>
  <c r="BE147" i="12"/>
  <c r="BE180" i="12"/>
  <c r="BE171" i="12"/>
  <c r="BE170" i="12"/>
  <c r="BE160" i="12"/>
  <c r="BE164" i="12"/>
  <c r="BE155" i="12"/>
  <c r="BE167" i="12"/>
  <c r="BE189" i="12"/>
  <c r="BE212" i="12"/>
  <c r="BE175" i="12"/>
  <c r="BE177" i="12"/>
  <c r="BE193" i="12"/>
  <c r="BE192" i="12"/>
  <c r="BE184" i="12"/>
  <c r="BE120" i="12"/>
  <c r="BE129" i="12"/>
  <c r="BE144" i="12"/>
  <c r="BE150" i="12"/>
  <c r="BE145" i="12"/>
  <c r="BE149" i="12"/>
  <c r="BE157" i="12"/>
  <c r="BE159" i="12"/>
  <c r="BE191" i="12"/>
  <c r="BE174" i="12"/>
  <c r="BE201" i="12"/>
  <c r="BE169" i="12"/>
  <c r="BE163" i="12"/>
  <c r="BE186" i="12"/>
  <c r="BE204" i="12"/>
  <c r="BE202" i="12"/>
  <c r="BE143" i="12"/>
  <c r="BE142" i="12"/>
  <c r="BD119" i="12"/>
  <c r="BD211" i="12"/>
  <c r="BD158" i="12"/>
  <c r="BD147" i="12"/>
  <c r="BD180" i="12"/>
  <c r="BD171" i="12"/>
  <c r="BD170" i="12"/>
  <c r="BD160" i="12"/>
  <c r="BD164" i="12"/>
  <c r="BD155" i="12"/>
  <c r="BD167" i="12"/>
  <c r="BD189" i="12"/>
  <c r="BD212" i="12"/>
  <c r="BD175" i="12"/>
  <c r="BD177" i="12"/>
  <c r="BD193" i="12"/>
  <c r="BD192" i="12"/>
  <c r="BD184" i="12"/>
  <c r="BD120" i="12"/>
  <c r="BD129" i="12"/>
  <c r="BD144" i="12"/>
  <c r="BD150" i="12"/>
  <c r="BD145" i="12"/>
  <c r="BD149" i="12"/>
  <c r="BD157" i="12"/>
  <c r="BD159" i="12"/>
  <c r="BD191" i="12"/>
  <c r="BD174" i="12"/>
  <c r="BD201" i="12"/>
  <c r="BD169" i="12"/>
  <c r="BD163" i="12"/>
  <c r="BD186" i="12"/>
  <c r="BD204" i="12"/>
  <c r="BD202" i="12"/>
  <c r="BD143" i="12"/>
  <c r="BD142" i="12"/>
  <c r="BC119" i="12"/>
  <c r="BC211" i="12"/>
  <c r="BC158" i="12"/>
  <c r="BC147" i="12"/>
  <c r="BC180" i="12"/>
  <c r="BC171" i="12"/>
  <c r="BC170" i="12"/>
  <c r="BC160" i="12"/>
  <c r="BC164" i="12"/>
  <c r="BC155" i="12"/>
  <c r="BC167" i="12"/>
  <c r="BC189" i="12"/>
  <c r="BC212" i="12"/>
  <c r="BC175" i="12"/>
  <c r="BC177" i="12"/>
  <c r="BC193" i="12"/>
  <c r="BC192" i="12"/>
  <c r="BC184" i="12"/>
  <c r="BC120" i="12"/>
  <c r="BC129" i="12"/>
  <c r="BC144" i="12"/>
  <c r="BC150" i="12"/>
  <c r="BC145" i="12"/>
  <c r="BC149" i="12"/>
  <c r="BC157" i="12"/>
  <c r="BC159" i="12"/>
  <c r="BC191" i="12"/>
  <c r="BC174" i="12"/>
  <c r="BC201" i="12"/>
  <c r="BC169" i="12"/>
  <c r="BC163" i="12"/>
  <c r="BC186" i="12"/>
  <c r="BC204" i="12"/>
  <c r="BC202" i="12"/>
  <c r="BC143" i="12"/>
  <c r="BB119" i="12"/>
  <c r="BB211" i="12"/>
  <c r="BB158" i="12"/>
  <c r="BB147" i="12"/>
  <c r="BB180" i="12"/>
  <c r="BB171" i="12"/>
  <c r="BB170" i="12"/>
  <c r="BB160" i="12"/>
  <c r="BB164" i="12"/>
  <c r="BB155" i="12"/>
  <c r="BB167" i="12"/>
  <c r="BB189" i="12"/>
  <c r="BB212" i="12"/>
  <c r="BB175" i="12"/>
  <c r="BB177" i="12"/>
  <c r="BB193" i="12"/>
  <c r="BB192" i="12"/>
  <c r="BB184" i="12"/>
  <c r="BB120" i="12"/>
  <c r="BB129" i="12"/>
  <c r="BB144" i="12"/>
  <c r="BB150" i="12"/>
  <c r="BB145" i="12"/>
  <c r="BB149" i="12"/>
  <c r="BB157" i="12"/>
  <c r="BB159" i="12"/>
  <c r="BB191" i="12"/>
  <c r="BB174" i="12"/>
  <c r="BB201" i="12"/>
  <c r="BB169" i="12"/>
  <c r="BB163" i="12"/>
  <c r="BB186" i="12"/>
  <c r="BB204" i="12"/>
  <c r="BB202" i="12"/>
  <c r="BB143" i="12"/>
  <c r="BC142" i="12"/>
  <c r="BB142" i="12"/>
  <c r="BA119" i="12"/>
  <c r="BA211" i="12"/>
  <c r="BA158" i="12"/>
  <c r="BA147" i="12"/>
  <c r="BA180" i="12"/>
  <c r="BA171" i="12"/>
  <c r="BA170" i="12"/>
  <c r="BA160" i="12"/>
  <c r="BA164" i="12"/>
  <c r="BA155" i="12"/>
  <c r="BA167" i="12"/>
  <c r="BA189" i="12"/>
  <c r="BA212" i="12"/>
  <c r="BA175" i="12"/>
  <c r="BA177" i="12"/>
  <c r="BA193" i="12"/>
  <c r="BA192" i="12"/>
  <c r="BA184" i="12"/>
  <c r="BA120" i="12"/>
  <c r="BA129" i="12"/>
  <c r="BA144" i="12"/>
  <c r="BA150" i="12"/>
  <c r="BA145" i="12"/>
  <c r="BA149" i="12"/>
  <c r="BA157" i="12"/>
  <c r="BA159" i="12"/>
  <c r="BA191" i="12"/>
  <c r="BA174" i="12"/>
  <c r="BA201" i="12"/>
  <c r="BA169" i="12"/>
  <c r="BA163" i="12"/>
  <c r="BA186" i="12"/>
  <c r="BA204" i="12"/>
  <c r="BA202" i="12"/>
  <c r="BA143" i="12"/>
  <c r="BA142" i="12"/>
  <c r="AZ119" i="12"/>
  <c r="AZ211" i="12"/>
  <c r="AZ158" i="12"/>
  <c r="AZ147" i="12"/>
  <c r="AZ180" i="12"/>
  <c r="AZ171" i="12"/>
  <c r="AZ170" i="12"/>
  <c r="AZ160" i="12"/>
  <c r="AZ164" i="12"/>
  <c r="AZ155" i="12"/>
  <c r="AZ167" i="12"/>
  <c r="AZ189" i="12"/>
  <c r="AZ212" i="12"/>
  <c r="AZ175" i="12"/>
  <c r="AZ177" i="12"/>
  <c r="AZ193" i="12"/>
  <c r="AZ192" i="12"/>
  <c r="AZ184" i="12"/>
  <c r="AZ120" i="12"/>
  <c r="AZ129" i="12"/>
  <c r="AZ144" i="12"/>
  <c r="AZ150" i="12"/>
  <c r="AZ145" i="12"/>
  <c r="AZ149" i="12"/>
  <c r="AZ157" i="12"/>
  <c r="AZ159" i="12"/>
  <c r="AZ191" i="12"/>
  <c r="AZ174" i="12"/>
  <c r="AZ201" i="12"/>
  <c r="AZ169" i="12"/>
  <c r="AZ163" i="12"/>
  <c r="AZ186" i="12"/>
  <c r="AZ204" i="12"/>
  <c r="AZ202" i="12"/>
  <c r="AZ143" i="12"/>
  <c r="AZ142" i="12"/>
  <c r="AY119" i="12"/>
  <c r="AY211" i="12"/>
  <c r="AY158" i="12"/>
  <c r="AY147" i="12"/>
  <c r="AY180" i="12"/>
  <c r="AY171" i="12"/>
  <c r="AY170" i="12"/>
  <c r="AY160" i="12"/>
  <c r="AY164" i="12"/>
  <c r="AY155" i="12"/>
  <c r="AY167" i="12"/>
  <c r="AY189" i="12"/>
  <c r="AY212" i="12"/>
  <c r="AY175" i="12"/>
  <c r="AY177" i="12"/>
  <c r="AY193" i="12"/>
  <c r="AY192" i="12"/>
  <c r="AY184" i="12"/>
  <c r="AY120" i="12"/>
  <c r="AY129" i="12"/>
  <c r="AY144" i="12"/>
  <c r="AY150" i="12"/>
  <c r="AY145" i="12"/>
  <c r="AY149" i="12"/>
  <c r="AY157" i="12"/>
  <c r="AY159" i="12"/>
  <c r="AY191" i="12"/>
  <c r="AY174" i="12"/>
  <c r="AY201" i="12"/>
  <c r="AY169" i="12"/>
  <c r="AY163" i="12"/>
  <c r="AY186" i="12"/>
  <c r="AY204" i="12"/>
  <c r="AY202" i="12"/>
  <c r="AY143" i="12"/>
  <c r="AY142" i="12"/>
  <c r="CD6" i="12"/>
  <c r="CD27" i="12"/>
  <c r="CD29" i="12"/>
  <c r="CD22" i="12"/>
  <c r="CD41" i="12"/>
  <c r="CD37" i="12"/>
  <c r="CD51" i="12"/>
  <c r="CD45" i="12"/>
  <c r="CD49" i="12"/>
  <c r="CD33" i="12"/>
  <c r="BX33" i="12" s="1"/>
  <c r="CD47" i="12"/>
  <c r="CD54" i="12"/>
  <c r="CD60" i="12"/>
  <c r="BX60" i="12" s="1"/>
  <c r="CD53" i="12"/>
  <c r="BX53" i="12" s="1"/>
  <c r="CD67" i="12"/>
  <c r="CD76" i="12"/>
  <c r="BX76" i="12" s="1"/>
  <c r="CD71" i="12"/>
  <c r="CD72" i="12"/>
  <c r="CD14" i="12"/>
  <c r="CD11" i="12"/>
  <c r="CD39" i="12"/>
  <c r="CD35" i="12"/>
  <c r="CD40" i="12"/>
  <c r="CD32" i="12"/>
  <c r="CD57" i="12"/>
  <c r="CD50" i="12"/>
  <c r="BX50" i="12" s="1"/>
  <c r="CD81" i="12"/>
  <c r="BX81" i="12" s="1"/>
  <c r="CD63" i="12"/>
  <c r="BX63" i="12" s="1"/>
  <c r="CD97" i="12"/>
  <c r="BX97" i="12" s="1"/>
  <c r="CD65" i="12"/>
  <c r="CD64" i="12"/>
  <c r="BX64" i="12" s="1"/>
  <c r="CD82" i="12"/>
  <c r="BX82" i="12" s="1"/>
  <c r="CD91" i="12"/>
  <c r="CD90" i="12"/>
  <c r="CD24" i="12"/>
  <c r="CD4" i="12"/>
  <c r="BX4" i="12" s="1"/>
  <c r="CC6" i="12"/>
  <c r="CC27" i="12"/>
  <c r="CC29" i="12"/>
  <c r="CC22" i="12"/>
  <c r="CC41" i="12"/>
  <c r="CC37" i="12"/>
  <c r="CC51" i="12"/>
  <c r="CC45" i="12"/>
  <c r="CC49" i="12"/>
  <c r="CC33" i="12"/>
  <c r="CC47" i="12"/>
  <c r="CC54" i="12"/>
  <c r="BW54" i="12" s="1"/>
  <c r="CC60" i="12"/>
  <c r="BW60" i="12" s="1"/>
  <c r="CC53" i="12"/>
  <c r="BW53" i="12" s="1"/>
  <c r="CC67" i="12"/>
  <c r="BW67" i="12" s="1"/>
  <c r="CC76" i="12"/>
  <c r="CC71" i="12"/>
  <c r="CC72" i="12"/>
  <c r="CC14" i="12"/>
  <c r="CC11" i="12"/>
  <c r="CC39" i="12"/>
  <c r="CC35" i="12"/>
  <c r="CC40" i="12"/>
  <c r="CC32" i="12"/>
  <c r="CC57" i="12"/>
  <c r="BW57" i="12" s="1"/>
  <c r="CC50" i="12"/>
  <c r="BW50" i="12" s="1"/>
  <c r="CC81" i="12"/>
  <c r="CC63" i="12"/>
  <c r="BW63" i="12" s="1"/>
  <c r="CC97" i="12"/>
  <c r="BW97" i="12" s="1"/>
  <c r="CC65" i="12"/>
  <c r="BW65" i="12" s="1"/>
  <c r="CC64" i="12"/>
  <c r="BW64" i="12" s="1"/>
  <c r="CC82" i="12"/>
  <c r="BW82" i="12" s="1"/>
  <c r="CC91" i="12"/>
  <c r="CC90" i="12"/>
  <c r="CC24" i="12"/>
  <c r="CC4" i="12"/>
  <c r="BW4" i="12" s="1"/>
  <c r="CB6" i="12"/>
  <c r="CB27" i="12"/>
  <c r="BV27" i="12" s="1"/>
  <c r="CB29" i="12"/>
  <c r="CB22" i="12"/>
  <c r="CB41" i="12"/>
  <c r="CB37" i="12"/>
  <c r="CB51" i="12"/>
  <c r="CB45" i="12"/>
  <c r="CB49" i="12"/>
  <c r="CB33" i="12"/>
  <c r="CB47" i="12"/>
  <c r="CB54" i="12"/>
  <c r="CB60" i="12"/>
  <c r="BV60" i="12" s="1"/>
  <c r="CB53" i="12"/>
  <c r="BV53" i="12" s="1"/>
  <c r="CB67" i="12"/>
  <c r="BV67" i="12" s="1"/>
  <c r="CB76" i="12"/>
  <c r="CB71" i="12"/>
  <c r="CB72" i="12"/>
  <c r="BV72" i="12" s="1"/>
  <c r="CB14" i="12"/>
  <c r="CB11" i="12"/>
  <c r="CB39" i="12"/>
  <c r="CB35" i="12"/>
  <c r="CB40" i="12"/>
  <c r="CB32" i="12"/>
  <c r="CB57" i="12"/>
  <c r="CB50" i="12"/>
  <c r="BV50" i="12" s="1"/>
  <c r="CB81" i="12"/>
  <c r="CB63" i="12"/>
  <c r="CB97" i="12"/>
  <c r="BV97" i="12" s="1"/>
  <c r="CB65" i="12"/>
  <c r="BV65" i="12" s="1"/>
  <c r="CB64" i="12"/>
  <c r="BV64" i="12" s="1"/>
  <c r="CB82" i="12"/>
  <c r="CB91" i="12"/>
  <c r="CB90" i="12"/>
  <c r="BV90" i="12" s="1"/>
  <c r="CB24" i="12"/>
  <c r="BV24" i="12" s="1"/>
  <c r="CB4" i="12"/>
  <c r="AE66" i="6"/>
  <c r="AF66" i="6"/>
  <c r="AG66" i="6"/>
  <c r="AH66" i="6"/>
  <c r="AH12" i="6"/>
  <c r="AS12" i="6"/>
  <c r="AT12" i="6"/>
  <c r="AU12" i="6"/>
  <c r="BC25" i="11"/>
  <c r="BC27" i="11"/>
  <c r="BC28" i="11"/>
  <c r="BC29" i="11"/>
  <c r="BC30" i="11"/>
  <c r="BC31" i="11"/>
  <c r="BC32" i="11"/>
  <c r="BC33" i="11"/>
  <c r="BC34" i="11"/>
  <c r="BC24" i="11"/>
  <c r="BB25" i="11"/>
  <c r="BB27" i="11"/>
  <c r="BB28" i="11"/>
  <c r="BB29" i="11"/>
  <c r="BB30" i="11"/>
  <c r="BB31" i="11"/>
  <c r="BB32" i="11"/>
  <c r="BB33" i="11"/>
  <c r="BB34" i="11"/>
  <c r="BB24" i="11"/>
  <c r="BC4" i="11"/>
  <c r="BC5" i="11"/>
  <c r="BC6" i="11"/>
  <c r="BC8" i="11"/>
  <c r="BC10" i="11"/>
  <c r="BC9" i="11"/>
  <c r="BC11" i="11"/>
  <c r="BC12" i="11"/>
  <c r="BC13" i="11"/>
  <c r="BC3" i="11"/>
  <c r="BB4" i="11"/>
  <c r="BB5" i="11"/>
  <c r="BB6" i="11"/>
  <c r="BB8" i="11"/>
  <c r="BB10" i="11"/>
  <c r="BB9" i="11"/>
  <c r="BB11" i="11"/>
  <c r="BB12" i="11"/>
  <c r="BB13" i="11"/>
  <c r="BB3" i="11"/>
  <c r="BA30" i="11"/>
  <c r="BA33" i="11"/>
  <c r="BA31" i="11"/>
  <c r="BA32" i="11"/>
  <c r="BA29" i="11"/>
  <c r="BA34" i="11"/>
  <c r="BA25" i="11"/>
  <c r="BA28" i="11"/>
  <c r="BA24" i="11"/>
  <c r="BA27" i="11"/>
  <c r="AY30" i="11"/>
  <c r="AY33" i="11"/>
  <c r="AY31" i="11"/>
  <c r="AY32" i="11"/>
  <c r="AY29" i="11"/>
  <c r="AY34" i="11"/>
  <c r="AY25" i="11"/>
  <c r="AY28" i="11"/>
  <c r="AY24" i="11"/>
  <c r="AY27" i="11"/>
  <c r="AZ30" i="11"/>
  <c r="AZ33" i="11"/>
  <c r="AZ31" i="11"/>
  <c r="AZ32" i="11"/>
  <c r="AZ29" i="11"/>
  <c r="AZ34" i="11"/>
  <c r="AZ25" i="11"/>
  <c r="AZ28" i="11"/>
  <c r="AZ24" i="11"/>
  <c r="AZ27" i="11"/>
  <c r="BA11" i="11"/>
  <c r="BA9" i="11"/>
  <c r="BA10" i="11"/>
  <c r="BA12" i="11"/>
  <c r="BA8" i="11"/>
  <c r="BA13" i="11"/>
  <c r="BA5" i="11"/>
  <c r="BA6" i="11"/>
  <c r="BA3" i="11"/>
  <c r="BA4" i="11"/>
  <c r="AZ11" i="11"/>
  <c r="AZ9" i="11"/>
  <c r="AZ10" i="11"/>
  <c r="AZ12" i="11"/>
  <c r="AZ8" i="11"/>
  <c r="AZ13" i="11"/>
  <c r="AZ5" i="11"/>
  <c r="AZ6" i="11"/>
  <c r="AZ3" i="11"/>
  <c r="AZ4" i="11"/>
  <c r="AY11" i="11"/>
  <c r="AY9" i="11"/>
  <c r="AY10" i="11"/>
  <c r="AY12" i="11"/>
  <c r="AY8" i="11"/>
  <c r="AY13" i="11"/>
  <c r="AY5" i="11"/>
  <c r="AY6" i="11"/>
  <c r="AY3" i="11"/>
  <c r="AY4" i="11"/>
  <c r="AX24" i="11"/>
  <c r="AW24" i="11"/>
  <c r="AV24" i="11"/>
  <c r="AU24" i="11"/>
  <c r="AX28" i="11"/>
  <c r="AW28" i="11"/>
  <c r="AV28" i="11"/>
  <c r="AU28" i="11"/>
  <c r="AX25" i="11"/>
  <c r="AW25" i="11"/>
  <c r="AV25" i="11"/>
  <c r="AU25" i="11"/>
  <c r="AX34" i="11"/>
  <c r="AW34" i="11"/>
  <c r="AV34" i="11"/>
  <c r="AU34" i="11"/>
  <c r="AX29" i="11"/>
  <c r="AW29" i="11"/>
  <c r="AV29" i="11"/>
  <c r="AU29" i="11"/>
  <c r="AX32" i="11"/>
  <c r="AW32" i="11"/>
  <c r="AV32" i="11"/>
  <c r="AU32" i="11"/>
  <c r="AX31" i="11"/>
  <c r="AW31" i="11"/>
  <c r="AV31" i="11"/>
  <c r="AU31" i="11"/>
  <c r="AX33" i="11"/>
  <c r="AW33" i="11"/>
  <c r="AV33" i="11"/>
  <c r="AU33" i="11"/>
  <c r="AX30" i="11"/>
  <c r="AW30" i="11"/>
  <c r="AV30" i="11"/>
  <c r="AU30" i="11"/>
  <c r="AX27" i="11"/>
  <c r="AW27" i="11"/>
  <c r="AV27" i="11"/>
  <c r="AU27" i="11"/>
  <c r="BP3" i="11"/>
  <c r="BO3" i="11"/>
  <c r="BN3" i="11"/>
  <c r="AX3" i="11"/>
  <c r="BP6" i="11"/>
  <c r="BO6" i="11"/>
  <c r="BN6" i="11"/>
  <c r="AX6" i="11"/>
  <c r="BP5" i="11"/>
  <c r="BO5" i="11"/>
  <c r="BN5" i="11"/>
  <c r="AX5" i="11"/>
  <c r="BP13" i="11"/>
  <c r="BO13" i="11"/>
  <c r="BN13" i="11"/>
  <c r="AX13" i="11"/>
  <c r="BP8" i="11"/>
  <c r="BO8" i="11"/>
  <c r="BN8" i="11"/>
  <c r="AX8" i="11"/>
  <c r="BP12" i="11"/>
  <c r="BO12" i="11"/>
  <c r="BN12" i="11"/>
  <c r="AX12" i="11"/>
  <c r="BP10" i="11"/>
  <c r="BO10" i="11"/>
  <c r="BN10" i="11"/>
  <c r="AX10" i="11"/>
  <c r="BP9" i="11"/>
  <c r="BO9" i="11"/>
  <c r="BN9" i="11"/>
  <c r="AX9" i="11"/>
  <c r="BP11" i="11"/>
  <c r="BO11" i="11"/>
  <c r="BN11" i="11"/>
  <c r="AX11" i="11"/>
  <c r="BR3" i="11"/>
  <c r="BP4" i="11"/>
  <c r="BO4" i="11"/>
  <c r="BN4" i="11"/>
  <c r="AX4" i="11"/>
  <c r="BS2" i="11"/>
  <c r="BS3" i="11" s="1"/>
  <c r="BR2" i="11"/>
  <c r="AE67" i="3"/>
  <c r="AF67" i="3"/>
  <c r="AG67" i="3"/>
  <c r="AH67" i="3"/>
  <c r="AH11" i="3"/>
  <c r="AS11" i="3"/>
  <c r="AT11" i="3"/>
  <c r="AU11" i="3"/>
  <c r="AH8" i="6"/>
  <c r="AH9" i="6"/>
  <c r="AH11" i="6"/>
  <c r="AH15" i="6"/>
  <c r="AH16" i="6"/>
  <c r="AH17" i="6"/>
  <c r="AH18" i="6"/>
  <c r="AH19" i="6"/>
  <c r="AH13" i="6"/>
  <c r="AH20" i="6"/>
  <c r="AH21" i="6"/>
  <c r="AH22" i="6"/>
  <c r="AH23" i="6"/>
  <c r="AH25" i="6"/>
  <c r="AH26" i="6"/>
  <c r="AH27" i="6"/>
  <c r="AH24" i="6"/>
  <c r="AH29" i="6"/>
  <c r="AH30" i="6"/>
  <c r="AH28" i="6"/>
  <c r="AH32" i="6"/>
  <c r="AH34" i="6"/>
  <c r="AH35" i="6"/>
  <c r="AH36" i="6"/>
  <c r="AH37" i="6"/>
  <c r="AH31" i="6"/>
  <c r="AH38" i="6"/>
  <c r="AH33" i="6"/>
  <c r="AH39" i="6"/>
  <c r="AH41" i="6"/>
  <c r="AH40" i="6"/>
  <c r="AH43" i="6"/>
  <c r="AH44" i="6"/>
  <c r="AH45" i="6"/>
  <c r="AH46" i="6"/>
  <c r="AH3" i="5"/>
  <c r="AH13" i="5"/>
  <c r="AH15" i="5"/>
  <c r="AH16" i="5"/>
  <c r="AH14" i="5"/>
  <c r="AH17" i="5"/>
  <c r="AH18" i="5"/>
  <c r="AH19" i="5"/>
  <c r="AH20" i="5"/>
  <c r="AH21" i="5"/>
  <c r="AH22" i="5"/>
  <c r="AH25" i="5"/>
  <c r="AH24" i="5"/>
  <c r="AH26" i="5"/>
  <c r="AH27" i="5"/>
  <c r="AH28" i="5"/>
  <c r="AH23" i="5"/>
  <c r="AH31" i="5"/>
  <c r="AH32" i="5"/>
  <c r="AH34" i="5"/>
  <c r="AH33" i="5"/>
  <c r="AH29" i="5"/>
  <c r="AH35" i="5"/>
  <c r="AH36" i="5"/>
  <c r="AH37" i="5"/>
  <c r="AH30" i="5"/>
  <c r="AH38" i="5"/>
  <c r="AH39" i="5"/>
  <c r="AH40" i="5"/>
  <c r="AH41" i="5"/>
  <c r="AH44" i="5"/>
  <c r="AH46" i="5"/>
  <c r="AH42" i="5"/>
  <c r="AH47" i="5"/>
  <c r="AH43" i="5"/>
  <c r="AH49" i="5"/>
  <c r="AH45" i="5"/>
  <c r="AH5" i="4"/>
  <c r="AH7" i="4"/>
  <c r="AH6" i="4"/>
  <c r="AH12" i="4"/>
  <c r="AH14" i="4"/>
  <c r="AH15" i="4"/>
  <c r="AH16" i="4"/>
  <c r="AH17" i="4"/>
  <c r="AH18" i="4"/>
  <c r="AH19" i="4"/>
  <c r="AH20" i="4"/>
  <c r="AH22" i="4"/>
  <c r="AH23" i="4"/>
  <c r="AH21" i="4"/>
  <c r="AH25" i="4"/>
  <c r="AH26" i="4"/>
  <c r="AH27" i="4"/>
  <c r="AH28" i="4"/>
  <c r="AH29" i="4"/>
  <c r="AH24" i="4"/>
  <c r="AH32" i="4"/>
  <c r="AH33" i="4"/>
  <c r="AH34" i="4"/>
  <c r="AH35" i="4"/>
  <c r="AH36" i="4"/>
  <c r="AH30" i="4"/>
  <c r="AH38" i="4"/>
  <c r="AH39" i="4"/>
  <c r="AH31" i="4"/>
  <c r="AH37" i="4"/>
  <c r="AH41" i="4"/>
  <c r="AH42" i="4"/>
  <c r="AH43" i="4"/>
  <c r="AH45" i="4"/>
  <c r="AH40" i="4"/>
  <c r="AH6" i="3"/>
  <c r="AH12" i="3"/>
  <c r="AH14" i="3"/>
  <c r="AH15" i="3"/>
  <c r="AH16" i="3"/>
  <c r="AH17" i="3"/>
  <c r="AH18" i="3"/>
  <c r="AH19" i="3"/>
  <c r="AH20" i="3"/>
  <c r="AH21" i="3"/>
  <c r="AH22" i="3"/>
  <c r="AH24" i="3"/>
  <c r="AH25" i="3"/>
  <c r="AH23" i="3"/>
  <c r="AH27" i="3"/>
  <c r="AH28" i="3"/>
  <c r="AH29" i="3"/>
  <c r="AH26" i="3"/>
  <c r="AH30" i="3"/>
  <c r="AH31" i="3"/>
  <c r="AH33" i="3"/>
  <c r="AH34" i="3"/>
  <c r="AH37" i="3"/>
  <c r="AH35" i="3"/>
  <c r="AH38" i="3"/>
  <c r="AH32" i="3"/>
  <c r="AH39" i="3"/>
  <c r="AH36" i="3"/>
  <c r="AH40" i="3"/>
  <c r="AH41" i="3"/>
  <c r="AH43" i="3"/>
  <c r="AE103" i="5"/>
  <c r="AF103" i="5"/>
  <c r="AG103" i="5"/>
  <c r="AH103" i="5"/>
  <c r="AS40" i="5"/>
  <c r="AT40" i="5"/>
  <c r="AU40" i="5"/>
  <c r="AE99" i="6"/>
  <c r="AF99" i="6"/>
  <c r="AG99" i="6"/>
  <c r="AH99" i="6"/>
  <c r="AS38" i="6"/>
  <c r="AT38" i="6"/>
  <c r="AU38" i="6"/>
  <c r="AE78" i="6"/>
  <c r="AF78" i="6"/>
  <c r="AG78" i="6"/>
  <c r="AH78" i="6"/>
  <c r="AS32" i="6"/>
  <c r="AT32" i="6"/>
  <c r="AU32" i="6"/>
  <c r="AE88" i="6"/>
  <c r="AF88" i="6"/>
  <c r="AG88" i="6"/>
  <c r="AH88" i="6"/>
  <c r="AS30" i="6"/>
  <c r="AT30" i="6"/>
  <c r="AU30" i="6"/>
  <c r="AE106" i="5"/>
  <c r="AE98" i="5"/>
  <c r="AF106" i="5"/>
  <c r="AF98" i="5"/>
  <c r="AG106" i="5"/>
  <c r="AG98" i="5"/>
  <c r="AH106" i="5"/>
  <c r="AH98" i="5"/>
  <c r="AS38" i="5"/>
  <c r="AT38" i="5"/>
  <c r="AU38" i="5"/>
  <c r="AS43" i="5"/>
  <c r="AT43" i="5"/>
  <c r="AU43" i="5"/>
  <c r="AE76" i="3"/>
  <c r="AF76" i="3"/>
  <c r="AG76" i="3"/>
  <c r="AH76" i="3"/>
  <c r="AS25" i="3"/>
  <c r="AM25" i="3" s="1"/>
  <c r="AT25" i="3"/>
  <c r="AN25" i="3" s="1"/>
  <c r="AU25" i="3"/>
  <c r="AO25" i="3" s="1"/>
  <c r="AE93" i="3"/>
  <c r="AF93" i="3"/>
  <c r="AG93" i="3"/>
  <c r="AH93" i="3"/>
  <c r="AS39" i="3"/>
  <c r="AM39" i="3" s="1"/>
  <c r="AT39" i="3"/>
  <c r="AN39" i="3" s="1"/>
  <c r="AU39" i="3"/>
  <c r="AO39" i="3" s="1"/>
  <c r="AE83" i="4"/>
  <c r="AF83" i="4"/>
  <c r="AG83" i="4"/>
  <c r="AH83" i="4"/>
  <c r="AS40" i="4"/>
  <c r="AM40" i="4" s="1"/>
  <c r="AT40" i="4"/>
  <c r="AN40" i="4" s="1"/>
  <c r="AU40" i="4"/>
  <c r="AO40" i="4" s="1"/>
  <c r="AE97" i="3"/>
  <c r="AF97" i="3"/>
  <c r="AG97" i="3"/>
  <c r="AH97" i="3"/>
  <c r="AS43" i="3"/>
  <c r="AM43" i="3" s="1"/>
  <c r="AT43" i="3"/>
  <c r="AN43" i="3" s="1"/>
  <c r="AU43" i="3"/>
  <c r="AO43" i="3" s="1"/>
  <c r="AE81" i="3"/>
  <c r="AF81" i="3"/>
  <c r="AG81" i="3"/>
  <c r="AH81" i="3"/>
  <c r="AS19" i="3"/>
  <c r="AM19" i="3" s="1"/>
  <c r="AT19" i="3"/>
  <c r="AN19" i="3" s="1"/>
  <c r="AU19" i="3"/>
  <c r="AO19" i="3" s="1"/>
  <c r="AU46" i="6"/>
  <c r="AO46" i="6" s="1"/>
  <c r="AT46" i="6"/>
  <c r="AN46" i="6" s="1"/>
  <c r="AS46" i="6"/>
  <c r="AM46" i="6" s="1"/>
  <c r="AU45" i="6"/>
  <c r="AO45" i="6" s="1"/>
  <c r="AT45" i="6"/>
  <c r="AN45" i="6" s="1"/>
  <c r="AS45" i="6"/>
  <c r="AM45" i="6" s="1"/>
  <c r="AU44" i="6"/>
  <c r="AO44" i="6" s="1"/>
  <c r="AT44" i="6"/>
  <c r="AN44" i="6" s="1"/>
  <c r="AS44" i="6"/>
  <c r="AM44" i="6" s="1"/>
  <c r="AU43" i="6"/>
  <c r="AO43" i="6" s="1"/>
  <c r="AT43" i="6"/>
  <c r="AN43" i="6" s="1"/>
  <c r="AS43" i="6"/>
  <c r="AM43" i="6" s="1"/>
  <c r="AU40" i="6"/>
  <c r="AO40" i="6" s="1"/>
  <c r="AT40" i="6"/>
  <c r="AN40" i="6" s="1"/>
  <c r="AS40" i="6"/>
  <c r="AM40" i="6" s="1"/>
  <c r="AU41" i="6"/>
  <c r="AO41" i="6" s="1"/>
  <c r="AT41" i="6"/>
  <c r="AN41" i="6" s="1"/>
  <c r="AS41" i="6"/>
  <c r="AM41" i="6" s="1"/>
  <c r="AU39" i="6"/>
  <c r="AO39" i="6" s="1"/>
  <c r="AT39" i="6"/>
  <c r="AN39" i="6" s="1"/>
  <c r="AS39" i="6"/>
  <c r="AM39" i="6" s="1"/>
  <c r="AU36" i="6"/>
  <c r="AO36" i="6" s="1"/>
  <c r="AT36" i="6"/>
  <c r="AN36" i="6" s="1"/>
  <c r="AS36" i="6"/>
  <c r="AM36" i="6" s="1"/>
  <c r="AU37" i="6"/>
  <c r="AO37" i="6" s="1"/>
  <c r="AT37" i="6"/>
  <c r="AN37" i="6" s="1"/>
  <c r="AS37" i="6"/>
  <c r="AM37" i="6" s="1"/>
  <c r="AU35" i="6"/>
  <c r="AO35" i="6" s="1"/>
  <c r="AT35" i="6"/>
  <c r="AN35" i="6" s="1"/>
  <c r="AS35" i="6"/>
  <c r="AM35" i="6" s="1"/>
  <c r="AU34" i="6"/>
  <c r="AO34" i="6" s="1"/>
  <c r="AT34" i="6"/>
  <c r="AN34" i="6" s="1"/>
  <c r="AS34" i="6"/>
  <c r="AM34" i="6" s="1"/>
  <c r="AU33" i="6"/>
  <c r="AO33" i="6" s="1"/>
  <c r="AT33" i="6"/>
  <c r="AN33" i="6" s="1"/>
  <c r="AS33" i="6"/>
  <c r="AM33" i="6" s="1"/>
  <c r="AU31" i="6"/>
  <c r="AO31" i="6" s="1"/>
  <c r="AT31" i="6"/>
  <c r="AN31" i="6" s="1"/>
  <c r="AS31" i="6"/>
  <c r="AM31" i="6" s="1"/>
  <c r="AU29" i="6"/>
  <c r="AO29" i="6" s="1"/>
  <c r="AT29" i="6"/>
  <c r="AN29" i="6" s="1"/>
  <c r="AS29" i="6"/>
  <c r="AM29" i="6" s="1"/>
  <c r="AU28" i="6"/>
  <c r="AO28" i="6" s="1"/>
  <c r="AT28" i="6"/>
  <c r="AN28" i="6" s="1"/>
  <c r="AS28" i="6"/>
  <c r="AM28" i="6" s="1"/>
  <c r="AU27" i="6"/>
  <c r="AO27" i="6" s="1"/>
  <c r="AT27" i="6"/>
  <c r="AN27" i="6" s="1"/>
  <c r="AS27" i="6"/>
  <c r="AM27" i="6" s="1"/>
  <c r="AU26" i="6"/>
  <c r="AO26" i="6" s="1"/>
  <c r="AT26" i="6"/>
  <c r="AN26" i="6" s="1"/>
  <c r="AS26" i="6"/>
  <c r="AM26" i="6" s="1"/>
  <c r="AU25" i="6"/>
  <c r="AO25" i="6" s="1"/>
  <c r="AT25" i="6"/>
  <c r="AN25" i="6" s="1"/>
  <c r="AS25" i="6"/>
  <c r="AM25" i="6" s="1"/>
  <c r="AU24" i="6"/>
  <c r="AO24" i="6" s="1"/>
  <c r="AT24" i="6"/>
  <c r="AN24" i="6" s="1"/>
  <c r="AS24" i="6"/>
  <c r="AM24" i="6" s="1"/>
  <c r="AU23" i="6"/>
  <c r="AO23" i="6" s="1"/>
  <c r="AT23" i="6"/>
  <c r="AN23" i="6" s="1"/>
  <c r="AS23" i="6"/>
  <c r="AM23" i="6" s="1"/>
  <c r="AU22" i="6"/>
  <c r="AO22" i="6" s="1"/>
  <c r="AT22" i="6"/>
  <c r="AN22" i="6" s="1"/>
  <c r="AS22" i="6"/>
  <c r="AM22" i="6" s="1"/>
  <c r="AU21" i="6"/>
  <c r="AO21" i="6" s="1"/>
  <c r="AT21" i="6"/>
  <c r="AN21" i="6" s="1"/>
  <c r="AS21" i="6"/>
  <c r="AM21" i="6" s="1"/>
  <c r="AU20" i="6"/>
  <c r="AO20" i="6" s="1"/>
  <c r="AT20" i="6"/>
  <c r="AN20" i="6" s="1"/>
  <c r="AS20" i="6"/>
  <c r="AM20" i="6" s="1"/>
  <c r="AU19" i="6"/>
  <c r="AO19" i="6" s="1"/>
  <c r="AT19" i="6"/>
  <c r="AN19" i="6" s="1"/>
  <c r="AS19" i="6"/>
  <c r="AM19" i="6" s="1"/>
  <c r="AU18" i="6"/>
  <c r="AO18" i="6" s="1"/>
  <c r="AT18" i="6"/>
  <c r="AN18" i="6" s="1"/>
  <c r="AS18" i="6"/>
  <c r="AM18" i="6" s="1"/>
  <c r="AU17" i="6"/>
  <c r="AO17" i="6" s="1"/>
  <c r="AT17" i="6"/>
  <c r="AN17" i="6" s="1"/>
  <c r="AS17" i="6"/>
  <c r="AM17" i="6" s="1"/>
  <c r="AU16" i="6"/>
  <c r="AO16" i="6" s="1"/>
  <c r="AT16" i="6"/>
  <c r="AN16" i="6" s="1"/>
  <c r="AS16" i="6"/>
  <c r="AM16" i="6" s="1"/>
  <c r="AU15" i="6"/>
  <c r="AO15" i="6" s="1"/>
  <c r="AT15" i="6"/>
  <c r="AN15" i="6" s="1"/>
  <c r="AS15" i="6"/>
  <c r="AM15" i="6" s="1"/>
  <c r="AU13" i="6"/>
  <c r="AO13" i="6" s="1"/>
  <c r="AT13" i="6"/>
  <c r="AN13" i="6" s="1"/>
  <c r="AS13" i="6"/>
  <c r="AM13" i="6" s="1"/>
  <c r="AU11" i="6"/>
  <c r="AO11" i="6" s="1"/>
  <c r="AT11" i="6"/>
  <c r="AN11" i="6" s="1"/>
  <c r="AS11" i="6"/>
  <c r="AM11" i="6" s="1"/>
  <c r="AU9" i="6"/>
  <c r="AO9" i="6" s="1"/>
  <c r="AT9" i="6"/>
  <c r="AN9" i="6" s="1"/>
  <c r="AS9" i="6"/>
  <c r="AM9" i="6" s="1"/>
  <c r="AU8" i="6"/>
  <c r="AO8" i="6" s="1"/>
  <c r="AT8" i="6"/>
  <c r="AN8" i="6" s="1"/>
  <c r="AS8" i="6"/>
  <c r="AM8" i="6" s="1"/>
  <c r="AS41" i="5"/>
  <c r="AM41" i="5" s="1"/>
  <c r="AT41" i="5"/>
  <c r="AN41" i="5" s="1"/>
  <c r="AU41" i="5"/>
  <c r="AO41" i="5" s="1"/>
  <c r="AS42" i="5"/>
  <c r="AM42" i="5" s="1"/>
  <c r="AT42" i="5"/>
  <c r="AN42" i="5" s="1"/>
  <c r="AU42" i="5"/>
  <c r="AO42" i="5" s="1"/>
  <c r="AS44" i="5"/>
  <c r="AM44" i="5" s="1"/>
  <c r="AT44" i="5"/>
  <c r="AN44" i="5" s="1"/>
  <c r="AU44" i="5"/>
  <c r="AO44" i="5" s="1"/>
  <c r="AS45" i="5"/>
  <c r="AM45" i="5" s="1"/>
  <c r="AT45" i="5"/>
  <c r="AN45" i="5" s="1"/>
  <c r="AU45" i="5"/>
  <c r="AO45" i="5" s="1"/>
  <c r="AS46" i="5"/>
  <c r="AM46" i="5" s="1"/>
  <c r="AT46" i="5"/>
  <c r="AN46" i="5" s="1"/>
  <c r="AU46" i="5"/>
  <c r="AO46" i="5" s="1"/>
  <c r="AS47" i="5"/>
  <c r="AM47" i="5" s="1"/>
  <c r="AT47" i="5"/>
  <c r="AN47" i="5" s="1"/>
  <c r="AU47" i="5"/>
  <c r="AO47" i="5" s="1"/>
  <c r="AS49" i="5"/>
  <c r="AM49" i="5" s="1"/>
  <c r="AT49" i="5"/>
  <c r="AN49" i="5" s="1"/>
  <c r="AU49" i="5"/>
  <c r="AO49" i="5" s="1"/>
  <c r="AU39" i="5"/>
  <c r="AO39" i="5" s="1"/>
  <c r="AT39" i="5"/>
  <c r="AN39" i="5" s="1"/>
  <c r="AS39" i="5"/>
  <c r="AM39" i="5" s="1"/>
  <c r="AU36" i="5"/>
  <c r="AO36" i="5" s="1"/>
  <c r="AT36" i="5"/>
  <c r="AN36" i="5" s="1"/>
  <c r="AS36" i="5"/>
  <c r="AM36" i="5" s="1"/>
  <c r="AU37" i="5"/>
  <c r="AO37" i="5" s="1"/>
  <c r="AT37" i="5"/>
  <c r="AN37" i="5" s="1"/>
  <c r="AS37" i="5"/>
  <c r="AM37" i="5" s="1"/>
  <c r="AU35" i="5"/>
  <c r="AO35" i="5" s="1"/>
  <c r="AT35" i="5"/>
  <c r="AN35" i="5" s="1"/>
  <c r="AS35" i="5"/>
  <c r="AM35" i="5" s="1"/>
  <c r="AU33" i="5"/>
  <c r="AO33" i="5" s="1"/>
  <c r="AT33" i="5"/>
  <c r="AN33" i="5" s="1"/>
  <c r="AS33" i="5"/>
  <c r="AM33" i="5" s="1"/>
  <c r="AU32" i="5"/>
  <c r="AO32" i="5" s="1"/>
  <c r="AT32" i="5"/>
  <c r="AN32" i="5" s="1"/>
  <c r="AS32" i="5"/>
  <c r="AM32" i="5" s="1"/>
  <c r="AU34" i="5"/>
  <c r="AO34" i="5" s="1"/>
  <c r="AT34" i="5"/>
  <c r="AN34" i="5" s="1"/>
  <c r="AS34" i="5"/>
  <c r="AM34" i="5" s="1"/>
  <c r="AU31" i="5"/>
  <c r="AO31" i="5" s="1"/>
  <c r="AT31" i="5"/>
  <c r="AN31" i="5" s="1"/>
  <c r="AS31" i="5"/>
  <c r="AM31" i="5" s="1"/>
  <c r="AU30" i="5"/>
  <c r="AO30" i="5" s="1"/>
  <c r="AT30" i="5"/>
  <c r="AN30" i="5" s="1"/>
  <c r="AS30" i="5"/>
  <c r="AM30" i="5" s="1"/>
  <c r="AU29" i="5"/>
  <c r="AO29" i="5" s="1"/>
  <c r="AT29" i="5"/>
  <c r="AN29" i="5" s="1"/>
  <c r="AS29" i="5"/>
  <c r="AM29" i="5" s="1"/>
  <c r="AU28" i="5"/>
  <c r="AO28" i="5" s="1"/>
  <c r="AT28" i="5"/>
  <c r="AN28" i="5" s="1"/>
  <c r="AS28" i="5"/>
  <c r="AM28" i="5" s="1"/>
  <c r="AU27" i="5"/>
  <c r="AO27" i="5" s="1"/>
  <c r="AT27" i="5"/>
  <c r="AN27" i="5" s="1"/>
  <c r="AS27" i="5"/>
  <c r="AM27" i="5" s="1"/>
  <c r="AU26" i="5"/>
  <c r="AO26" i="5" s="1"/>
  <c r="AT26" i="5"/>
  <c r="AN26" i="5" s="1"/>
  <c r="AS26" i="5"/>
  <c r="AM26" i="5" s="1"/>
  <c r="AU24" i="5"/>
  <c r="AO24" i="5" s="1"/>
  <c r="AT24" i="5"/>
  <c r="AN24" i="5" s="1"/>
  <c r="AS24" i="5"/>
  <c r="AM24" i="5" s="1"/>
  <c r="AU23" i="5"/>
  <c r="AO23" i="5" s="1"/>
  <c r="AT23" i="5"/>
  <c r="AN23" i="5" s="1"/>
  <c r="AS23" i="5"/>
  <c r="AM23" i="5" s="1"/>
  <c r="AU25" i="5"/>
  <c r="AO25" i="5" s="1"/>
  <c r="AT25" i="5"/>
  <c r="AN25" i="5" s="1"/>
  <c r="AS25" i="5"/>
  <c r="AM25" i="5" s="1"/>
  <c r="AU22" i="5"/>
  <c r="AO22" i="5" s="1"/>
  <c r="AT22" i="5"/>
  <c r="AN22" i="5" s="1"/>
  <c r="AS22" i="5"/>
  <c r="AM22" i="5" s="1"/>
  <c r="AU21" i="5"/>
  <c r="AO21" i="5" s="1"/>
  <c r="AT21" i="5"/>
  <c r="AN21" i="5" s="1"/>
  <c r="AS21" i="5"/>
  <c r="AM21" i="5" s="1"/>
  <c r="AU20" i="5"/>
  <c r="AO20" i="5" s="1"/>
  <c r="AT20" i="5"/>
  <c r="AN20" i="5" s="1"/>
  <c r="AS20" i="5"/>
  <c r="AM20" i="5" s="1"/>
  <c r="AU19" i="5"/>
  <c r="AO19" i="5" s="1"/>
  <c r="AT19" i="5"/>
  <c r="AN19" i="5" s="1"/>
  <c r="AS19" i="5"/>
  <c r="AM19" i="5" s="1"/>
  <c r="AU18" i="5"/>
  <c r="AO18" i="5" s="1"/>
  <c r="AT18" i="5"/>
  <c r="AN18" i="5" s="1"/>
  <c r="AS18" i="5"/>
  <c r="AM18" i="5" s="1"/>
  <c r="AU17" i="5"/>
  <c r="AO17" i="5" s="1"/>
  <c r="AT17" i="5"/>
  <c r="AN17" i="5" s="1"/>
  <c r="AS17" i="5"/>
  <c r="AM17" i="5" s="1"/>
  <c r="AU16" i="5"/>
  <c r="AO16" i="5" s="1"/>
  <c r="AT16" i="5"/>
  <c r="AN16" i="5" s="1"/>
  <c r="AS16" i="5"/>
  <c r="AM16" i="5" s="1"/>
  <c r="AU15" i="5"/>
  <c r="AO15" i="5" s="1"/>
  <c r="AT15" i="5"/>
  <c r="AN15" i="5" s="1"/>
  <c r="AS15" i="5"/>
  <c r="AM15" i="5" s="1"/>
  <c r="AU14" i="5"/>
  <c r="AO14" i="5" s="1"/>
  <c r="AT14" i="5"/>
  <c r="AN14" i="5" s="1"/>
  <c r="AS14" i="5"/>
  <c r="AM14" i="5" s="1"/>
  <c r="AU13" i="5"/>
  <c r="AO13" i="5" s="1"/>
  <c r="AT13" i="5"/>
  <c r="AN13" i="5" s="1"/>
  <c r="AS13" i="5"/>
  <c r="AM13" i="5" s="1"/>
  <c r="AU3" i="5"/>
  <c r="AO3" i="5" s="1"/>
  <c r="AT3" i="5"/>
  <c r="AN3" i="5" s="1"/>
  <c r="AS3" i="5"/>
  <c r="AM3" i="5" s="1"/>
  <c r="AS37" i="4"/>
  <c r="AM37" i="4" s="1"/>
  <c r="AT37" i="4"/>
  <c r="AN37" i="4" s="1"/>
  <c r="AU37" i="4"/>
  <c r="AO37" i="4" s="1"/>
  <c r="AS38" i="4"/>
  <c r="AM38" i="4" s="1"/>
  <c r="AT38" i="4"/>
  <c r="AN38" i="4" s="1"/>
  <c r="AU38" i="4"/>
  <c r="AO38" i="4" s="1"/>
  <c r="AS39" i="4"/>
  <c r="AM39" i="4" s="1"/>
  <c r="AT39" i="4"/>
  <c r="AN39" i="4" s="1"/>
  <c r="AU39" i="4"/>
  <c r="AO39" i="4" s="1"/>
  <c r="AS41" i="4"/>
  <c r="AM41" i="4" s="1"/>
  <c r="AT41" i="4"/>
  <c r="AN41" i="4" s="1"/>
  <c r="AU41" i="4"/>
  <c r="AO41" i="4" s="1"/>
  <c r="AS43" i="4"/>
  <c r="AM43" i="4" s="1"/>
  <c r="AT43" i="4"/>
  <c r="AN43" i="4" s="1"/>
  <c r="AU43" i="4"/>
  <c r="AO43" i="4" s="1"/>
  <c r="AS42" i="4"/>
  <c r="AM42" i="4" s="1"/>
  <c r="AT42" i="4"/>
  <c r="AN42" i="4" s="1"/>
  <c r="AU42" i="4"/>
  <c r="AO42" i="4" s="1"/>
  <c r="AS45" i="4"/>
  <c r="AM45" i="4" s="1"/>
  <c r="AT45" i="4"/>
  <c r="AN45" i="4" s="1"/>
  <c r="AU45" i="4"/>
  <c r="AO45" i="4" s="1"/>
  <c r="AU36" i="4"/>
  <c r="AO36" i="4" s="1"/>
  <c r="AT36" i="4"/>
  <c r="AN36" i="4" s="1"/>
  <c r="AS36" i="4"/>
  <c r="AM36" i="4" s="1"/>
  <c r="AU35" i="4"/>
  <c r="AO35" i="4" s="1"/>
  <c r="AT35" i="4"/>
  <c r="AN35" i="4" s="1"/>
  <c r="AS35" i="4"/>
  <c r="AM35" i="4" s="1"/>
  <c r="AU34" i="4"/>
  <c r="AO34" i="4" s="1"/>
  <c r="AT34" i="4"/>
  <c r="AN34" i="4" s="1"/>
  <c r="AS34" i="4"/>
  <c r="AM34" i="4" s="1"/>
  <c r="AU33" i="4"/>
  <c r="AO33" i="4" s="1"/>
  <c r="AT33" i="4"/>
  <c r="AN33" i="4" s="1"/>
  <c r="AS33" i="4"/>
  <c r="AM33" i="4" s="1"/>
  <c r="AU32" i="4"/>
  <c r="AO32" i="4" s="1"/>
  <c r="AT32" i="4"/>
  <c r="AN32" i="4" s="1"/>
  <c r="AS32" i="4"/>
  <c r="AM32" i="4" s="1"/>
  <c r="AU29" i="4"/>
  <c r="AO29" i="4" s="1"/>
  <c r="AT29" i="4"/>
  <c r="AN29" i="4" s="1"/>
  <c r="AS29" i="4"/>
  <c r="AM29" i="4" s="1"/>
  <c r="AU31" i="4"/>
  <c r="AO31" i="4" s="1"/>
  <c r="AT31" i="4"/>
  <c r="AN31" i="4" s="1"/>
  <c r="AS31" i="4"/>
  <c r="AM31" i="4" s="1"/>
  <c r="AU30" i="4"/>
  <c r="AO30" i="4" s="1"/>
  <c r="AT30" i="4"/>
  <c r="AN30" i="4" s="1"/>
  <c r="AS30" i="4"/>
  <c r="AM30" i="4" s="1"/>
  <c r="AU28" i="4"/>
  <c r="AO28" i="4" s="1"/>
  <c r="AT28" i="4"/>
  <c r="AN28" i="4" s="1"/>
  <c r="AS28" i="4"/>
  <c r="AM28" i="4" s="1"/>
  <c r="AU27" i="4"/>
  <c r="AO27" i="4" s="1"/>
  <c r="AT27" i="4"/>
  <c r="AN27" i="4" s="1"/>
  <c r="AS27" i="4"/>
  <c r="AM27" i="4" s="1"/>
  <c r="AU25" i="4"/>
  <c r="AO25" i="4" s="1"/>
  <c r="AT25" i="4"/>
  <c r="AN25" i="4" s="1"/>
  <c r="AS25" i="4"/>
  <c r="AM25" i="4" s="1"/>
  <c r="AU26" i="4"/>
  <c r="AO26" i="4" s="1"/>
  <c r="AT26" i="4"/>
  <c r="AN26" i="4" s="1"/>
  <c r="AS26" i="4"/>
  <c r="AM26" i="4" s="1"/>
  <c r="AU24" i="4"/>
  <c r="AO24" i="4" s="1"/>
  <c r="AT24" i="4"/>
  <c r="AN24" i="4" s="1"/>
  <c r="AS24" i="4"/>
  <c r="AM24" i="4" s="1"/>
  <c r="AU23" i="4"/>
  <c r="AO23" i="4" s="1"/>
  <c r="AT23" i="4"/>
  <c r="AN23" i="4" s="1"/>
  <c r="AS23" i="4"/>
  <c r="AM23" i="4" s="1"/>
  <c r="AU22" i="4"/>
  <c r="AO22" i="4" s="1"/>
  <c r="AT22" i="4"/>
  <c r="AN22" i="4" s="1"/>
  <c r="AS22" i="4"/>
  <c r="AM22" i="4" s="1"/>
  <c r="AU21" i="4"/>
  <c r="AO21" i="4" s="1"/>
  <c r="AT21" i="4"/>
  <c r="AN21" i="4" s="1"/>
  <c r="AS21" i="4"/>
  <c r="AM21" i="4" s="1"/>
  <c r="AU20" i="4"/>
  <c r="AO20" i="4" s="1"/>
  <c r="AT20" i="4"/>
  <c r="AN20" i="4" s="1"/>
  <c r="AS20" i="4"/>
  <c r="AM20" i="4" s="1"/>
  <c r="AU19" i="4"/>
  <c r="AO19" i="4" s="1"/>
  <c r="AT19" i="4"/>
  <c r="AN19" i="4" s="1"/>
  <c r="AS19" i="4"/>
  <c r="AM19" i="4" s="1"/>
  <c r="AU17" i="4"/>
  <c r="AO17" i="4" s="1"/>
  <c r="AT17" i="4"/>
  <c r="AN17" i="4" s="1"/>
  <c r="AS17" i="4"/>
  <c r="AM17" i="4" s="1"/>
  <c r="AU18" i="4"/>
  <c r="AO18" i="4" s="1"/>
  <c r="AT18" i="4"/>
  <c r="AN18" i="4" s="1"/>
  <c r="AS18" i="4"/>
  <c r="AM18" i="4" s="1"/>
  <c r="AU15" i="4"/>
  <c r="AO15" i="4" s="1"/>
  <c r="AT15" i="4"/>
  <c r="AN15" i="4" s="1"/>
  <c r="AS15" i="4"/>
  <c r="AM15" i="4" s="1"/>
  <c r="AU16" i="4"/>
  <c r="AO16" i="4" s="1"/>
  <c r="AT16" i="4"/>
  <c r="AN16" i="4" s="1"/>
  <c r="AS16" i="4"/>
  <c r="AM16" i="4" s="1"/>
  <c r="AU14" i="4"/>
  <c r="AO14" i="4" s="1"/>
  <c r="AT14" i="4"/>
  <c r="AN14" i="4" s="1"/>
  <c r="AS14" i="4"/>
  <c r="AM14" i="4" s="1"/>
  <c r="AU12" i="4"/>
  <c r="AO12" i="4" s="1"/>
  <c r="AT12" i="4"/>
  <c r="AN12" i="4" s="1"/>
  <c r="AS12" i="4"/>
  <c r="AM12" i="4" s="1"/>
  <c r="AU7" i="4"/>
  <c r="AO7" i="4" s="1"/>
  <c r="AT7" i="4"/>
  <c r="AN7" i="4" s="1"/>
  <c r="AS7" i="4"/>
  <c r="AM7" i="4" s="1"/>
  <c r="AU6" i="4"/>
  <c r="AO6" i="4" s="1"/>
  <c r="AT6" i="4"/>
  <c r="AN6" i="4" s="1"/>
  <c r="AS6" i="4"/>
  <c r="AM6" i="4" s="1"/>
  <c r="AU5" i="4"/>
  <c r="AO5" i="4" s="1"/>
  <c r="AT5" i="4"/>
  <c r="AN5" i="4" s="1"/>
  <c r="AS5" i="4"/>
  <c r="AM5" i="4" s="1"/>
  <c r="AW2" i="4"/>
  <c r="AX2" i="4"/>
  <c r="AX3" i="4" s="1"/>
  <c r="AW3" i="4"/>
  <c r="AU12" i="3"/>
  <c r="AO12" i="3" s="1"/>
  <c r="AU14" i="3"/>
  <c r="AO14" i="3" s="1"/>
  <c r="AU15" i="3"/>
  <c r="AO15" i="3" s="1"/>
  <c r="AU16" i="3"/>
  <c r="AO16" i="3" s="1"/>
  <c r="AU18" i="3"/>
  <c r="AO18" i="3" s="1"/>
  <c r="AU17" i="3"/>
  <c r="AO17" i="3" s="1"/>
  <c r="AU20" i="3"/>
  <c r="AO20" i="3" s="1"/>
  <c r="AU21" i="3"/>
  <c r="AO21" i="3" s="1"/>
  <c r="AU22" i="3"/>
  <c r="AO22" i="3" s="1"/>
  <c r="AU23" i="3"/>
  <c r="AO23" i="3" s="1"/>
  <c r="AU24" i="3"/>
  <c r="AO24" i="3" s="1"/>
  <c r="AU26" i="3"/>
  <c r="AO26" i="3" s="1"/>
  <c r="AU27" i="3"/>
  <c r="AO27" i="3" s="1"/>
  <c r="AU28" i="3"/>
  <c r="AO28" i="3" s="1"/>
  <c r="AU29" i="3"/>
  <c r="AO29" i="3" s="1"/>
  <c r="AU30" i="3"/>
  <c r="AO30" i="3" s="1"/>
  <c r="AU31" i="3"/>
  <c r="AO31" i="3" s="1"/>
  <c r="AU32" i="3"/>
  <c r="AO32" i="3" s="1"/>
  <c r="AU33" i="3"/>
  <c r="AO33" i="3" s="1"/>
  <c r="AU34" i="3"/>
  <c r="AO34" i="3" s="1"/>
  <c r="AU37" i="3"/>
  <c r="AO37" i="3" s="1"/>
  <c r="AU35" i="3"/>
  <c r="AO35" i="3" s="1"/>
  <c r="AU36" i="3"/>
  <c r="AO36" i="3" s="1"/>
  <c r="AU38" i="3"/>
  <c r="AO38" i="3" s="1"/>
  <c r="AU40" i="3"/>
  <c r="AO40" i="3" s="1"/>
  <c r="AU41" i="3"/>
  <c r="AO41" i="3" s="1"/>
  <c r="AT12" i="3"/>
  <c r="AN12" i="3" s="1"/>
  <c r="AT14" i="3"/>
  <c r="AN14" i="3" s="1"/>
  <c r="AT15" i="3"/>
  <c r="AN15" i="3" s="1"/>
  <c r="AT16" i="3"/>
  <c r="AN16" i="3" s="1"/>
  <c r="AT18" i="3"/>
  <c r="AN18" i="3" s="1"/>
  <c r="AT17" i="3"/>
  <c r="AN17" i="3" s="1"/>
  <c r="AT20" i="3"/>
  <c r="AN20" i="3" s="1"/>
  <c r="AT21" i="3"/>
  <c r="AN21" i="3" s="1"/>
  <c r="AT22" i="3"/>
  <c r="AN22" i="3" s="1"/>
  <c r="AT23" i="3"/>
  <c r="AN23" i="3" s="1"/>
  <c r="AT24" i="3"/>
  <c r="AN24" i="3" s="1"/>
  <c r="AT26" i="3"/>
  <c r="AN26" i="3" s="1"/>
  <c r="AT27" i="3"/>
  <c r="AN27" i="3" s="1"/>
  <c r="AT28" i="3"/>
  <c r="AN28" i="3" s="1"/>
  <c r="AT29" i="3"/>
  <c r="AN29" i="3" s="1"/>
  <c r="AT30" i="3"/>
  <c r="AN30" i="3" s="1"/>
  <c r="AT31" i="3"/>
  <c r="AN31" i="3" s="1"/>
  <c r="AT32" i="3"/>
  <c r="AN32" i="3" s="1"/>
  <c r="AT33" i="3"/>
  <c r="AN33" i="3" s="1"/>
  <c r="AT34" i="3"/>
  <c r="AN34" i="3" s="1"/>
  <c r="AT37" i="3"/>
  <c r="AN37" i="3" s="1"/>
  <c r="AT35" i="3"/>
  <c r="AN35" i="3" s="1"/>
  <c r="AT36" i="3"/>
  <c r="AN36" i="3" s="1"/>
  <c r="AT38" i="3"/>
  <c r="AN38" i="3" s="1"/>
  <c r="AT40" i="3"/>
  <c r="AN40" i="3" s="1"/>
  <c r="AT41" i="3"/>
  <c r="AN41" i="3" s="1"/>
  <c r="AU6" i="3"/>
  <c r="AO6" i="3" s="1"/>
  <c r="AT6" i="3"/>
  <c r="AN6" i="3" s="1"/>
  <c r="AS12" i="3"/>
  <c r="AM12" i="3" s="1"/>
  <c r="AS14" i="3"/>
  <c r="AM14" i="3" s="1"/>
  <c r="AS15" i="3"/>
  <c r="AM15" i="3" s="1"/>
  <c r="AS16" i="3"/>
  <c r="AM16" i="3" s="1"/>
  <c r="AS18" i="3"/>
  <c r="AM18" i="3" s="1"/>
  <c r="AS17" i="3"/>
  <c r="AM17" i="3" s="1"/>
  <c r="AS20" i="3"/>
  <c r="AM20" i="3" s="1"/>
  <c r="AS21" i="3"/>
  <c r="AM21" i="3" s="1"/>
  <c r="AS22" i="3"/>
  <c r="AM22" i="3" s="1"/>
  <c r="AS23" i="3"/>
  <c r="AM23" i="3" s="1"/>
  <c r="AS24" i="3"/>
  <c r="AM24" i="3" s="1"/>
  <c r="AS26" i="3"/>
  <c r="AM26" i="3" s="1"/>
  <c r="AS27" i="3"/>
  <c r="AM27" i="3" s="1"/>
  <c r="AS28" i="3"/>
  <c r="AM28" i="3" s="1"/>
  <c r="AS29" i="3"/>
  <c r="AM29" i="3" s="1"/>
  <c r="AS30" i="3"/>
  <c r="AM30" i="3" s="1"/>
  <c r="AS31" i="3"/>
  <c r="AM31" i="3" s="1"/>
  <c r="AS32" i="3"/>
  <c r="AM32" i="3" s="1"/>
  <c r="AS33" i="3"/>
  <c r="AM33" i="3" s="1"/>
  <c r="AS34" i="3"/>
  <c r="AM34" i="3" s="1"/>
  <c r="AS37" i="3"/>
  <c r="AM37" i="3" s="1"/>
  <c r="AS35" i="3"/>
  <c r="AM35" i="3" s="1"/>
  <c r="AS36" i="3"/>
  <c r="AM36" i="3" s="1"/>
  <c r="AS38" i="3"/>
  <c r="AM38" i="3" s="1"/>
  <c r="AS40" i="3"/>
  <c r="AM40" i="3" s="1"/>
  <c r="AS41" i="3"/>
  <c r="AM41" i="3" s="1"/>
  <c r="AS6" i="3"/>
  <c r="AM6" i="3" s="1"/>
  <c r="AW3" i="5"/>
  <c r="AH70" i="6"/>
  <c r="AH71" i="6"/>
  <c r="AH73" i="6"/>
  <c r="AH72" i="6"/>
  <c r="AH74" i="6"/>
  <c r="AH75" i="6"/>
  <c r="AH76" i="6"/>
  <c r="AH77" i="6"/>
  <c r="AH80" i="6"/>
  <c r="AH79" i="6"/>
  <c r="AH81" i="6"/>
  <c r="AH82" i="6"/>
  <c r="AH83" i="6"/>
  <c r="AH84" i="6"/>
  <c r="AH85" i="6"/>
  <c r="AH86" i="6"/>
  <c r="AH87" i="6"/>
  <c r="AH89" i="6"/>
  <c r="AH90" i="6"/>
  <c r="AH91" i="6"/>
  <c r="AH92" i="6"/>
  <c r="AH93" i="6"/>
  <c r="AH94" i="6"/>
  <c r="AH95" i="6"/>
  <c r="AH96" i="6"/>
  <c r="AH97" i="6"/>
  <c r="AH98" i="6"/>
  <c r="AH101" i="6"/>
  <c r="AH102" i="6"/>
  <c r="AH103" i="6"/>
  <c r="AH104" i="6"/>
  <c r="AG70" i="6"/>
  <c r="AG71" i="6"/>
  <c r="AG73" i="6"/>
  <c r="AG72" i="6"/>
  <c r="AG74" i="6"/>
  <c r="AG75" i="6"/>
  <c r="AG76" i="6"/>
  <c r="AG77" i="6"/>
  <c r="AG80" i="6"/>
  <c r="AG79" i="6"/>
  <c r="AG81" i="6"/>
  <c r="AG82" i="6"/>
  <c r="AG83" i="6"/>
  <c r="AG84" i="6"/>
  <c r="AG85" i="6"/>
  <c r="AG86" i="6"/>
  <c r="AG87" i="6"/>
  <c r="AG89" i="6"/>
  <c r="AG90" i="6"/>
  <c r="AG91" i="6"/>
  <c r="AG92" i="6"/>
  <c r="AG93" i="6"/>
  <c r="AG94" i="6"/>
  <c r="AG95" i="6"/>
  <c r="AG96" i="6"/>
  <c r="AG97" i="6"/>
  <c r="AG98" i="6"/>
  <c r="AG101" i="6"/>
  <c r="AG102" i="6"/>
  <c r="AG103" i="6"/>
  <c r="AG104" i="6"/>
  <c r="AF70" i="6"/>
  <c r="AF71" i="6"/>
  <c r="AF73" i="6"/>
  <c r="AF72" i="6"/>
  <c r="AF74" i="6"/>
  <c r="AF75" i="6"/>
  <c r="AF76" i="6"/>
  <c r="AF77" i="6"/>
  <c r="AF80" i="6"/>
  <c r="AF79" i="6"/>
  <c r="AF81" i="6"/>
  <c r="AF82" i="6"/>
  <c r="AF83" i="6"/>
  <c r="AF84" i="6"/>
  <c r="AF85" i="6"/>
  <c r="AF86" i="6"/>
  <c r="AF87" i="6"/>
  <c r="AF89" i="6"/>
  <c r="AF90" i="6"/>
  <c r="AF91" i="6"/>
  <c r="AF92" i="6"/>
  <c r="AF93" i="6"/>
  <c r="AF94" i="6"/>
  <c r="AF95" i="6"/>
  <c r="AF96" i="6"/>
  <c r="AF97" i="6"/>
  <c r="AF98" i="6"/>
  <c r="AF101" i="6"/>
  <c r="AF102" i="6"/>
  <c r="AF103" i="6"/>
  <c r="AF104" i="6"/>
  <c r="AE70" i="6"/>
  <c r="AE71" i="6"/>
  <c r="AE73" i="6"/>
  <c r="AE72" i="6"/>
  <c r="AE74" i="6"/>
  <c r="AE75" i="6"/>
  <c r="AE76" i="6"/>
  <c r="AE77" i="6"/>
  <c r="AE80" i="6"/>
  <c r="AE79" i="6"/>
  <c r="AE81" i="6"/>
  <c r="AE82" i="6"/>
  <c r="AE83" i="6"/>
  <c r="AE84" i="6"/>
  <c r="AE85" i="6"/>
  <c r="AE86" i="6"/>
  <c r="AE87" i="6"/>
  <c r="AE89" i="6"/>
  <c r="AE90" i="6"/>
  <c r="AE91" i="6"/>
  <c r="AE92" i="6"/>
  <c r="AE93" i="6"/>
  <c r="AE94" i="6"/>
  <c r="AE95" i="6"/>
  <c r="AE96" i="6"/>
  <c r="AE97" i="6"/>
  <c r="AE98" i="6"/>
  <c r="AE101" i="6"/>
  <c r="AE102" i="6"/>
  <c r="AE103" i="6"/>
  <c r="AE104" i="6"/>
  <c r="AH69" i="6"/>
  <c r="AG69" i="6"/>
  <c r="AF69" i="6"/>
  <c r="AE69" i="6"/>
  <c r="AH62" i="4"/>
  <c r="AH63" i="4"/>
  <c r="AH64" i="4"/>
  <c r="G21" i="10" s="1"/>
  <c r="AH66" i="4"/>
  <c r="AH70" i="4"/>
  <c r="AH74" i="4"/>
  <c r="AH73" i="4"/>
  <c r="AH75" i="4"/>
  <c r="AH77" i="4"/>
  <c r="AH78" i="4"/>
  <c r="AH76" i="4"/>
  <c r="AH79" i="4"/>
  <c r="AH80" i="4"/>
  <c r="AH82" i="4"/>
  <c r="AH81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G62" i="4"/>
  <c r="AG63" i="4"/>
  <c r="AG64" i="4"/>
  <c r="AG66" i="4"/>
  <c r="AG70" i="4"/>
  <c r="AG74" i="4"/>
  <c r="AG73" i="4"/>
  <c r="AG75" i="4"/>
  <c r="AG77" i="4"/>
  <c r="AG78" i="4"/>
  <c r="AG76" i="4"/>
  <c r="AG79" i="4"/>
  <c r="AG80" i="4"/>
  <c r="AG82" i="4"/>
  <c r="AG81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F62" i="4"/>
  <c r="AF63" i="4"/>
  <c r="AF64" i="4"/>
  <c r="AF66" i="4"/>
  <c r="AF70" i="4"/>
  <c r="AF74" i="4"/>
  <c r="AF73" i="4"/>
  <c r="AF75" i="4"/>
  <c r="AF77" i="4"/>
  <c r="AF78" i="4"/>
  <c r="AF76" i="4"/>
  <c r="AF79" i="4"/>
  <c r="AF80" i="4"/>
  <c r="AF82" i="4"/>
  <c r="AF81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E62" i="4"/>
  <c r="AE63" i="4"/>
  <c r="AE64" i="4"/>
  <c r="AE66" i="4"/>
  <c r="AE70" i="4"/>
  <c r="AE74" i="4"/>
  <c r="AE73" i="4"/>
  <c r="AE75" i="4"/>
  <c r="AE77" i="4"/>
  <c r="AE78" i="4"/>
  <c r="AE76" i="4"/>
  <c r="AE79" i="4"/>
  <c r="AE80" i="4"/>
  <c r="AE82" i="4"/>
  <c r="AE81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H61" i="4"/>
  <c r="G28" i="10" s="1"/>
  <c r="AG61" i="4"/>
  <c r="AF61" i="4"/>
  <c r="AE61" i="4"/>
  <c r="AH66" i="3"/>
  <c r="AH69" i="3"/>
  <c r="AH68" i="3"/>
  <c r="AH73" i="3"/>
  <c r="AH70" i="3"/>
  <c r="AH71" i="3"/>
  <c r="AH72" i="3"/>
  <c r="AH75" i="3"/>
  <c r="AH84" i="3"/>
  <c r="AH74" i="3"/>
  <c r="AH77" i="3"/>
  <c r="AH88" i="3"/>
  <c r="AH83" i="3"/>
  <c r="AH78" i="3"/>
  <c r="AH79" i="3"/>
  <c r="AH87" i="3"/>
  <c r="AH80" i="3"/>
  <c r="AH90" i="3"/>
  <c r="AH86" i="3"/>
  <c r="AH85" i="3"/>
  <c r="AH82" i="3"/>
  <c r="AH89" i="3"/>
  <c r="AH92" i="3"/>
  <c r="AH91" i="3"/>
  <c r="AH95" i="3"/>
  <c r="AH94" i="3"/>
  <c r="AH62" i="3"/>
  <c r="AG66" i="3"/>
  <c r="AG69" i="3"/>
  <c r="AG68" i="3"/>
  <c r="AG73" i="3"/>
  <c r="AG70" i="3"/>
  <c r="AG71" i="3"/>
  <c r="AG72" i="3"/>
  <c r="AG75" i="3"/>
  <c r="AG84" i="3"/>
  <c r="AG74" i="3"/>
  <c r="AG77" i="3"/>
  <c r="AG88" i="3"/>
  <c r="AG83" i="3"/>
  <c r="AG78" i="3"/>
  <c r="AG79" i="3"/>
  <c r="AG87" i="3"/>
  <c r="AG80" i="3"/>
  <c r="AG90" i="3"/>
  <c r="AG86" i="3"/>
  <c r="AG85" i="3"/>
  <c r="AG82" i="3"/>
  <c r="AG89" i="3"/>
  <c r="AG92" i="3"/>
  <c r="AG91" i="3"/>
  <c r="AG95" i="3"/>
  <c r="AG94" i="3"/>
  <c r="AG62" i="3"/>
  <c r="AF66" i="3"/>
  <c r="AF69" i="3"/>
  <c r="AF68" i="3"/>
  <c r="AF73" i="3"/>
  <c r="AF70" i="3"/>
  <c r="AF71" i="3"/>
  <c r="AF72" i="3"/>
  <c r="AF75" i="3"/>
  <c r="AF84" i="3"/>
  <c r="AF74" i="3"/>
  <c r="AF77" i="3"/>
  <c r="AF88" i="3"/>
  <c r="AF83" i="3"/>
  <c r="AF78" i="3"/>
  <c r="AF79" i="3"/>
  <c r="AF87" i="3"/>
  <c r="AF80" i="3"/>
  <c r="AF90" i="3"/>
  <c r="AF86" i="3"/>
  <c r="AF85" i="3"/>
  <c r="AF82" i="3"/>
  <c r="AF89" i="3"/>
  <c r="AF92" i="3"/>
  <c r="AF91" i="3"/>
  <c r="AF95" i="3"/>
  <c r="AF94" i="3"/>
  <c r="AF62" i="3"/>
  <c r="AE66" i="3"/>
  <c r="AE69" i="3"/>
  <c r="AE68" i="3"/>
  <c r="AE73" i="3"/>
  <c r="AE70" i="3"/>
  <c r="AE71" i="3"/>
  <c r="AE72" i="3"/>
  <c r="AE75" i="3"/>
  <c r="AE84" i="3"/>
  <c r="AE74" i="3"/>
  <c r="AE77" i="3"/>
  <c r="AE88" i="3"/>
  <c r="AE83" i="3"/>
  <c r="AE78" i="3"/>
  <c r="AE79" i="3"/>
  <c r="AE87" i="3"/>
  <c r="AE80" i="3"/>
  <c r="AE90" i="3"/>
  <c r="AE86" i="3"/>
  <c r="AE85" i="3"/>
  <c r="AE82" i="3"/>
  <c r="AE89" i="3"/>
  <c r="AE92" i="3"/>
  <c r="AE91" i="3"/>
  <c r="AE95" i="3"/>
  <c r="AE94" i="3"/>
  <c r="AE62" i="3"/>
  <c r="AH109" i="5"/>
  <c r="AH81" i="5"/>
  <c r="AH74" i="5"/>
  <c r="AH75" i="5"/>
  <c r="AH76" i="5"/>
  <c r="AH77" i="5"/>
  <c r="AH78" i="5"/>
  <c r="AH79" i="5"/>
  <c r="AH80" i="5"/>
  <c r="AH82" i="5"/>
  <c r="AH83" i="5"/>
  <c r="AH85" i="5"/>
  <c r="AH84" i="5"/>
  <c r="AH86" i="5"/>
  <c r="AH87" i="5"/>
  <c r="AH88" i="5"/>
  <c r="AH89" i="5"/>
  <c r="AH90" i="5"/>
  <c r="AH91" i="5"/>
  <c r="AH93" i="5"/>
  <c r="AH92" i="5"/>
  <c r="AH94" i="5"/>
  <c r="AH95" i="5"/>
  <c r="AH96" i="5"/>
  <c r="AH97" i="5"/>
  <c r="AH99" i="5"/>
  <c r="AH100" i="5"/>
  <c r="AH101" i="5"/>
  <c r="AH102" i="5"/>
  <c r="AH105" i="5"/>
  <c r="AH104" i="5"/>
  <c r="AH107" i="5"/>
  <c r="AH108" i="5"/>
  <c r="AG109" i="5"/>
  <c r="AG81" i="5"/>
  <c r="AG74" i="5"/>
  <c r="AG75" i="5"/>
  <c r="AG76" i="5"/>
  <c r="AG77" i="5"/>
  <c r="AG78" i="5"/>
  <c r="AG79" i="5"/>
  <c r="AG80" i="5"/>
  <c r="AG82" i="5"/>
  <c r="AG83" i="5"/>
  <c r="AG85" i="5"/>
  <c r="AG84" i="5"/>
  <c r="AG86" i="5"/>
  <c r="AG87" i="5"/>
  <c r="AG88" i="5"/>
  <c r="AG89" i="5"/>
  <c r="AG90" i="5"/>
  <c r="AG91" i="5"/>
  <c r="AG93" i="5"/>
  <c r="AG92" i="5"/>
  <c r="AG94" i="5"/>
  <c r="AG95" i="5"/>
  <c r="AG96" i="5"/>
  <c r="AG97" i="5"/>
  <c r="AG99" i="5"/>
  <c r="AG100" i="5"/>
  <c r="AG101" i="5"/>
  <c r="AG102" i="5"/>
  <c r="AG105" i="5"/>
  <c r="AG104" i="5"/>
  <c r="AG107" i="5"/>
  <c r="AG108" i="5"/>
  <c r="AF109" i="5"/>
  <c r="AF81" i="5"/>
  <c r="AF74" i="5"/>
  <c r="AF75" i="5"/>
  <c r="AF76" i="5"/>
  <c r="AF77" i="5"/>
  <c r="AF78" i="5"/>
  <c r="AF79" i="5"/>
  <c r="AF80" i="5"/>
  <c r="AF82" i="5"/>
  <c r="AF83" i="5"/>
  <c r="AF85" i="5"/>
  <c r="AF84" i="5"/>
  <c r="AF86" i="5"/>
  <c r="AF87" i="5"/>
  <c r="AF88" i="5"/>
  <c r="AF89" i="5"/>
  <c r="AF90" i="5"/>
  <c r="AF91" i="5"/>
  <c r="AF93" i="5"/>
  <c r="AF92" i="5"/>
  <c r="AF94" i="5"/>
  <c r="AF95" i="5"/>
  <c r="AF96" i="5"/>
  <c r="AF97" i="5"/>
  <c r="AF99" i="5"/>
  <c r="AF100" i="5"/>
  <c r="AF101" i="5"/>
  <c r="AF102" i="5"/>
  <c r="AF105" i="5"/>
  <c r="AF104" i="5"/>
  <c r="AF107" i="5"/>
  <c r="AF108" i="5"/>
  <c r="AE109" i="5"/>
  <c r="AE81" i="5"/>
  <c r="AE74" i="5"/>
  <c r="AE75" i="5"/>
  <c r="AE76" i="5"/>
  <c r="AE77" i="5"/>
  <c r="AE78" i="5"/>
  <c r="AE79" i="5"/>
  <c r="AE80" i="5"/>
  <c r="AE82" i="5"/>
  <c r="AE83" i="5"/>
  <c r="AE85" i="5"/>
  <c r="AE84" i="5"/>
  <c r="AE86" i="5"/>
  <c r="AE87" i="5"/>
  <c r="AE88" i="5"/>
  <c r="AE89" i="5"/>
  <c r="AE90" i="5"/>
  <c r="AE91" i="5"/>
  <c r="AE93" i="5"/>
  <c r="AE92" i="5"/>
  <c r="AE94" i="5"/>
  <c r="AE95" i="5"/>
  <c r="AE96" i="5"/>
  <c r="AE97" i="5"/>
  <c r="AE99" i="5"/>
  <c r="AE100" i="5"/>
  <c r="AE101" i="5"/>
  <c r="AE102" i="5"/>
  <c r="AE105" i="5"/>
  <c r="AE104" i="5"/>
  <c r="AE107" i="5"/>
  <c r="AE108" i="5"/>
  <c r="AH71" i="5"/>
  <c r="AG71" i="5"/>
  <c r="AF71" i="5"/>
  <c r="AE71" i="5"/>
  <c r="AW3" i="6"/>
  <c r="AW3" i="3"/>
  <c r="AX2" i="6"/>
  <c r="AX3" i="6" s="1"/>
  <c r="AW2" i="6"/>
  <c r="AX2" i="5"/>
  <c r="AX3" i="5" s="1"/>
  <c r="AW2" i="5"/>
  <c r="AX3" i="3"/>
  <c r="AW2" i="3"/>
  <c r="E30" i="8"/>
  <c r="C31" i="8"/>
  <c r="B31" i="8"/>
  <c r="B14" i="8"/>
  <c r="B7" i="8" s="1"/>
  <c r="B21" i="8" s="1"/>
  <c r="P12" i="10" l="1"/>
  <c r="P5" i="10"/>
  <c r="BV54" i="12"/>
  <c r="BP54" i="12" s="1"/>
  <c r="BV81" i="12"/>
  <c r="BP81" i="12" s="1"/>
  <c r="BV47" i="12"/>
  <c r="BP47" i="12" s="1"/>
  <c r="BX24" i="12"/>
  <c r="BR24" i="12" s="1"/>
  <c r="BX14" i="12"/>
  <c r="BR14" i="12" s="1"/>
  <c r="BX29" i="12"/>
  <c r="BR29" i="12" s="1"/>
  <c r="BW77" i="12"/>
  <c r="BQ77" i="12" s="1"/>
  <c r="BV10" i="12"/>
  <c r="BP10" i="12" s="1"/>
  <c r="BW44" i="12"/>
  <c r="BQ44" i="12" s="1"/>
  <c r="BV98" i="12"/>
  <c r="BP98" i="12" s="1"/>
  <c r="BX83" i="12"/>
  <c r="BR83" i="12" s="1"/>
  <c r="BW99" i="12"/>
  <c r="BQ99" i="12" s="1"/>
  <c r="BV26" i="12"/>
  <c r="BP26" i="12" s="1"/>
  <c r="BV33" i="12"/>
  <c r="BP33" i="12" s="1"/>
  <c r="BX90" i="12"/>
  <c r="BR90" i="12" s="1"/>
  <c r="BX72" i="12"/>
  <c r="BR72" i="12" s="1"/>
  <c r="BX27" i="12"/>
  <c r="BR27" i="12" s="1"/>
  <c r="BW73" i="12"/>
  <c r="BQ73" i="12" s="1"/>
  <c r="BX78" i="12"/>
  <c r="BR78" i="12" s="1"/>
  <c r="BW13" i="12"/>
  <c r="BQ13" i="12" s="1"/>
  <c r="BV69" i="12"/>
  <c r="BP69" i="12" s="1"/>
  <c r="BX93" i="12"/>
  <c r="BR93" i="12" s="1"/>
  <c r="BW19" i="12"/>
  <c r="BQ19" i="12" s="1"/>
  <c r="BV63" i="12"/>
  <c r="BP63" i="12" s="1"/>
  <c r="BV57" i="12"/>
  <c r="BP57" i="12" s="1"/>
  <c r="BV49" i="12"/>
  <c r="BP49" i="12" s="1"/>
  <c r="BX91" i="12"/>
  <c r="BR91" i="12" s="1"/>
  <c r="BX71" i="12"/>
  <c r="BR71" i="12" s="1"/>
  <c r="BX6" i="12"/>
  <c r="BR6" i="12" s="1"/>
  <c r="BW61" i="12"/>
  <c r="BQ61" i="12" s="1"/>
  <c r="BX52" i="12"/>
  <c r="BR52" i="12" s="1"/>
  <c r="BW36" i="12"/>
  <c r="BQ36" i="12" s="1"/>
  <c r="BX94" i="12"/>
  <c r="BR94" i="12" s="1"/>
  <c r="BV92" i="12"/>
  <c r="BP92" i="12" s="1"/>
  <c r="BW28" i="12"/>
  <c r="BQ28" i="12" s="1"/>
  <c r="BV32" i="12"/>
  <c r="BP32" i="12" s="1"/>
  <c r="BV45" i="12"/>
  <c r="BP45" i="12" s="1"/>
  <c r="BX86" i="12"/>
  <c r="BR86" i="12" s="1"/>
  <c r="BW59" i="12"/>
  <c r="BQ59" i="12" s="1"/>
  <c r="BX68" i="12"/>
  <c r="BR68" i="12" s="1"/>
  <c r="BW12" i="12"/>
  <c r="BQ12" i="12" s="1"/>
  <c r="BX85" i="12"/>
  <c r="BR85" i="12" s="1"/>
  <c r="BV87" i="12"/>
  <c r="BP87" i="12" s="1"/>
  <c r="BW76" i="12"/>
  <c r="BQ76" i="12" s="1"/>
  <c r="BW66" i="12"/>
  <c r="BQ66" i="12" s="1"/>
  <c r="BV40" i="12"/>
  <c r="BP40" i="12" s="1"/>
  <c r="BV51" i="12"/>
  <c r="BP51" i="12" s="1"/>
  <c r="BW81" i="12"/>
  <c r="BQ81" i="12" s="1"/>
  <c r="BW47" i="12"/>
  <c r="BQ47" i="12" s="1"/>
  <c r="BX67" i="12"/>
  <c r="BR67" i="12" s="1"/>
  <c r="BX80" i="12"/>
  <c r="BR80" i="12" s="1"/>
  <c r="BW46" i="12"/>
  <c r="BQ46" i="12" s="1"/>
  <c r="BX28" i="12"/>
  <c r="BR28" i="12" s="1"/>
  <c r="BX56" i="12"/>
  <c r="BR56" i="12" s="1"/>
  <c r="BV83" i="12"/>
  <c r="BP83" i="12" s="1"/>
  <c r="BV35" i="12"/>
  <c r="BP35" i="12" s="1"/>
  <c r="BV37" i="12"/>
  <c r="BP37" i="12" s="1"/>
  <c r="BW33" i="12"/>
  <c r="BQ33" i="12" s="1"/>
  <c r="BX65" i="12"/>
  <c r="BR65" i="12" s="1"/>
  <c r="BX66" i="12"/>
  <c r="BR66" i="12" s="1"/>
  <c r="BW26" i="12"/>
  <c r="BQ26" i="12" s="1"/>
  <c r="BX44" i="12"/>
  <c r="BR44" i="12" s="1"/>
  <c r="BW98" i="12"/>
  <c r="BQ98" i="12" s="1"/>
  <c r="BX74" i="12"/>
  <c r="BR74" i="12" s="1"/>
  <c r="BV93" i="12"/>
  <c r="BP93" i="12" s="1"/>
  <c r="BV39" i="12"/>
  <c r="BP39" i="12" s="1"/>
  <c r="BV41" i="12"/>
  <c r="BP41" i="12" s="1"/>
  <c r="BW49" i="12"/>
  <c r="BQ49" i="12" s="1"/>
  <c r="BX77" i="12"/>
  <c r="BR77" i="12" s="1"/>
  <c r="BW10" i="12"/>
  <c r="BQ10" i="12" s="1"/>
  <c r="BX13" i="12"/>
  <c r="BR13" i="12" s="1"/>
  <c r="BW69" i="12"/>
  <c r="BQ69" i="12" s="1"/>
  <c r="BX99" i="12"/>
  <c r="BR99" i="12" s="1"/>
  <c r="BV94" i="12"/>
  <c r="BP94" i="12" s="1"/>
  <c r="BX11" i="12"/>
  <c r="BR11" i="12" s="1"/>
  <c r="BV4" i="12"/>
  <c r="BP4" i="12" s="1"/>
  <c r="BV11" i="12"/>
  <c r="BP11" i="12" s="1"/>
  <c r="BV22" i="12"/>
  <c r="BP22" i="12" s="1"/>
  <c r="BW32" i="12"/>
  <c r="BQ32" i="12" s="1"/>
  <c r="BW45" i="12"/>
  <c r="BQ45" i="12" s="1"/>
  <c r="BX54" i="12"/>
  <c r="BR54" i="12" s="1"/>
  <c r="BX73" i="12"/>
  <c r="BR73" i="12" s="1"/>
  <c r="BV86" i="12"/>
  <c r="BP86" i="12" s="1"/>
  <c r="BX36" i="12"/>
  <c r="BR36" i="12" s="1"/>
  <c r="BV78" i="12"/>
  <c r="BP78" i="12" s="1"/>
  <c r="BX19" i="12"/>
  <c r="BR19" i="12" s="1"/>
  <c r="BV85" i="12"/>
  <c r="BP85" i="12" s="1"/>
  <c r="BV14" i="12"/>
  <c r="BP14" i="12" s="1"/>
  <c r="BV29" i="12"/>
  <c r="BP29" i="12" s="1"/>
  <c r="BW40" i="12"/>
  <c r="BQ40" i="12" s="1"/>
  <c r="BW51" i="12"/>
  <c r="BQ51" i="12" s="1"/>
  <c r="BX47" i="12"/>
  <c r="BR47" i="12" s="1"/>
  <c r="BX61" i="12"/>
  <c r="BR61" i="12" s="1"/>
  <c r="BV80" i="12"/>
  <c r="BP80" i="12" s="1"/>
  <c r="BX12" i="12"/>
  <c r="BR12" i="12" s="1"/>
  <c r="BV52" i="12"/>
  <c r="BP52" i="12" s="1"/>
  <c r="BW92" i="12"/>
  <c r="BQ92" i="12" s="1"/>
  <c r="BV56" i="12"/>
  <c r="BP56" i="12" s="1"/>
  <c r="BW35" i="12"/>
  <c r="BQ35" i="12" s="1"/>
  <c r="BW37" i="12"/>
  <c r="BQ37" i="12" s="1"/>
  <c r="BX59" i="12"/>
  <c r="BR59" i="12" s="1"/>
  <c r="BV66" i="12"/>
  <c r="BP66" i="12" s="1"/>
  <c r="BV68" i="12"/>
  <c r="BP68" i="12" s="1"/>
  <c r="BW87" i="12"/>
  <c r="BQ87" i="12" s="1"/>
  <c r="BV74" i="12"/>
  <c r="BP74" i="12" s="1"/>
  <c r="BX87" i="12"/>
  <c r="BR87" i="12" s="1"/>
  <c r="BV91" i="12"/>
  <c r="BP91" i="12" s="1"/>
  <c r="BV71" i="12"/>
  <c r="BP71" i="12" s="1"/>
  <c r="BV6" i="12"/>
  <c r="BP6" i="12" s="1"/>
  <c r="BW39" i="12"/>
  <c r="BQ39" i="12" s="1"/>
  <c r="BW41" i="12"/>
  <c r="BQ41" i="12" s="1"/>
  <c r="BX57" i="12"/>
  <c r="BR57" i="12" s="1"/>
  <c r="BX49" i="12"/>
  <c r="BR49" i="12" s="1"/>
  <c r="BX46" i="12"/>
  <c r="BR46" i="12" s="1"/>
  <c r="BV77" i="12"/>
  <c r="BP77" i="12" s="1"/>
  <c r="BX98" i="12"/>
  <c r="BR98" i="12" s="1"/>
  <c r="BV28" i="12"/>
  <c r="BP28" i="12" s="1"/>
  <c r="BW83" i="12"/>
  <c r="BQ83" i="12" s="1"/>
  <c r="BV99" i="12"/>
  <c r="BP99" i="12" s="1"/>
  <c r="BV82" i="12"/>
  <c r="BP82" i="12" s="1"/>
  <c r="BV76" i="12"/>
  <c r="BP76" i="12" s="1"/>
  <c r="BW11" i="12"/>
  <c r="BQ11" i="12" s="1"/>
  <c r="BW22" i="12"/>
  <c r="BQ22" i="12" s="1"/>
  <c r="BX32" i="12"/>
  <c r="BR32" i="12" s="1"/>
  <c r="BX45" i="12"/>
  <c r="BR45" i="12" s="1"/>
  <c r="BX26" i="12"/>
  <c r="BR26" i="12" s="1"/>
  <c r="BV73" i="12"/>
  <c r="BP73" i="12" s="1"/>
  <c r="BX69" i="12"/>
  <c r="BR69" i="12" s="1"/>
  <c r="BV44" i="12"/>
  <c r="BP44" i="12" s="1"/>
  <c r="BW93" i="12"/>
  <c r="BQ93" i="12" s="1"/>
  <c r="BV19" i="12"/>
  <c r="BP19" i="12" s="1"/>
  <c r="BW74" i="12"/>
  <c r="BQ74" i="12" s="1"/>
  <c r="BW24" i="12"/>
  <c r="BQ24" i="12" s="1"/>
  <c r="BW14" i="12"/>
  <c r="BQ14" i="12" s="1"/>
  <c r="BW29" i="12"/>
  <c r="BQ29" i="12" s="1"/>
  <c r="BX40" i="12"/>
  <c r="BR40" i="12" s="1"/>
  <c r="BX51" i="12"/>
  <c r="BR51" i="12" s="1"/>
  <c r="BX10" i="12"/>
  <c r="BR10" i="12" s="1"/>
  <c r="BV61" i="12"/>
  <c r="BP61" i="12" s="1"/>
  <c r="BW78" i="12"/>
  <c r="BQ78" i="12" s="1"/>
  <c r="BV13" i="12"/>
  <c r="BP13" i="12" s="1"/>
  <c r="BW94" i="12"/>
  <c r="BQ94" i="12" s="1"/>
  <c r="BW90" i="12"/>
  <c r="BQ90" i="12" s="1"/>
  <c r="BW72" i="12"/>
  <c r="BQ72" i="12" s="1"/>
  <c r="BW27" i="12"/>
  <c r="BQ27" i="12" s="1"/>
  <c r="BX35" i="12"/>
  <c r="BR35" i="12" s="1"/>
  <c r="BX37" i="12"/>
  <c r="BR37" i="12" s="1"/>
  <c r="BW86" i="12"/>
  <c r="BQ86" i="12" s="1"/>
  <c r="BV59" i="12"/>
  <c r="BP59" i="12" s="1"/>
  <c r="BW52" i="12"/>
  <c r="BQ52" i="12" s="1"/>
  <c r="BV36" i="12"/>
  <c r="BP36" i="12" s="1"/>
  <c r="BW85" i="12"/>
  <c r="BQ85" i="12" s="1"/>
  <c r="BX22" i="12"/>
  <c r="BR22" i="12" s="1"/>
  <c r="BW91" i="12"/>
  <c r="BQ91" i="12" s="1"/>
  <c r="BW71" i="12"/>
  <c r="BQ71" i="12" s="1"/>
  <c r="BW6" i="12"/>
  <c r="BQ6" i="12" s="1"/>
  <c r="BX39" i="12"/>
  <c r="BR39" i="12" s="1"/>
  <c r="BX41" i="12"/>
  <c r="BR41" i="12" s="1"/>
  <c r="BW80" i="12"/>
  <c r="BQ80" i="12" s="1"/>
  <c r="BV46" i="12"/>
  <c r="BP46" i="12" s="1"/>
  <c r="BW68" i="12"/>
  <c r="BQ68" i="12" s="1"/>
  <c r="BV12" i="12"/>
  <c r="BP12" i="12" s="1"/>
  <c r="BX92" i="12"/>
  <c r="BR92" i="12" s="1"/>
  <c r="BW56" i="12"/>
  <c r="BQ56" i="12" s="1"/>
  <c r="BH11" i="11"/>
  <c r="AR11" i="11" s="1"/>
  <c r="AU11" i="11" s="1"/>
  <c r="BH8" i="11"/>
  <c r="AR8" i="11" s="1"/>
  <c r="AU8" i="11" s="1"/>
  <c r="BH3" i="11"/>
  <c r="AR3" i="11" s="1"/>
  <c r="AU3" i="11" s="1"/>
  <c r="BI11" i="11"/>
  <c r="AS11" i="11" s="1"/>
  <c r="AV11" i="11" s="1"/>
  <c r="BI8" i="11"/>
  <c r="AS8" i="11" s="1"/>
  <c r="AV8" i="11" s="1"/>
  <c r="BI3" i="11"/>
  <c r="AS3" i="11" s="1"/>
  <c r="AV3" i="11" s="1"/>
  <c r="BJ11" i="11"/>
  <c r="AT11" i="11" s="1"/>
  <c r="AW11" i="11" s="1"/>
  <c r="BJ8" i="11"/>
  <c r="AT8" i="11" s="1"/>
  <c r="AW8" i="11" s="1"/>
  <c r="BJ3" i="11"/>
  <c r="AT3" i="11" s="1"/>
  <c r="AW3" i="11" s="1"/>
  <c r="BH9" i="11"/>
  <c r="AR9" i="11" s="1"/>
  <c r="AU9" i="11" s="1"/>
  <c r="BH13" i="11"/>
  <c r="AR13" i="11" s="1"/>
  <c r="AU13" i="11" s="1"/>
  <c r="BI9" i="11"/>
  <c r="AS9" i="11" s="1"/>
  <c r="AV9" i="11" s="1"/>
  <c r="BI13" i="11"/>
  <c r="AS13" i="11" s="1"/>
  <c r="AV13" i="11" s="1"/>
  <c r="BJ9" i="11"/>
  <c r="AT9" i="11" s="1"/>
  <c r="AW9" i="11" s="1"/>
  <c r="BJ13" i="11"/>
  <c r="AT13" i="11" s="1"/>
  <c r="AW13" i="11" s="1"/>
  <c r="BH10" i="11"/>
  <c r="AR10" i="11" s="1"/>
  <c r="AU10" i="11" s="1"/>
  <c r="BH5" i="11"/>
  <c r="AR5" i="11" s="1"/>
  <c r="AU5" i="11" s="1"/>
  <c r="BI10" i="11"/>
  <c r="AS10" i="11" s="1"/>
  <c r="AV10" i="11" s="1"/>
  <c r="BI5" i="11"/>
  <c r="AS5" i="11" s="1"/>
  <c r="AV5" i="11" s="1"/>
  <c r="BJ10" i="11"/>
  <c r="AT10" i="11" s="1"/>
  <c r="AW10" i="11" s="1"/>
  <c r="BJ5" i="11"/>
  <c r="AT5" i="11" s="1"/>
  <c r="AW5" i="11" s="1"/>
  <c r="BH4" i="11"/>
  <c r="AR4" i="11" s="1"/>
  <c r="AU4" i="11" s="1"/>
  <c r="BI4" i="11"/>
  <c r="AS4" i="11" s="1"/>
  <c r="AV4" i="11" s="1"/>
  <c r="BH12" i="11"/>
  <c r="AR12" i="11" s="1"/>
  <c r="AU12" i="11" s="1"/>
  <c r="BH6" i="11"/>
  <c r="AR6" i="11" s="1"/>
  <c r="AU6" i="11" s="1"/>
  <c r="BJ4" i="11"/>
  <c r="AT4" i="11" s="1"/>
  <c r="AW4" i="11" s="1"/>
  <c r="BI12" i="11"/>
  <c r="AS12" i="11" s="1"/>
  <c r="AV12" i="11" s="1"/>
  <c r="BI6" i="11"/>
  <c r="AS6" i="11" s="1"/>
  <c r="AV6" i="11" s="1"/>
  <c r="BJ12" i="11"/>
  <c r="AT12" i="11" s="1"/>
  <c r="AW12" i="11" s="1"/>
  <c r="BJ6" i="11"/>
  <c r="AT6" i="11" s="1"/>
  <c r="AW6" i="11" s="1"/>
  <c r="AN32" i="6"/>
  <c r="AC32" i="6" s="1"/>
  <c r="AF32" i="6" s="1"/>
  <c r="AM32" i="6"/>
  <c r="AB32" i="6" s="1"/>
  <c r="AE32" i="6" s="1"/>
  <c r="AO38" i="6"/>
  <c r="AD38" i="6" s="1"/>
  <c r="AG38" i="6" s="1"/>
  <c r="AO32" i="6"/>
  <c r="AD32" i="6" s="1"/>
  <c r="AG32" i="6" s="1"/>
  <c r="AN38" i="6"/>
  <c r="AC38" i="6" s="1"/>
  <c r="AF38" i="6" s="1"/>
  <c r="AO30" i="6"/>
  <c r="AD30" i="6" s="1"/>
  <c r="AG30" i="6" s="1"/>
  <c r="AM38" i="6"/>
  <c r="AB38" i="6" s="1"/>
  <c r="AE38" i="6" s="1"/>
  <c r="AN30" i="6"/>
  <c r="AC30" i="6" s="1"/>
  <c r="AF30" i="6" s="1"/>
  <c r="AM30" i="6"/>
  <c r="AB30" i="6" s="1"/>
  <c r="AE30" i="6" s="1"/>
  <c r="AM12" i="6"/>
  <c r="AB12" i="6" s="1"/>
  <c r="AE12" i="6" s="1"/>
  <c r="AO12" i="6"/>
  <c r="AD12" i="6" s="1"/>
  <c r="AG12" i="6" s="1"/>
  <c r="AN12" i="6"/>
  <c r="AC12" i="6" s="1"/>
  <c r="AF12" i="6" s="1"/>
  <c r="AN43" i="5"/>
  <c r="AC43" i="5" s="1"/>
  <c r="AF43" i="5" s="1"/>
  <c r="AM43" i="5"/>
  <c r="AB43" i="5" s="1"/>
  <c r="AE43" i="5" s="1"/>
  <c r="AO38" i="5"/>
  <c r="AD38" i="5" s="1"/>
  <c r="AG38" i="5" s="1"/>
  <c r="AO40" i="5"/>
  <c r="AD40" i="5" s="1"/>
  <c r="AG40" i="5" s="1"/>
  <c r="AN38" i="5"/>
  <c r="AC38" i="5" s="1"/>
  <c r="AF38" i="5" s="1"/>
  <c r="AN40" i="5"/>
  <c r="AC40" i="5" s="1"/>
  <c r="AF40" i="5" s="1"/>
  <c r="AM38" i="5"/>
  <c r="AB38" i="5" s="1"/>
  <c r="AE38" i="5" s="1"/>
  <c r="AM40" i="5"/>
  <c r="AB40" i="5" s="1"/>
  <c r="AE40" i="5" s="1"/>
  <c r="AO43" i="5"/>
  <c r="AD43" i="5" s="1"/>
  <c r="AG43" i="5" s="1"/>
  <c r="AO11" i="3"/>
  <c r="AD11" i="3" s="1"/>
  <c r="AG11" i="3" s="1"/>
  <c r="AM11" i="3"/>
  <c r="AB11" i="3" s="1"/>
  <c r="AE11" i="3" s="1"/>
  <c r="AN11" i="3"/>
  <c r="AC11" i="3" s="1"/>
  <c r="AF11" i="3" s="1"/>
  <c r="BM161" i="12"/>
  <c r="BL206" i="12"/>
  <c r="BM188" i="12"/>
  <c r="BL135" i="12"/>
  <c r="BL188" i="12"/>
  <c r="BL209" i="12"/>
  <c r="BL194" i="12"/>
  <c r="BL200" i="12"/>
  <c r="BM195" i="12"/>
  <c r="BM206" i="12"/>
  <c r="BL205" i="12"/>
  <c r="BL199" i="12"/>
  <c r="BN188" i="12"/>
  <c r="BM135" i="12"/>
  <c r="BN195" i="12"/>
  <c r="BM205" i="12"/>
  <c r="BM199" i="12"/>
  <c r="BN209" i="12"/>
  <c r="BM194" i="12"/>
  <c r="BO206" i="12"/>
  <c r="BN205" i="12"/>
  <c r="BN199" i="12"/>
  <c r="BN194" i="12"/>
  <c r="BN200" i="12"/>
  <c r="BO205" i="12"/>
  <c r="BO199" i="12"/>
  <c r="BN161" i="12"/>
  <c r="BO200" i="12"/>
  <c r="BO161" i="12"/>
  <c r="BO195" i="12"/>
  <c r="BO188" i="12"/>
  <c r="BL156" i="12"/>
  <c r="BN185" i="12"/>
  <c r="BO165" i="12"/>
  <c r="BO138" i="12"/>
  <c r="BO130" i="12"/>
  <c r="BO207" i="12"/>
  <c r="BO139" i="12"/>
  <c r="BO185" i="12"/>
  <c r="BO197" i="12"/>
  <c r="BO181" i="12"/>
  <c r="BO148" i="12"/>
  <c r="BN176" i="12"/>
  <c r="BM146" i="12"/>
  <c r="BM151" i="12"/>
  <c r="BO198" i="12"/>
  <c r="BO203" i="12"/>
  <c r="BM138" i="12"/>
  <c r="BM165" i="12"/>
  <c r="BM172" i="12"/>
  <c r="BL185" i="12"/>
  <c r="BL197" i="12"/>
  <c r="BN181" i="12"/>
  <c r="BN148" i="12"/>
  <c r="BN182" i="12"/>
  <c r="BN152" i="12"/>
  <c r="BN128" i="12"/>
  <c r="BM156" i="12"/>
  <c r="BM121" i="12"/>
  <c r="BM153" i="12"/>
  <c r="BL146" i="12"/>
  <c r="BL151" i="12"/>
  <c r="BL140" i="12"/>
  <c r="BL208" i="12"/>
  <c r="BL178" i="12"/>
  <c r="BL181" i="12"/>
  <c r="BL148" i="12"/>
  <c r="BL182" i="12"/>
  <c r="BL162" i="12"/>
  <c r="BL213" i="12"/>
  <c r="BL183" i="12"/>
  <c r="BM126" i="12"/>
  <c r="BL187" i="12"/>
  <c r="BL173" i="12"/>
  <c r="BL168" i="12"/>
  <c r="BL161" i="12"/>
  <c r="BO209" i="12"/>
  <c r="BM200" i="12"/>
  <c r="BM209" i="12"/>
  <c r="BL195" i="12"/>
  <c r="BN135" i="12"/>
  <c r="BN206" i="12"/>
  <c r="BO135" i="12"/>
  <c r="BO194" i="12"/>
  <c r="BO172" i="12"/>
  <c r="BO182" i="12"/>
  <c r="BN197" i="12"/>
  <c r="BO146" i="12"/>
  <c r="BO151" i="12"/>
  <c r="BO140" i="12"/>
  <c r="BN187" i="12"/>
  <c r="BN166" i="12"/>
  <c r="BL138" i="12"/>
  <c r="BO162" i="12"/>
  <c r="BO213" i="12"/>
  <c r="BO183" i="12"/>
  <c r="BN179" i="12"/>
  <c r="BO179" i="12"/>
  <c r="BN126" i="12"/>
  <c r="BM152" i="12"/>
  <c r="BN173" i="12"/>
  <c r="BN168" i="12"/>
  <c r="BM198" i="12"/>
  <c r="BO153" i="12"/>
  <c r="BO208" i="12"/>
  <c r="BO178" i="12"/>
  <c r="BN190" i="12"/>
  <c r="BN196" i="12"/>
  <c r="BN138" i="12"/>
  <c r="BM130" i="12"/>
  <c r="BM207" i="12"/>
  <c r="BM139" i="12"/>
  <c r="BO152" i="12"/>
  <c r="BO128" i="12"/>
  <c r="BM140" i="12"/>
  <c r="BM208" i="12"/>
  <c r="BM190" i="12"/>
  <c r="BO190" i="12"/>
  <c r="BO196" i="12"/>
  <c r="BN130" i="12"/>
  <c r="BN207" i="12"/>
  <c r="BN139" i="12"/>
  <c r="BM166" i="12"/>
  <c r="BL176" i="12"/>
  <c r="BO187" i="12"/>
  <c r="BO173" i="12"/>
  <c r="BO168" i="12"/>
  <c r="BO176" i="12"/>
  <c r="BN198" i="12"/>
  <c r="BN203" i="12"/>
  <c r="BN146" i="12"/>
  <c r="BN151" i="12"/>
  <c r="BN140" i="12"/>
  <c r="BM210" i="12"/>
  <c r="BM136" i="12"/>
  <c r="BM162" i="12"/>
  <c r="BM213" i="12"/>
  <c r="BM183" i="12"/>
  <c r="BL165" i="12"/>
  <c r="BL172" i="12"/>
  <c r="BL179" i="12"/>
  <c r="BM128" i="12"/>
  <c r="BM187" i="12"/>
  <c r="BM173" i="12"/>
  <c r="BM168" i="12"/>
  <c r="BL121" i="12"/>
  <c r="BL153" i="12"/>
  <c r="BL198" i="12"/>
  <c r="BL203" i="12"/>
  <c r="BO156" i="12"/>
  <c r="BN208" i="12"/>
  <c r="BL130" i="12"/>
  <c r="BN170" i="12"/>
  <c r="BO158" i="12"/>
  <c r="BR95" i="12"/>
  <c r="BR58" i="12"/>
  <c r="BD58" i="12" s="1"/>
  <c r="BQ70" i="12"/>
  <c r="AZ70" i="12" s="1"/>
  <c r="BP70" i="12"/>
  <c r="BR62" i="12"/>
  <c r="BA62" i="12" s="1"/>
  <c r="BQ58" i="12"/>
  <c r="BP95" i="12"/>
  <c r="BE95" i="12" s="1"/>
  <c r="BR96" i="12"/>
  <c r="BQ89" i="12"/>
  <c r="BF89" i="12" s="1"/>
  <c r="BP62" i="12"/>
  <c r="BR34" i="12"/>
  <c r="BQ96" i="12"/>
  <c r="BP89" i="12"/>
  <c r="BB89" i="12" s="1"/>
  <c r="BR55" i="12"/>
  <c r="BQ34" i="12"/>
  <c r="BP75" i="12"/>
  <c r="BB75" i="12" s="1"/>
  <c r="BP96" i="12"/>
  <c r="BP34" i="12"/>
  <c r="BR89" i="12"/>
  <c r="BG89" i="12" s="1"/>
  <c r="BR42" i="12"/>
  <c r="BQ79" i="12"/>
  <c r="BP55" i="12"/>
  <c r="BE55" i="12" s="1"/>
  <c r="BR18" i="12"/>
  <c r="BR79" i="12"/>
  <c r="BD79" i="12" s="1"/>
  <c r="BQ62" i="12"/>
  <c r="BI62" i="12" s="1"/>
  <c r="BP43" i="12"/>
  <c r="BB43" i="12" s="1"/>
  <c r="BQ42" i="12"/>
  <c r="BP79" i="12"/>
  <c r="BB79" i="12" s="1"/>
  <c r="BR15" i="12"/>
  <c r="BQ18" i="12"/>
  <c r="BQ43" i="12"/>
  <c r="AZ43" i="12" s="1"/>
  <c r="BQ55" i="12"/>
  <c r="AZ55" i="12" s="1"/>
  <c r="BP58" i="12"/>
  <c r="BH58" i="12" s="1"/>
  <c r="BP42" i="12"/>
  <c r="BR84" i="12"/>
  <c r="BQ15" i="12"/>
  <c r="BP18" i="12"/>
  <c r="BQ95" i="12"/>
  <c r="BC95" i="12" s="1"/>
  <c r="BR43" i="12"/>
  <c r="BD43" i="12" s="1"/>
  <c r="BR70" i="12"/>
  <c r="BD70" i="12" s="1"/>
  <c r="BR30" i="12"/>
  <c r="BA30" i="12" s="1"/>
  <c r="BQ88" i="12"/>
  <c r="AZ88" i="12" s="1"/>
  <c r="BR88" i="12"/>
  <c r="BA88" i="12" s="1"/>
  <c r="BQ75" i="12"/>
  <c r="BC75" i="12" s="1"/>
  <c r="BP84" i="12"/>
  <c r="BB84" i="12" s="1"/>
  <c r="BP30" i="12"/>
  <c r="BB30" i="12" s="1"/>
  <c r="BR75" i="12"/>
  <c r="BD75" i="12" s="1"/>
  <c r="BQ84" i="12"/>
  <c r="BC84" i="12" s="1"/>
  <c r="BQ30" i="12"/>
  <c r="BC30" i="12" s="1"/>
  <c r="BP15" i="12"/>
  <c r="BH15" i="12" s="1"/>
  <c r="BP88" i="12"/>
  <c r="BB88" i="12" s="1"/>
  <c r="BO126" i="12"/>
  <c r="BM178" i="12"/>
  <c r="BO166" i="12"/>
  <c r="BM203" i="12"/>
  <c r="BM185" i="12"/>
  <c r="BM181" i="12"/>
  <c r="BM148" i="12"/>
  <c r="BM182" i="12"/>
  <c r="BL126" i="12"/>
  <c r="BL166" i="12"/>
  <c r="BL210" i="12"/>
  <c r="BL136" i="12"/>
  <c r="BL152" i="12"/>
  <c r="BL128" i="12"/>
  <c r="BL190" i="12"/>
  <c r="BO121" i="12"/>
  <c r="BO210" i="12"/>
  <c r="BO136" i="12"/>
  <c r="BN162" i="12"/>
  <c r="BN213" i="12"/>
  <c r="BN183" i="12"/>
  <c r="BN165" i="12"/>
  <c r="BN172" i="12"/>
  <c r="BN156" i="12"/>
  <c r="BN121" i="12"/>
  <c r="BN153" i="12"/>
  <c r="BN178" i="12"/>
  <c r="BN210" i="12"/>
  <c r="BN136" i="12"/>
  <c r="BM179" i="12"/>
  <c r="BM197" i="12"/>
  <c r="BM196" i="12"/>
  <c r="BM176" i="12"/>
  <c r="BL196" i="12"/>
  <c r="BL207" i="12"/>
  <c r="BL139" i="12"/>
  <c r="BM167" i="12"/>
  <c r="BO143" i="12"/>
  <c r="BO119" i="12"/>
  <c r="BM149" i="12"/>
  <c r="BN142" i="12"/>
  <c r="BN129" i="12"/>
  <c r="BN147" i="12"/>
  <c r="BL143" i="12"/>
  <c r="BL120" i="12"/>
  <c r="BL158" i="12"/>
  <c r="BL145" i="12"/>
  <c r="BL170" i="12"/>
  <c r="BM170" i="12"/>
  <c r="BN191" i="12"/>
  <c r="BN143" i="12"/>
  <c r="BN120" i="12"/>
  <c r="BN158" i="12"/>
  <c r="BO145" i="12"/>
  <c r="BO170" i="12"/>
  <c r="BO167" i="12"/>
  <c r="BL202" i="12"/>
  <c r="BL184" i="12"/>
  <c r="BL211" i="12"/>
  <c r="BL171" i="12"/>
  <c r="BM202" i="12"/>
  <c r="BM184" i="12"/>
  <c r="BM211" i="12"/>
  <c r="BM150" i="12"/>
  <c r="BM171" i="12"/>
  <c r="BN202" i="12"/>
  <c r="BN184" i="12"/>
  <c r="BO150" i="12"/>
  <c r="BL204" i="12"/>
  <c r="BL192" i="12"/>
  <c r="BL119" i="12"/>
  <c r="BL180" i="12"/>
  <c r="BL157" i="12"/>
  <c r="BL164" i="12"/>
  <c r="BM180" i="12"/>
  <c r="BN204" i="12"/>
  <c r="BN192" i="12"/>
  <c r="BN119" i="12"/>
  <c r="BO144" i="12"/>
  <c r="BO157" i="12"/>
  <c r="BO164" i="12"/>
  <c r="BO201" i="12"/>
  <c r="BO212" i="12"/>
  <c r="BM142" i="12"/>
  <c r="BN160" i="12"/>
  <c r="BO142" i="12"/>
  <c r="BO129" i="12"/>
  <c r="BO147" i="12"/>
  <c r="BN150" i="12"/>
  <c r="BN171" i="12"/>
  <c r="BO184" i="12"/>
  <c r="BO211" i="12"/>
  <c r="BN144" i="12"/>
  <c r="BN180" i="12"/>
  <c r="BM143" i="12"/>
  <c r="BM120" i="12"/>
  <c r="BM158" i="12"/>
  <c r="BL142" i="12"/>
  <c r="BL149" i="12"/>
  <c r="BM204" i="12"/>
  <c r="BM192" i="12"/>
  <c r="BM119" i="12"/>
  <c r="BN189" i="12"/>
  <c r="BO149" i="12"/>
  <c r="BO160" i="12"/>
  <c r="BO174" i="12"/>
  <c r="BO189" i="12"/>
  <c r="BO191" i="12"/>
  <c r="BM157" i="12"/>
  <c r="BN167" i="12"/>
  <c r="BP50" i="12"/>
  <c r="BM159" i="12"/>
  <c r="BP24" i="12"/>
  <c r="BM212" i="12"/>
  <c r="BP90" i="12"/>
  <c r="BP72" i="12"/>
  <c r="BP27" i="12"/>
  <c r="BR81" i="12"/>
  <c r="BR50" i="12"/>
  <c r="BR33" i="12"/>
  <c r="BL167" i="12"/>
  <c r="BL155" i="12"/>
  <c r="BO159" i="12"/>
  <c r="BO155" i="12"/>
  <c r="BL201" i="12"/>
  <c r="BO163" i="12"/>
  <c r="BO177" i="12"/>
  <c r="BO169" i="12"/>
  <c r="BO175" i="12"/>
  <c r="BO193" i="12"/>
  <c r="BO186" i="12"/>
  <c r="BN159" i="12"/>
  <c r="BN174" i="12"/>
  <c r="BN175" i="12"/>
  <c r="BN186" i="12"/>
  <c r="BN193" i="12"/>
  <c r="BN163" i="12"/>
  <c r="BN177" i="12"/>
  <c r="BN201" i="12"/>
  <c r="BN212" i="12"/>
  <c r="BN169" i="12"/>
  <c r="BM201" i="12"/>
  <c r="BM189" i="12"/>
  <c r="BM175" i="12"/>
  <c r="BM155" i="12"/>
  <c r="BM186" i="12"/>
  <c r="BM193" i="12"/>
  <c r="BM163" i="12"/>
  <c r="BM177" i="12"/>
  <c r="BM169" i="12"/>
  <c r="BL174" i="12"/>
  <c r="BL186" i="12"/>
  <c r="BL193" i="12"/>
  <c r="BL163" i="12"/>
  <c r="BL169" i="12"/>
  <c r="BM147" i="12"/>
  <c r="BM160" i="12"/>
  <c r="BN164" i="12"/>
  <c r="BL212" i="12"/>
  <c r="BN145" i="12"/>
  <c r="BL159" i="12"/>
  <c r="BM191" i="12"/>
  <c r="BO180" i="12"/>
  <c r="BL189" i="12"/>
  <c r="BO120" i="12"/>
  <c r="BL144" i="12"/>
  <c r="BO192" i="12"/>
  <c r="BM144" i="12"/>
  <c r="BL129" i="12"/>
  <c r="BN211" i="12"/>
  <c r="BM129" i="12"/>
  <c r="BN157" i="12"/>
  <c r="BN149" i="12"/>
  <c r="BL147" i="12"/>
  <c r="BL160" i="12"/>
  <c r="BM164" i="12"/>
  <c r="BN155" i="12"/>
  <c r="BL177" i="12"/>
  <c r="BM145" i="12"/>
  <c r="BL191" i="12"/>
  <c r="BO202" i="12"/>
  <c r="BO171" i="12"/>
  <c r="BL175" i="12"/>
  <c r="BL150" i="12"/>
  <c r="BM174" i="12"/>
  <c r="BO204" i="12"/>
  <c r="BR82" i="12"/>
  <c r="BR76" i="12"/>
  <c r="BR64" i="12"/>
  <c r="BR53" i="12"/>
  <c r="BR97" i="12"/>
  <c r="BR60" i="12"/>
  <c r="BR63" i="12"/>
  <c r="BP64" i="12"/>
  <c r="BP67" i="12"/>
  <c r="BP65" i="12"/>
  <c r="BP53" i="12"/>
  <c r="BP97" i="12"/>
  <c r="BP60" i="12"/>
  <c r="BQ63" i="12"/>
  <c r="BQ97" i="12"/>
  <c r="BQ54" i="12"/>
  <c r="BQ65" i="12"/>
  <c r="BQ60" i="12"/>
  <c r="BQ64" i="12"/>
  <c r="BQ53" i="12"/>
  <c r="BQ57" i="12"/>
  <c r="BQ67" i="12"/>
  <c r="BQ50" i="12"/>
  <c r="BQ82" i="12"/>
  <c r="BT2" i="11"/>
  <c r="BD34" i="11" s="1"/>
  <c r="AD24" i="6"/>
  <c r="AG24" i="6" s="1"/>
  <c r="AD41" i="6"/>
  <c r="AG41" i="6" s="1"/>
  <c r="AD31" i="6"/>
  <c r="AG31" i="6" s="1"/>
  <c r="AD29" i="6"/>
  <c r="AG29" i="6" s="1"/>
  <c r="AD8" i="6"/>
  <c r="AG8" i="6" s="1"/>
  <c r="AD26" i="6"/>
  <c r="AG26" i="6" s="1"/>
  <c r="AB13" i="6"/>
  <c r="AE13" i="6" s="1"/>
  <c r="AB8" i="6"/>
  <c r="AE8" i="6" s="1"/>
  <c r="AC8" i="6"/>
  <c r="AF8" i="6" s="1"/>
  <c r="AC21" i="6"/>
  <c r="AF21" i="6" s="1"/>
  <c r="AB21" i="6"/>
  <c r="AE21" i="6" s="1"/>
  <c r="AD33" i="5"/>
  <c r="AG33" i="5" s="1"/>
  <c r="AB35" i="5"/>
  <c r="AE35" i="5" s="1"/>
  <c r="AC29" i="5"/>
  <c r="AF29" i="5" s="1"/>
  <c r="AD29" i="5"/>
  <c r="AG29" i="5" s="1"/>
  <c r="AC26" i="5"/>
  <c r="AF26" i="5" s="1"/>
  <c r="AD26" i="5"/>
  <c r="AG26" i="5" s="1"/>
  <c r="AC3" i="5"/>
  <c r="AF3" i="5" s="1"/>
  <c r="AB3" i="5"/>
  <c r="AE3" i="5" s="1"/>
  <c r="AB26" i="5"/>
  <c r="AE26" i="5" s="1"/>
  <c r="AD3" i="5"/>
  <c r="AG3" i="5" s="1"/>
  <c r="AD46" i="5"/>
  <c r="AG46" i="5" s="1"/>
  <c r="AD6" i="3"/>
  <c r="AC6" i="3"/>
  <c r="AC25" i="3"/>
  <c r="AF25" i="3" s="1"/>
  <c r="AD39" i="3"/>
  <c r="AG39" i="3" s="1"/>
  <c r="AC39" i="3"/>
  <c r="AF39" i="3" s="1"/>
  <c r="AB39" i="3"/>
  <c r="AE39" i="3" s="1"/>
  <c r="AD40" i="4"/>
  <c r="AG40" i="4" s="1"/>
  <c r="AC40" i="4"/>
  <c r="AF40" i="4" s="1"/>
  <c r="AB40" i="4"/>
  <c r="AE40" i="4" s="1"/>
  <c r="AD34" i="4"/>
  <c r="AG34" i="4" s="1"/>
  <c r="AB23" i="4"/>
  <c r="AE23" i="4" s="1"/>
  <c r="AB22" i="4"/>
  <c r="AE22" i="4" s="1"/>
  <c r="AD30" i="4"/>
  <c r="AG30" i="4" s="1"/>
  <c r="AD6" i="4"/>
  <c r="AC35" i="4"/>
  <c r="AF35" i="4" s="1"/>
  <c r="AD27" i="4"/>
  <c r="AG27" i="4" s="1"/>
  <c r="AB5" i="4"/>
  <c r="AE5" i="4" s="1"/>
  <c r="AC21" i="4"/>
  <c r="AF21" i="4" s="1"/>
  <c r="AD21" i="4"/>
  <c r="AG21" i="4" s="1"/>
  <c r="AB21" i="4"/>
  <c r="AE21" i="4" s="1"/>
  <c r="AC26" i="4"/>
  <c r="AF26" i="4" s="1"/>
  <c r="AC24" i="4"/>
  <c r="AF24" i="4" s="1"/>
  <c r="AC33" i="4"/>
  <c r="AF33" i="4" s="1"/>
  <c r="AD25" i="4"/>
  <c r="AG25" i="4" s="1"/>
  <c r="AD14" i="4"/>
  <c r="AG14" i="4" s="1"/>
  <c r="AD25" i="3"/>
  <c r="AG25" i="3" s="1"/>
  <c r="AB25" i="3"/>
  <c r="AE25" i="3" s="1"/>
  <c r="AC37" i="3"/>
  <c r="AF37" i="3" s="1"/>
  <c r="AC43" i="3"/>
  <c r="AF43" i="3" s="1"/>
  <c r="AD19" i="3"/>
  <c r="AG19" i="3" s="1"/>
  <c r="AC19" i="3"/>
  <c r="AF19" i="3" s="1"/>
  <c r="AB19" i="3"/>
  <c r="AE19" i="3" s="1"/>
  <c r="AC18" i="3"/>
  <c r="AF18" i="3" s="1"/>
  <c r="AD43" i="3"/>
  <c r="AG43" i="3" s="1"/>
  <c r="AB43" i="3"/>
  <c r="AE43" i="3" s="1"/>
  <c r="AC9" i="6"/>
  <c r="AF9" i="6" s="1"/>
  <c r="AB11" i="6"/>
  <c r="AE11" i="6" s="1"/>
  <c r="AB28" i="6"/>
  <c r="AE28" i="6" s="1"/>
  <c r="AC28" i="6"/>
  <c r="AF28" i="6" s="1"/>
  <c r="AB29" i="6"/>
  <c r="AE29" i="6" s="1"/>
  <c r="AC43" i="6"/>
  <c r="AF43" i="6" s="1"/>
  <c r="AC24" i="6"/>
  <c r="AF24" i="6" s="1"/>
  <c r="AD43" i="6"/>
  <c r="AG43" i="6" s="1"/>
  <c r="AB22" i="6"/>
  <c r="AE22" i="6" s="1"/>
  <c r="AB44" i="6"/>
  <c r="AE44" i="6" s="1"/>
  <c r="AD19" i="6"/>
  <c r="AG19" i="6" s="1"/>
  <c r="AC20" i="6"/>
  <c r="AF20" i="6" s="1"/>
  <c r="AB25" i="6"/>
  <c r="AE25" i="6" s="1"/>
  <c r="AB20" i="6"/>
  <c r="AE20" i="6" s="1"/>
  <c r="AC19" i="6"/>
  <c r="AF19" i="6" s="1"/>
  <c r="AD37" i="6"/>
  <c r="AG37" i="6" s="1"/>
  <c r="AD20" i="6"/>
  <c r="AG20" i="6" s="1"/>
  <c r="AC36" i="6"/>
  <c r="AF36" i="6" s="1"/>
  <c r="AB36" i="6"/>
  <c r="AE36" i="6" s="1"/>
  <c r="AB19" i="6"/>
  <c r="AE19" i="6" s="1"/>
  <c r="AC37" i="6"/>
  <c r="AF37" i="6" s="1"/>
  <c r="AC18" i="6"/>
  <c r="AF18" i="6" s="1"/>
  <c r="AD35" i="6"/>
  <c r="AG35" i="6" s="1"/>
  <c r="AD17" i="6"/>
  <c r="AG17" i="6" s="1"/>
  <c r="AD40" i="6"/>
  <c r="AG40" i="6" s="1"/>
  <c r="AD36" i="6"/>
  <c r="AG36" i="6" s="1"/>
  <c r="AB37" i="6"/>
  <c r="AE37" i="6" s="1"/>
  <c r="AC17" i="6"/>
  <c r="AF17" i="6" s="1"/>
  <c r="AD34" i="6"/>
  <c r="AG34" i="6" s="1"/>
  <c r="AC35" i="6"/>
  <c r="AF35" i="6" s="1"/>
  <c r="AB39" i="6"/>
  <c r="AE39" i="6" s="1"/>
  <c r="AB35" i="6"/>
  <c r="AE35" i="6" s="1"/>
  <c r="AC34" i="6"/>
  <c r="AF34" i="6" s="1"/>
  <c r="AD15" i="6"/>
  <c r="AG15" i="6" s="1"/>
  <c r="AD18" i="6"/>
  <c r="AG18" i="6" s="1"/>
  <c r="AC16" i="6"/>
  <c r="AF16" i="6" s="1"/>
  <c r="AC39" i="6"/>
  <c r="AF39" i="6" s="1"/>
  <c r="AB34" i="6"/>
  <c r="AE34" i="6" s="1"/>
  <c r="AB16" i="6"/>
  <c r="AE16" i="6" s="1"/>
  <c r="AC15" i="6"/>
  <c r="AF15" i="6" s="1"/>
  <c r="AD13" i="6"/>
  <c r="AG13" i="6" s="1"/>
  <c r="AD16" i="6"/>
  <c r="AG16" i="6" s="1"/>
  <c r="AC33" i="6"/>
  <c r="AF33" i="6" s="1"/>
  <c r="AB33" i="6"/>
  <c r="AE33" i="6" s="1"/>
  <c r="AB15" i="6"/>
  <c r="AE15" i="6" s="1"/>
  <c r="AC31" i="6"/>
  <c r="AF31" i="6" s="1"/>
  <c r="AC13" i="6"/>
  <c r="AF13" i="6" s="1"/>
  <c r="AD11" i="6"/>
  <c r="AG11" i="6" s="1"/>
  <c r="AB18" i="6"/>
  <c r="AE18" i="6" s="1"/>
  <c r="AB9" i="6"/>
  <c r="AB17" i="6"/>
  <c r="AE17" i="6" s="1"/>
  <c r="AD21" i="6"/>
  <c r="AG21" i="6" s="1"/>
  <c r="AD33" i="6"/>
  <c r="AG33" i="6" s="1"/>
  <c r="AB31" i="6"/>
  <c r="AE31" i="6" s="1"/>
  <c r="AC29" i="6"/>
  <c r="AF29" i="6" s="1"/>
  <c r="AC11" i="6"/>
  <c r="AD28" i="6"/>
  <c r="AG28" i="6" s="1"/>
  <c r="AD9" i="6"/>
  <c r="AG9" i="6" s="1"/>
  <c r="AB25" i="5"/>
  <c r="AE25" i="5" s="1"/>
  <c r="AB39" i="5"/>
  <c r="AE39" i="5" s="1"/>
  <c r="AC25" i="5"/>
  <c r="AF25" i="5" s="1"/>
  <c r="AC49" i="5"/>
  <c r="AF49" i="5" s="1"/>
  <c r="AB13" i="5"/>
  <c r="AC13" i="5"/>
  <c r="AF13" i="5" s="1"/>
  <c r="AB29" i="5"/>
  <c r="AE29" i="5" s="1"/>
  <c r="AD49" i="5"/>
  <c r="AG49" i="5" s="1"/>
  <c r="AD13" i="5"/>
  <c r="AB49" i="5"/>
  <c r="AE49" i="5" s="1"/>
  <c r="AD14" i="5"/>
  <c r="AG14" i="5" s="1"/>
  <c r="AD30" i="5"/>
  <c r="AG30" i="5" s="1"/>
  <c r="AB47" i="5"/>
  <c r="AE47" i="5" s="1"/>
  <c r="AC39" i="5"/>
  <c r="AF39" i="5" s="1"/>
  <c r="AD25" i="5"/>
  <c r="AG25" i="5" s="1"/>
  <c r="AD39" i="5"/>
  <c r="AG39" i="5" s="1"/>
  <c r="AB20" i="5"/>
  <c r="AE20" i="5" s="1"/>
  <c r="AD15" i="5"/>
  <c r="AG15" i="5" s="1"/>
  <c r="AB21" i="5"/>
  <c r="AE21" i="5" s="1"/>
  <c r="AB37" i="5"/>
  <c r="AE37" i="5" s="1"/>
  <c r="AC46" i="5"/>
  <c r="AF46" i="5" s="1"/>
  <c r="AB19" i="5"/>
  <c r="AE19" i="5" s="1"/>
  <c r="AC20" i="5"/>
  <c r="AF20" i="5" s="1"/>
  <c r="AC21" i="5"/>
  <c r="AF21" i="5" s="1"/>
  <c r="AD31" i="5"/>
  <c r="AG31" i="5" s="1"/>
  <c r="AC37" i="5"/>
  <c r="AF37" i="5" s="1"/>
  <c r="AB46" i="5"/>
  <c r="AE46" i="5" s="1"/>
  <c r="AB33" i="5"/>
  <c r="AE33" i="5" s="1"/>
  <c r="AB18" i="5"/>
  <c r="AE18" i="5" s="1"/>
  <c r="AC35" i="5"/>
  <c r="AF35" i="5" s="1"/>
  <c r="AC19" i="5"/>
  <c r="AF19" i="5" s="1"/>
  <c r="AD20" i="5"/>
  <c r="AG20" i="5" s="1"/>
  <c r="AC23" i="5"/>
  <c r="AF23" i="5" s="1"/>
  <c r="AD21" i="5"/>
  <c r="AG21" i="5" s="1"/>
  <c r="AB27" i="5"/>
  <c r="AE27" i="5" s="1"/>
  <c r="AD37" i="5"/>
  <c r="AG37" i="5" s="1"/>
  <c r="AD45" i="5"/>
  <c r="AG45" i="5" s="1"/>
  <c r="AC33" i="5"/>
  <c r="AF33" i="5" s="1"/>
  <c r="AC18" i="5"/>
  <c r="AF18" i="5" s="1"/>
  <c r="AD35" i="5"/>
  <c r="AG35" i="5" s="1"/>
  <c r="AC14" i="5"/>
  <c r="AF14" i="5" s="1"/>
  <c r="AB22" i="5"/>
  <c r="AE22" i="5" s="1"/>
  <c r="AB36" i="5"/>
  <c r="AE36" i="5" s="1"/>
  <c r="AB34" i="5"/>
  <c r="AE34" i="5" s="1"/>
  <c r="AB16" i="5"/>
  <c r="AE16" i="5" s="1"/>
  <c r="AC32" i="5"/>
  <c r="AF32" i="5" s="1"/>
  <c r="AD18" i="5"/>
  <c r="AG18" i="5" s="1"/>
  <c r="AD19" i="5"/>
  <c r="AG19" i="5" s="1"/>
  <c r="AC30" i="5"/>
  <c r="AF30" i="5" s="1"/>
  <c r="AB17" i="5"/>
  <c r="AE17" i="5" s="1"/>
  <c r="AC22" i="5"/>
  <c r="AF22" i="5" s="1"/>
  <c r="AC36" i="5"/>
  <c r="AF36" i="5" s="1"/>
  <c r="AB31" i="5"/>
  <c r="AE31" i="5" s="1"/>
  <c r="AB15" i="5"/>
  <c r="AE15" i="5" s="1"/>
  <c r="AC34" i="5"/>
  <c r="AF34" i="5" s="1"/>
  <c r="AC16" i="5"/>
  <c r="AF16" i="5" s="1"/>
  <c r="AD32" i="5"/>
  <c r="AG32" i="5" s="1"/>
  <c r="AD17" i="5"/>
  <c r="AG17" i="5" s="1"/>
  <c r="AC17" i="5"/>
  <c r="AF17" i="5" s="1"/>
  <c r="AD22" i="5"/>
  <c r="AG22" i="5" s="1"/>
  <c r="AB32" i="5"/>
  <c r="AE32" i="5" s="1"/>
  <c r="AD36" i="5"/>
  <c r="AG36" i="5" s="1"/>
  <c r="AB30" i="5"/>
  <c r="AE30" i="5" s="1"/>
  <c r="AB14" i="5"/>
  <c r="AE14" i="5" s="1"/>
  <c r="AC31" i="5"/>
  <c r="AF31" i="5" s="1"/>
  <c r="AC15" i="5"/>
  <c r="AF15" i="5" s="1"/>
  <c r="AD34" i="5"/>
  <c r="AG34" i="5" s="1"/>
  <c r="AD16" i="5"/>
  <c r="AG16" i="5" s="1"/>
  <c r="AC18" i="4"/>
  <c r="AF18" i="4" s="1"/>
  <c r="AD31" i="4"/>
  <c r="AG31" i="4" s="1"/>
  <c r="AD18" i="4"/>
  <c r="AG18" i="4" s="1"/>
  <c r="AB29" i="4"/>
  <c r="AE29" i="4" s="1"/>
  <c r="AB12" i="4"/>
  <c r="AE12" i="4" s="1"/>
  <c r="AC29" i="4"/>
  <c r="AF29" i="4" s="1"/>
  <c r="AD35" i="4"/>
  <c r="AG35" i="4" s="1"/>
  <c r="AC12" i="4"/>
  <c r="AF12" i="4" s="1"/>
  <c r="AC17" i="4"/>
  <c r="AF17" i="4" s="1"/>
  <c r="AD29" i="4"/>
  <c r="AG29" i="4" s="1"/>
  <c r="AC22" i="4"/>
  <c r="AF22" i="4" s="1"/>
  <c r="AD17" i="4"/>
  <c r="AG17" i="4" s="1"/>
  <c r="AB32" i="4"/>
  <c r="AE32" i="4" s="1"/>
  <c r="AB36" i="4"/>
  <c r="AE36" i="4" s="1"/>
  <c r="AD22" i="4"/>
  <c r="AG22" i="4" s="1"/>
  <c r="AC32" i="4"/>
  <c r="AF32" i="4" s="1"/>
  <c r="AB35" i="4"/>
  <c r="AE35" i="4" s="1"/>
  <c r="AB19" i="4"/>
  <c r="AE19" i="4" s="1"/>
  <c r="AC36" i="4"/>
  <c r="AF36" i="4" s="1"/>
  <c r="AC20" i="4"/>
  <c r="AF20" i="4" s="1"/>
  <c r="AB14" i="4"/>
  <c r="AE14" i="4" s="1"/>
  <c r="AC23" i="4"/>
  <c r="AF23" i="4" s="1"/>
  <c r="AD32" i="4"/>
  <c r="AG32" i="4" s="1"/>
  <c r="AC38" i="4"/>
  <c r="AF38" i="4" s="1"/>
  <c r="AB17" i="4"/>
  <c r="AE17" i="4" s="1"/>
  <c r="AC19" i="4"/>
  <c r="AF19" i="4" s="1"/>
  <c r="AD36" i="4"/>
  <c r="AG36" i="4" s="1"/>
  <c r="AC14" i="4"/>
  <c r="AF14" i="4" s="1"/>
  <c r="AD23" i="4"/>
  <c r="AG23" i="4" s="1"/>
  <c r="AD19" i="4"/>
  <c r="AG19" i="4" s="1"/>
  <c r="AB20" i="4"/>
  <c r="AE20" i="4" s="1"/>
  <c r="AB33" i="4"/>
  <c r="AE33" i="4" s="1"/>
  <c r="AD37" i="4"/>
  <c r="AG37" i="4" s="1"/>
  <c r="AC37" i="4"/>
  <c r="AF37" i="4" s="1"/>
  <c r="AD20" i="4"/>
  <c r="AG20" i="4" s="1"/>
  <c r="AD33" i="4"/>
  <c r="AG33" i="4" s="1"/>
  <c r="AB37" i="4"/>
  <c r="AE37" i="4" s="1"/>
  <c r="AC16" i="4"/>
  <c r="AF16" i="4" s="1"/>
  <c r="AD24" i="4"/>
  <c r="AG24" i="4" s="1"/>
  <c r="AB6" i="4"/>
  <c r="AB15" i="4"/>
  <c r="AE15" i="4" s="1"/>
  <c r="AB34" i="4"/>
  <c r="AE34" i="4" s="1"/>
  <c r="AD43" i="4"/>
  <c r="AG43" i="4" s="1"/>
  <c r="AB28" i="4"/>
  <c r="AE28" i="4" s="1"/>
  <c r="AC30" i="4"/>
  <c r="AF30" i="4" s="1"/>
  <c r="AB16" i="4"/>
  <c r="AE16" i="4" s="1"/>
  <c r="AD16" i="4"/>
  <c r="AG16" i="4" s="1"/>
  <c r="AC15" i="4"/>
  <c r="AF15" i="4" s="1"/>
  <c r="AC34" i="4"/>
  <c r="AF34" i="4" s="1"/>
  <c r="AB45" i="4"/>
  <c r="AE45" i="4" s="1"/>
  <c r="AB27" i="4"/>
  <c r="AE27" i="4" s="1"/>
  <c r="AC28" i="4"/>
  <c r="AF28" i="4" s="1"/>
  <c r="AC7" i="4"/>
  <c r="AF7" i="4" s="1"/>
  <c r="AD12" i="4"/>
  <c r="AG12" i="4" s="1"/>
  <c r="AB30" i="4"/>
  <c r="AE30" i="4" s="1"/>
  <c r="AD15" i="4"/>
  <c r="AG15" i="4" s="1"/>
  <c r="AB31" i="4"/>
  <c r="AE31" i="4" s="1"/>
  <c r="AC45" i="4"/>
  <c r="AF45" i="4" s="1"/>
  <c r="AC27" i="4"/>
  <c r="AF27" i="4" s="1"/>
  <c r="AC6" i="4"/>
  <c r="AD28" i="4"/>
  <c r="AG28" i="4" s="1"/>
  <c r="AD7" i="4"/>
  <c r="AG7" i="4" s="1"/>
  <c r="AB7" i="4"/>
  <c r="AE7" i="4" s="1"/>
  <c r="AB18" i="4"/>
  <c r="AE18" i="4" s="1"/>
  <c r="AD26" i="4"/>
  <c r="AG26" i="4" s="1"/>
  <c r="AC31" i="4"/>
  <c r="AF31" i="4" s="1"/>
  <c r="AD45" i="4"/>
  <c r="AG45" i="4" s="1"/>
  <c r="AB6" i="3"/>
  <c r="AC24" i="3"/>
  <c r="AF24" i="3" s="1"/>
  <c r="AD37" i="3"/>
  <c r="AG37" i="3" s="1"/>
  <c r="AD18" i="3"/>
  <c r="AG18" i="3" s="1"/>
  <c r="AC41" i="3"/>
  <c r="AF41" i="3" s="1"/>
  <c r="AC23" i="3"/>
  <c r="AF23" i="3" s="1"/>
  <c r="AD34" i="3"/>
  <c r="AG34" i="3" s="1"/>
  <c r="AD16" i="3"/>
  <c r="AG16" i="3" s="1"/>
  <c r="AC40" i="3"/>
  <c r="AF40" i="3" s="1"/>
  <c r="AC22" i="3"/>
  <c r="AF22" i="3" s="1"/>
  <c r="AD33" i="3"/>
  <c r="AG33" i="3" s="1"/>
  <c r="AD15" i="3"/>
  <c r="AG15" i="3" s="1"/>
  <c r="AB26" i="3"/>
  <c r="AE26" i="3" s="1"/>
  <c r="AB24" i="3"/>
  <c r="AE24" i="3" s="1"/>
  <c r="AB41" i="3"/>
  <c r="AE41" i="3" s="1"/>
  <c r="AB23" i="3"/>
  <c r="AE23" i="3" s="1"/>
  <c r="AC35" i="3"/>
  <c r="AF35" i="3" s="1"/>
  <c r="AC17" i="3"/>
  <c r="AF17" i="3" s="1"/>
  <c r="AB40" i="3"/>
  <c r="AE40" i="3" s="1"/>
  <c r="AB22" i="3"/>
  <c r="AE22" i="3" s="1"/>
  <c r="AD41" i="3"/>
  <c r="AG41" i="3" s="1"/>
  <c r="AD23" i="3"/>
  <c r="AG23" i="3" s="1"/>
  <c r="AB38" i="3"/>
  <c r="AE38" i="3" s="1"/>
  <c r="AB21" i="3"/>
  <c r="AE21" i="3" s="1"/>
  <c r="AC34" i="3"/>
  <c r="AF34" i="3" s="1"/>
  <c r="AC16" i="3"/>
  <c r="AF16" i="3" s="1"/>
  <c r="AD28" i="3"/>
  <c r="AG28" i="3" s="1"/>
  <c r="AB36" i="3"/>
  <c r="AE36" i="3" s="1"/>
  <c r="AB20" i="3"/>
  <c r="AE20" i="3" s="1"/>
  <c r="AC33" i="3"/>
  <c r="AF33" i="3" s="1"/>
  <c r="AC15" i="3"/>
  <c r="AF15" i="3" s="1"/>
  <c r="AD27" i="3"/>
  <c r="AG27" i="3" s="1"/>
  <c r="AB34" i="3"/>
  <c r="AE34" i="3" s="1"/>
  <c r="AB16" i="3"/>
  <c r="AE16" i="3" s="1"/>
  <c r="AD38" i="3"/>
  <c r="AG38" i="3" s="1"/>
  <c r="AD21" i="3"/>
  <c r="AG21" i="3" s="1"/>
  <c r="AB35" i="3"/>
  <c r="AE35" i="3" s="1"/>
  <c r="AB17" i="3"/>
  <c r="AE17" i="3" s="1"/>
  <c r="AC32" i="3"/>
  <c r="AF32" i="3" s="1"/>
  <c r="AC14" i="3"/>
  <c r="AF14" i="3" s="1"/>
  <c r="AB37" i="3"/>
  <c r="AE37" i="3" s="1"/>
  <c r="AB18" i="3"/>
  <c r="AC31" i="3"/>
  <c r="AF31" i="3" s="1"/>
  <c r="AC12" i="3"/>
  <c r="AF12" i="3" s="1"/>
  <c r="AD24" i="3"/>
  <c r="AG24" i="3" s="1"/>
  <c r="AB32" i="3"/>
  <c r="AE32" i="3" s="1"/>
  <c r="AB33" i="3"/>
  <c r="AE33" i="3" s="1"/>
  <c r="AB15" i="3"/>
  <c r="AE15" i="3" s="1"/>
  <c r="AC29" i="3"/>
  <c r="AF29" i="3" s="1"/>
  <c r="AD40" i="3"/>
  <c r="AG40" i="3" s="1"/>
  <c r="AD22" i="3"/>
  <c r="AG22" i="3" s="1"/>
  <c r="AB31" i="3"/>
  <c r="AE31" i="3" s="1"/>
  <c r="AB12" i="3"/>
  <c r="AE12" i="3" s="1"/>
  <c r="AC27" i="3"/>
  <c r="AF27" i="3" s="1"/>
  <c r="AD36" i="3"/>
  <c r="AG36" i="3" s="1"/>
  <c r="AD20" i="3"/>
  <c r="AG20" i="3" s="1"/>
  <c r="AB28" i="3"/>
  <c r="AE28" i="3" s="1"/>
  <c r="AC38" i="3"/>
  <c r="AF38" i="3" s="1"/>
  <c r="AC21" i="3"/>
  <c r="AF21" i="3" s="1"/>
  <c r="AD32" i="3"/>
  <c r="AG32" i="3" s="1"/>
  <c r="AD14" i="3"/>
  <c r="AG14" i="3" s="1"/>
  <c r="AB14" i="3"/>
  <c r="AE14" i="3" s="1"/>
  <c r="AC26" i="3"/>
  <c r="AF26" i="3" s="1"/>
  <c r="AD35" i="3"/>
  <c r="AG35" i="3" s="1"/>
  <c r="AD17" i="3"/>
  <c r="AG17" i="3" s="1"/>
  <c r="AB27" i="3"/>
  <c r="AE27" i="3" s="1"/>
  <c r="AC36" i="3"/>
  <c r="AF36" i="3" s="1"/>
  <c r="AC20" i="3"/>
  <c r="AF20" i="3" s="1"/>
  <c r="AD31" i="3"/>
  <c r="AG31" i="3" s="1"/>
  <c r="AD12" i="3"/>
  <c r="AG12" i="3" s="1"/>
  <c r="AD30" i="3"/>
  <c r="AG30" i="3" s="1"/>
  <c r="AD29" i="3"/>
  <c r="AG29" i="3" s="1"/>
  <c r="AD26" i="3"/>
  <c r="AG26" i="3" s="1"/>
  <c r="AC30" i="3"/>
  <c r="AF30" i="3" s="1"/>
  <c r="AC28" i="3"/>
  <c r="AF28" i="3" s="1"/>
  <c r="AB30" i="3"/>
  <c r="AE30" i="3" s="1"/>
  <c r="AB29" i="3"/>
  <c r="AE29" i="3" s="1"/>
  <c r="AD25" i="6"/>
  <c r="AG25" i="6" s="1"/>
  <c r="AD44" i="6"/>
  <c r="AG44" i="6" s="1"/>
  <c r="AD39" i="6"/>
  <c r="AG39" i="6" s="1"/>
  <c r="AD45" i="6"/>
  <c r="AG45" i="6" s="1"/>
  <c r="AD22" i="6"/>
  <c r="AG22" i="6" s="1"/>
  <c r="AD27" i="6"/>
  <c r="AG27" i="6" s="1"/>
  <c r="AD46" i="6"/>
  <c r="AG46" i="6" s="1"/>
  <c r="AD23" i="6"/>
  <c r="AG23" i="6" s="1"/>
  <c r="AC25" i="6"/>
  <c r="AF25" i="6" s="1"/>
  <c r="AC44" i="6"/>
  <c r="AF44" i="6" s="1"/>
  <c r="AC26" i="6"/>
  <c r="AF26" i="6" s="1"/>
  <c r="AC45" i="6"/>
  <c r="AF45" i="6" s="1"/>
  <c r="AC22" i="6"/>
  <c r="AF22" i="6" s="1"/>
  <c r="AC27" i="6"/>
  <c r="AF27" i="6" s="1"/>
  <c r="AC46" i="6"/>
  <c r="AF46" i="6" s="1"/>
  <c r="AC41" i="6"/>
  <c r="AF41" i="6" s="1"/>
  <c r="AC23" i="6"/>
  <c r="AF23" i="6" s="1"/>
  <c r="AC40" i="6"/>
  <c r="AF40" i="6" s="1"/>
  <c r="AB26" i="6"/>
  <c r="AE26" i="6" s="1"/>
  <c r="AB45" i="6"/>
  <c r="AE45" i="6" s="1"/>
  <c r="AB27" i="6"/>
  <c r="AE27" i="6" s="1"/>
  <c r="AB46" i="6"/>
  <c r="AE46" i="6" s="1"/>
  <c r="AB41" i="6"/>
  <c r="AE41" i="6" s="1"/>
  <c r="AB23" i="6"/>
  <c r="AE23" i="6" s="1"/>
  <c r="AB40" i="6"/>
  <c r="AE40" i="6" s="1"/>
  <c r="AB24" i="6"/>
  <c r="AE24" i="6" s="1"/>
  <c r="AB43" i="6"/>
  <c r="AE43" i="6" s="1"/>
  <c r="AD27" i="5"/>
  <c r="AG27" i="5" s="1"/>
  <c r="AD44" i="5"/>
  <c r="AG44" i="5" s="1"/>
  <c r="AD28" i="5"/>
  <c r="AG28" i="5" s="1"/>
  <c r="AD42" i="5"/>
  <c r="AG42" i="5" s="1"/>
  <c r="AD23" i="5"/>
  <c r="AG23" i="5" s="1"/>
  <c r="AD41" i="5"/>
  <c r="AG41" i="5" s="1"/>
  <c r="AD47" i="5"/>
  <c r="AG47" i="5" s="1"/>
  <c r="AD24" i="5"/>
  <c r="AC27" i="5"/>
  <c r="AF27" i="5" s="1"/>
  <c r="AC45" i="5"/>
  <c r="AF45" i="5" s="1"/>
  <c r="AC28" i="5"/>
  <c r="AF28" i="5" s="1"/>
  <c r="AC44" i="5"/>
  <c r="AF44" i="5" s="1"/>
  <c r="AC42" i="5"/>
  <c r="AF42" i="5" s="1"/>
  <c r="AC24" i="5"/>
  <c r="AC41" i="5"/>
  <c r="AF41" i="5" s="1"/>
  <c r="AC47" i="5"/>
  <c r="AF47" i="5" s="1"/>
  <c r="AB45" i="5"/>
  <c r="AE45" i="5" s="1"/>
  <c r="AB28" i="5"/>
  <c r="AE28" i="5" s="1"/>
  <c r="AB23" i="5"/>
  <c r="AE23" i="5" s="1"/>
  <c r="AB44" i="5"/>
  <c r="AE44" i="5" s="1"/>
  <c r="AB24" i="5"/>
  <c r="AE24" i="5" s="1"/>
  <c r="AB42" i="5"/>
  <c r="AE42" i="5" s="1"/>
  <c r="AB41" i="5"/>
  <c r="AE41" i="5" s="1"/>
  <c r="AD41" i="4"/>
  <c r="AG41" i="4" s="1"/>
  <c r="AD39" i="4"/>
  <c r="AG39" i="4" s="1"/>
  <c r="AD38" i="4"/>
  <c r="AG38" i="4" s="1"/>
  <c r="AD42" i="4"/>
  <c r="AG42" i="4" s="1"/>
  <c r="AC42" i="4"/>
  <c r="AF42" i="4" s="1"/>
  <c r="AC43" i="4"/>
  <c r="AF43" i="4" s="1"/>
  <c r="AC41" i="4"/>
  <c r="AF41" i="4" s="1"/>
  <c r="AC25" i="4"/>
  <c r="AF25" i="4" s="1"/>
  <c r="AC39" i="4"/>
  <c r="AF39" i="4" s="1"/>
  <c r="AB42" i="4"/>
  <c r="AE42" i="4" s="1"/>
  <c r="AB26" i="4"/>
  <c r="AE26" i="4" s="1"/>
  <c r="AB43" i="4"/>
  <c r="AE43" i="4" s="1"/>
  <c r="AB25" i="4"/>
  <c r="AE25" i="4" s="1"/>
  <c r="AB41" i="4"/>
  <c r="AE41" i="4" s="1"/>
  <c r="AB39" i="4"/>
  <c r="AE39" i="4" s="1"/>
  <c r="AB24" i="4"/>
  <c r="AE24" i="4" s="1"/>
  <c r="AB38" i="4"/>
  <c r="AE38" i="4" s="1"/>
  <c r="AY2" i="4"/>
  <c r="AI95" i="4" s="1"/>
  <c r="AY2" i="6"/>
  <c r="AI92" i="6" s="1"/>
  <c r="AY2" i="5"/>
  <c r="AI94" i="5" s="1"/>
  <c r="AY2" i="3"/>
  <c r="AI79" i="3" s="1"/>
  <c r="E28" i="8"/>
  <c r="E32" i="8" s="1"/>
  <c r="B15" i="8"/>
  <c r="M5" i="10" l="1"/>
  <c r="M12" i="10"/>
  <c r="N5" i="10"/>
  <c r="N12" i="10"/>
  <c r="O12" i="10"/>
  <c r="O5" i="10"/>
  <c r="AY46" i="12"/>
  <c r="BB46" i="12"/>
  <c r="BE46" i="12"/>
  <c r="BH46" i="12"/>
  <c r="BF72" i="12"/>
  <c r="AZ72" i="12"/>
  <c r="BI72" i="12"/>
  <c r="BC72" i="12"/>
  <c r="BG69" i="12"/>
  <c r="BJ69" i="12"/>
  <c r="BA69" i="12"/>
  <c r="BD69" i="12"/>
  <c r="BD57" i="12"/>
  <c r="BJ57" i="12"/>
  <c r="BG57" i="12"/>
  <c r="BA57" i="12"/>
  <c r="BE52" i="12"/>
  <c r="BH52" i="12"/>
  <c r="AY52" i="12"/>
  <c r="BB52" i="12"/>
  <c r="AZ45" i="12"/>
  <c r="BI45" i="12"/>
  <c r="BF45" i="12"/>
  <c r="BC45" i="12"/>
  <c r="BA74" i="12"/>
  <c r="BD74" i="12"/>
  <c r="BG74" i="12"/>
  <c r="BJ74" i="12"/>
  <c r="AZ81" i="12"/>
  <c r="BF81" i="12"/>
  <c r="BI81" i="12"/>
  <c r="BC81" i="12"/>
  <c r="AZ36" i="12"/>
  <c r="BC36" i="12"/>
  <c r="BF36" i="12"/>
  <c r="BI36" i="12"/>
  <c r="BJ72" i="12"/>
  <c r="BG72" i="12"/>
  <c r="BD72" i="12"/>
  <c r="BA72" i="12"/>
  <c r="AZ80" i="12"/>
  <c r="BC80" i="12"/>
  <c r="BF80" i="12"/>
  <c r="BI80" i="12"/>
  <c r="BC90" i="12"/>
  <c r="BF90" i="12"/>
  <c r="AZ90" i="12"/>
  <c r="BI90" i="12"/>
  <c r="BH73" i="12"/>
  <c r="BE73" i="12"/>
  <c r="AY73" i="12"/>
  <c r="BB73" i="12"/>
  <c r="BF41" i="12"/>
  <c r="BC41" i="12"/>
  <c r="BI41" i="12"/>
  <c r="AZ41" i="12"/>
  <c r="BG12" i="12"/>
  <c r="BJ12" i="12"/>
  <c r="BA12" i="12"/>
  <c r="BD12" i="12"/>
  <c r="AZ32" i="12"/>
  <c r="BI32" i="12"/>
  <c r="BC32" i="12"/>
  <c r="BF32" i="12"/>
  <c r="BC98" i="12"/>
  <c r="BF98" i="12"/>
  <c r="AZ98" i="12"/>
  <c r="BI98" i="12"/>
  <c r="AY51" i="12"/>
  <c r="BE51" i="12"/>
  <c r="BB51" i="12"/>
  <c r="BH51" i="12"/>
  <c r="BA52" i="12"/>
  <c r="BD52" i="12"/>
  <c r="BG52" i="12"/>
  <c r="BJ52" i="12"/>
  <c r="BJ90" i="12"/>
  <c r="BG90" i="12"/>
  <c r="BA90" i="12"/>
  <c r="BD90" i="12"/>
  <c r="BC39" i="12"/>
  <c r="BI39" i="12"/>
  <c r="BF39" i="12"/>
  <c r="AZ39" i="12"/>
  <c r="BC26" i="12"/>
  <c r="AZ26" i="12"/>
  <c r="BF26" i="12"/>
  <c r="BI26" i="12"/>
  <c r="BI6" i="12"/>
  <c r="AZ6" i="12"/>
  <c r="BC6" i="12"/>
  <c r="BF6" i="12"/>
  <c r="AZ78" i="12"/>
  <c r="BC78" i="12"/>
  <c r="BF78" i="12"/>
  <c r="BI78" i="12"/>
  <c r="BD32" i="12"/>
  <c r="BG32" i="12"/>
  <c r="BA32" i="12"/>
  <c r="BJ32" i="12"/>
  <c r="BB71" i="12"/>
  <c r="BE71" i="12"/>
  <c r="AY71" i="12"/>
  <c r="BH71" i="12"/>
  <c r="BJ47" i="12"/>
  <c r="BA47" i="12"/>
  <c r="BD47" i="12"/>
  <c r="BG47" i="12"/>
  <c r="AY4" i="12"/>
  <c r="BH4" i="12"/>
  <c r="BE4" i="12"/>
  <c r="BB4" i="12"/>
  <c r="BJ66" i="12"/>
  <c r="BG66" i="12"/>
  <c r="BD66" i="12"/>
  <c r="BA66" i="12"/>
  <c r="BI76" i="12"/>
  <c r="BC76" i="12"/>
  <c r="BF76" i="12"/>
  <c r="AZ76" i="12"/>
  <c r="BJ71" i="12"/>
  <c r="BA71" i="12"/>
  <c r="BG71" i="12"/>
  <c r="BD71" i="12"/>
  <c r="BC99" i="12"/>
  <c r="AZ99" i="12"/>
  <c r="BF99" i="12"/>
  <c r="BI99" i="12"/>
  <c r="AY80" i="12"/>
  <c r="BB80" i="12"/>
  <c r="BE80" i="12"/>
  <c r="BH80" i="12"/>
  <c r="AY26" i="12"/>
  <c r="BB26" i="12"/>
  <c r="BE26" i="12"/>
  <c r="BH26" i="12"/>
  <c r="BF71" i="12"/>
  <c r="AZ71" i="12"/>
  <c r="BL71" i="12" s="1"/>
  <c r="BC71" i="12"/>
  <c r="BI71" i="12"/>
  <c r="AY61" i="12"/>
  <c r="BB61" i="12"/>
  <c r="BE61" i="12"/>
  <c r="BH61" i="12"/>
  <c r="BI22" i="12"/>
  <c r="BF22" i="12"/>
  <c r="BC22" i="12"/>
  <c r="AZ22" i="12"/>
  <c r="BB91" i="12"/>
  <c r="BE91" i="12"/>
  <c r="AY91" i="12"/>
  <c r="BH91" i="12"/>
  <c r="AZ51" i="12"/>
  <c r="BI51" i="12"/>
  <c r="BF51" i="12"/>
  <c r="BC51" i="12"/>
  <c r="BG11" i="12"/>
  <c r="BA11" i="12"/>
  <c r="BD11" i="12"/>
  <c r="BJ11" i="12"/>
  <c r="BA65" i="12"/>
  <c r="BJ65" i="12"/>
  <c r="BD65" i="12"/>
  <c r="BG65" i="12"/>
  <c r="AY87" i="12"/>
  <c r="BB87" i="12"/>
  <c r="BE87" i="12"/>
  <c r="BH87" i="12"/>
  <c r="BJ91" i="12"/>
  <c r="BD91" i="12"/>
  <c r="BA91" i="12"/>
  <c r="BG91" i="12"/>
  <c r="BJ83" i="12"/>
  <c r="BA83" i="12"/>
  <c r="BD83" i="12"/>
  <c r="BG83" i="12"/>
  <c r="BG44" i="12"/>
  <c r="BJ44" i="12"/>
  <c r="BA44" i="12"/>
  <c r="BD44" i="12"/>
  <c r="BJ6" i="12"/>
  <c r="BA6" i="12"/>
  <c r="BD6" i="12"/>
  <c r="BG6" i="12"/>
  <c r="BF91" i="12"/>
  <c r="AZ91" i="12"/>
  <c r="BI91" i="12"/>
  <c r="BC91" i="12"/>
  <c r="BA10" i="12"/>
  <c r="BD10" i="12"/>
  <c r="BG10" i="12"/>
  <c r="BJ10" i="12"/>
  <c r="BC11" i="12"/>
  <c r="BF11" i="12"/>
  <c r="AZ11" i="12"/>
  <c r="BI11" i="12"/>
  <c r="BG87" i="12"/>
  <c r="BJ87" i="12"/>
  <c r="BA87" i="12"/>
  <c r="BD87" i="12"/>
  <c r="AZ40" i="12"/>
  <c r="BC40" i="12"/>
  <c r="BF40" i="12"/>
  <c r="BI40" i="12"/>
  <c r="AY94" i="12"/>
  <c r="BB94" i="12"/>
  <c r="BE94" i="12"/>
  <c r="BH94" i="12"/>
  <c r="BI33" i="12"/>
  <c r="AZ33" i="12"/>
  <c r="BC33" i="12"/>
  <c r="BF33" i="12"/>
  <c r="BJ85" i="12"/>
  <c r="BA85" i="12"/>
  <c r="BD85" i="12"/>
  <c r="BG85" i="12"/>
  <c r="BB49" i="12"/>
  <c r="BH49" i="12"/>
  <c r="BE49" i="12"/>
  <c r="AY49" i="12"/>
  <c r="AY98" i="12"/>
  <c r="BB98" i="12"/>
  <c r="BE98" i="12"/>
  <c r="BH98" i="12"/>
  <c r="BE22" i="12"/>
  <c r="BB22" i="12"/>
  <c r="AY22" i="12"/>
  <c r="BH22" i="12"/>
  <c r="AZ66" i="12"/>
  <c r="BC66" i="12"/>
  <c r="BF66" i="12"/>
  <c r="BI66" i="12"/>
  <c r="BD22" i="12"/>
  <c r="BA22" i="12"/>
  <c r="BL22" i="12" s="1"/>
  <c r="BJ22" i="12"/>
  <c r="BG22" i="12"/>
  <c r="BJ51" i="12"/>
  <c r="BG51" i="12"/>
  <c r="BD51" i="12"/>
  <c r="BA51" i="12"/>
  <c r="BH76" i="12"/>
  <c r="AY76" i="12"/>
  <c r="BB76" i="12"/>
  <c r="BE76" i="12"/>
  <c r="BE74" i="12"/>
  <c r="BH74" i="12"/>
  <c r="BB74" i="12"/>
  <c r="AY74" i="12"/>
  <c r="BE29" i="12"/>
  <c r="AY29" i="12"/>
  <c r="BH29" i="12"/>
  <c r="BB29" i="12"/>
  <c r="BG99" i="12"/>
  <c r="BJ99" i="12"/>
  <c r="BD99" i="12"/>
  <c r="BA99" i="12"/>
  <c r="BE37" i="12"/>
  <c r="AY37" i="12"/>
  <c r="BH37" i="12"/>
  <c r="BB37" i="12"/>
  <c r="BC12" i="12"/>
  <c r="BF12" i="12"/>
  <c r="AZ12" i="12"/>
  <c r="BI12" i="12"/>
  <c r="BH57" i="12"/>
  <c r="BB57" i="12"/>
  <c r="AY57" i="12"/>
  <c r="BE57" i="12"/>
  <c r="AZ44" i="12"/>
  <c r="BC44" i="12"/>
  <c r="BF44" i="12"/>
  <c r="BI44" i="12"/>
  <c r="AZ94" i="12"/>
  <c r="BC94" i="12"/>
  <c r="BF94" i="12"/>
  <c r="BI94" i="12"/>
  <c r="BI85" i="12"/>
  <c r="AZ85" i="12"/>
  <c r="BF85" i="12"/>
  <c r="BC85" i="12"/>
  <c r="BD40" i="12"/>
  <c r="BJ40" i="12"/>
  <c r="BA40" i="12"/>
  <c r="BG40" i="12"/>
  <c r="BB82" i="12"/>
  <c r="BE82" i="12"/>
  <c r="AY82" i="12"/>
  <c r="BH82" i="12"/>
  <c r="AZ87" i="12"/>
  <c r="BC87" i="12"/>
  <c r="BF87" i="12"/>
  <c r="BI87" i="12"/>
  <c r="AY14" i="12"/>
  <c r="BE14" i="12"/>
  <c r="BB14" i="12"/>
  <c r="BH14" i="12"/>
  <c r="BC69" i="12"/>
  <c r="BF69" i="12"/>
  <c r="BI69" i="12"/>
  <c r="AZ69" i="12"/>
  <c r="AY35" i="12"/>
  <c r="BH35" i="12"/>
  <c r="BB35" i="12"/>
  <c r="BE35" i="12"/>
  <c r="BA68" i="12"/>
  <c r="BD68" i="12"/>
  <c r="BG68" i="12"/>
  <c r="BJ68" i="12"/>
  <c r="BE63" i="12"/>
  <c r="AY63" i="12"/>
  <c r="BB63" i="12"/>
  <c r="BH63" i="12"/>
  <c r="AY10" i="12"/>
  <c r="BB10" i="12"/>
  <c r="BE10" i="12"/>
  <c r="BH10" i="12"/>
  <c r="BJ26" i="12"/>
  <c r="BG26" i="12"/>
  <c r="BA26" i="12"/>
  <c r="BD26" i="12"/>
  <c r="BE33" i="12"/>
  <c r="BB33" i="12"/>
  <c r="AY33" i="12"/>
  <c r="BH33" i="12"/>
  <c r="AY11" i="12"/>
  <c r="BH11" i="12"/>
  <c r="BB11" i="12"/>
  <c r="BE11" i="12"/>
  <c r="BH36" i="12"/>
  <c r="AY36" i="12"/>
  <c r="BB36" i="12"/>
  <c r="BE36" i="12"/>
  <c r="BF29" i="12"/>
  <c r="BC29" i="12"/>
  <c r="AZ29" i="12"/>
  <c r="BI29" i="12"/>
  <c r="AY99" i="12"/>
  <c r="BB99" i="12"/>
  <c r="BE99" i="12"/>
  <c r="BH99" i="12"/>
  <c r="BE68" i="12"/>
  <c r="BH68" i="12"/>
  <c r="AY68" i="12"/>
  <c r="BB68" i="12"/>
  <c r="AY85" i="12"/>
  <c r="BB85" i="12"/>
  <c r="BE85" i="12"/>
  <c r="BH85" i="12"/>
  <c r="BD13" i="12"/>
  <c r="BG13" i="12"/>
  <c r="BJ13" i="12"/>
  <c r="BA13" i="12"/>
  <c r="AY83" i="12"/>
  <c r="BB83" i="12"/>
  <c r="BE83" i="12"/>
  <c r="BH83" i="12"/>
  <c r="BF59" i="12"/>
  <c r="BI59" i="12"/>
  <c r="AZ59" i="12"/>
  <c r="BC59" i="12"/>
  <c r="BF19" i="12"/>
  <c r="AZ19" i="12"/>
  <c r="BC19" i="12"/>
  <c r="BI19" i="12"/>
  <c r="BI77" i="12"/>
  <c r="BF77" i="12"/>
  <c r="AZ77" i="12"/>
  <c r="BC77" i="12"/>
  <c r="AY40" i="12"/>
  <c r="BE40" i="12"/>
  <c r="BH40" i="12"/>
  <c r="BB40" i="12"/>
  <c r="BJ45" i="12"/>
  <c r="BG45" i="12"/>
  <c r="BA45" i="12"/>
  <c r="BD45" i="12"/>
  <c r="BI52" i="12"/>
  <c r="AZ52" i="12"/>
  <c r="BL52" i="12" s="1"/>
  <c r="BC52" i="12"/>
  <c r="BF52" i="12"/>
  <c r="BN52" i="12" s="1"/>
  <c r="BC14" i="12"/>
  <c r="BI14" i="12"/>
  <c r="AZ14" i="12"/>
  <c r="BF14" i="12"/>
  <c r="AZ83" i="12"/>
  <c r="BC83" i="12"/>
  <c r="BF83" i="12"/>
  <c r="BI83" i="12"/>
  <c r="AY66" i="12"/>
  <c r="BB66" i="12"/>
  <c r="BE66" i="12"/>
  <c r="BH66" i="12"/>
  <c r="BO66" i="12" s="1"/>
  <c r="BA19" i="12"/>
  <c r="BD19" i="12"/>
  <c r="BG19" i="12"/>
  <c r="BJ19" i="12"/>
  <c r="BI10" i="12"/>
  <c r="AZ10" i="12"/>
  <c r="BC10" i="12"/>
  <c r="BF10" i="12"/>
  <c r="BA56" i="12"/>
  <c r="BD56" i="12"/>
  <c r="BG56" i="12"/>
  <c r="BJ56" i="12"/>
  <c r="BJ86" i="12"/>
  <c r="BG86" i="12"/>
  <c r="BD86" i="12"/>
  <c r="BA86" i="12"/>
  <c r="BD93" i="12"/>
  <c r="BA93" i="12"/>
  <c r="BG93" i="12"/>
  <c r="BJ93" i="12"/>
  <c r="BD29" i="12"/>
  <c r="BA29" i="12"/>
  <c r="BG29" i="12"/>
  <c r="BJ29" i="12"/>
  <c r="BG41" i="12"/>
  <c r="BD41" i="12"/>
  <c r="BJ41" i="12"/>
  <c r="BA41" i="12"/>
  <c r="BC61" i="12"/>
  <c r="BF61" i="12"/>
  <c r="BI61" i="12"/>
  <c r="AZ61" i="12"/>
  <c r="BA61" i="12"/>
  <c r="BD61" i="12"/>
  <c r="BG61" i="12"/>
  <c r="BJ61" i="12"/>
  <c r="AY59" i="12"/>
  <c r="BB59" i="12"/>
  <c r="BE59" i="12"/>
  <c r="BH59" i="12"/>
  <c r="BC24" i="12"/>
  <c r="BI24" i="12"/>
  <c r="AZ24" i="12"/>
  <c r="BF24" i="12"/>
  <c r="BE28" i="12"/>
  <c r="BH28" i="12"/>
  <c r="AY28" i="12"/>
  <c r="BB28" i="12"/>
  <c r="BJ59" i="12"/>
  <c r="BG59" i="12"/>
  <c r="BA59" i="12"/>
  <c r="BD59" i="12"/>
  <c r="BE78" i="12"/>
  <c r="BH78" i="12"/>
  <c r="AY78" i="12"/>
  <c r="BB78" i="12"/>
  <c r="BJ77" i="12"/>
  <c r="BG77" i="12"/>
  <c r="BA77" i="12"/>
  <c r="BD77" i="12"/>
  <c r="BA28" i="12"/>
  <c r="BD28" i="12"/>
  <c r="BG28" i="12"/>
  <c r="BJ28" i="12"/>
  <c r="AY45" i="12"/>
  <c r="BB45" i="12"/>
  <c r="BE45" i="12"/>
  <c r="BH45" i="12"/>
  <c r="AY69" i="12"/>
  <c r="BB69" i="12"/>
  <c r="BE69" i="12"/>
  <c r="BH69" i="12"/>
  <c r="BG14" i="12"/>
  <c r="BJ14" i="12"/>
  <c r="BD14" i="12"/>
  <c r="BA14" i="12"/>
  <c r="BF56" i="12"/>
  <c r="BI56" i="12"/>
  <c r="AZ56" i="12"/>
  <c r="BC56" i="12"/>
  <c r="AZ86" i="12"/>
  <c r="BC86" i="12"/>
  <c r="BF86" i="12"/>
  <c r="BI86" i="12"/>
  <c r="BI74" i="12"/>
  <c r="AZ74" i="12"/>
  <c r="BC74" i="12"/>
  <c r="BF74" i="12"/>
  <c r="BG98" i="12"/>
  <c r="BJ98" i="12"/>
  <c r="BA98" i="12"/>
  <c r="BD98" i="12"/>
  <c r="BC37" i="12"/>
  <c r="BF37" i="12"/>
  <c r="BI37" i="12"/>
  <c r="AZ37" i="12"/>
  <c r="BD36" i="12"/>
  <c r="BG36" i="12"/>
  <c r="BA36" i="12"/>
  <c r="BJ36" i="12"/>
  <c r="BF49" i="12"/>
  <c r="AZ49" i="12"/>
  <c r="BI49" i="12"/>
  <c r="BC49" i="12"/>
  <c r="BI46" i="12"/>
  <c r="BF46" i="12"/>
  <c r="BC46" i="12"/>
  <c r="AZ46" i="12"/>
  <c r="BH32" i="12"/>
  <c r="BB32" i="12"/>
  <c r="AY32" i="12"/>
  <c r="BE32" i="12"/>
  <c r="BC13" i="12"/>
  <c r="BF13" i="12"/>
  <c r="BI13" i="12"/>
  <c r="AZ13" i="12"/>
  <c r="BG24" i="12"/>
  <c r="BJ24" i="12"/>
  <c r="BD24" i="12"/>
  <c r="BA24" i="12"/>
  <c r="AY13" i="12"/>
  <c r="BB13" i="12"/>
  <c r="BE13" i="12"/>
  <c r="BH13" i="12"/>
  <c r="BA92" i="12"/>
  <c r="BD92" i="12"/>
  <c r="BG92" i="12"/>
  <c r="BJ92" i="12"/>
  <c r="BA37" i="12"/>
  <c r="BG37" i="12"/>
  <c r="BN37" i="12" s="1"/>
  <c r="BJ37" i="12"/>
  <c r="BD37" i="12"/>
  <c r="AY19" i="12"/>
  <c r="BB19" i="12"/>
  <c r="BE19" i="12"/>
  <c r="BH19" i="12"/>
  <c r="AY77" i="12"/>
  <c r="BB77" i="12"/>
  <c r="BE77" i="12"/>
  <c r="BH77" i="12"/>
  <c r="AZ35" i="12"/>
  <c r="BF35" i="12"/>
  <c r="BI35" i="12"/>
  <c r="BC35" i="12"/>
  <c r="AY86" i="12"/>
  <c r="BB86" i="12"/>
  <c r="BM86" i="12" s="1"/>
  <c r="BE86" i="12"/>
  <c r="BH86" i="12"/>
  <c r="BE41" i="12"/>
  <c r="BB41" i="12"/>
  <c r="AY41" i="12"/>
  <c r="BH41" i="12"/>
  <c r="BO41" i="12" s="1"/>
  <c r="BA80" i="12"/>
  <c r="BD80" i="12"/>
  <c r="BG80" i="12"/>
  <c r="BJ80" i="12"/>
  <c r="BI28" i="12"/>
  <c r="AZ28" i="12"/>
  <c r="BL28" i="12" s="1"/>
  <c r="BC28" i="12"/>
  <c r="BF28" i="12"/>
  <c r="BN28" i="12" s="1"/>
  <c r="BA78" i="12"/>
  <c r="BD78" i="12"/>
  <c r="BG78" i="12"/>
  <c r="BJ78" i="12"/>
  <c r="BE47" i="12"/>
  <c r="BH47" i="12"/>
  <c r="BB47" i="12"/>
  <c r="AY47" i="12"/>
  <c r="BG39" i="12"/>
  <c r="BD39" i="12"/>
  <c r="BA39" i="12"/>
  <c r="BJ39" i="12"/>
  <c r="AY12" i="12"/>
  <c r="BH12" i="12"/>
  <c r="BB12" i="12"/>
  <c r="BE12" i="12"/>
  <c r="BN12" i="12" s="1"/>
  <c r="BD35" i="12"/>
  <c r="BG35" i="12"/>
  <c r="BA35" i="12"/>
  <c r="BJ35" i="12"/>
  <c r="BF93" i="12"/>
  <c r="BI93" i="12"/>
  <c r="BC93" i="12"/>
  <c r="AZ93" i="12"/>
  <c r="BA46" i="12"/>
  <c r="BD46" i="12"/>
  <c r="BM46" i="12" s="1"/>
  <c r="BG46" i="12"/>
  <c r="BJ46" i="12"/>
  <c r="BE56" i="12"/>
  <c r="BH56" i="12"/>
  <c r="BO56" i="12" s="1"/>
  <c r="BB56" i="12"/>
  <c r="AY56" i="12"/>
  <c r="BL56" i="12" s="1"/>
  <c r="BJ73" i="12"/>
  <c r="BA73" i="12"/>
  <c r="BD73" i="12"/>
  <c r="BG73" i="12"/>
  <c r="AY39" i="12"/>
  <c r="BB39" i="12"/>
  <c r="BE39" i="12"/>
  <c r="BN39" i="12" s="1"/>
  <c r="BH39" i="12"/>
  <c r="BO39" i="12" s="1"/>
  <c r="BJ67" i="12"/>
  <c r="BA67" i="12"/>
  <c r="BD67" i="12"/>
  <c r="BG67" i="12"/>
  <c r="BB92" i="12"/>
  <c r="BE92" i="12"/>
  <c r="BN92" i="12" s="1"/>
  <c r="BH92" i="12"/>
  <c r="AY92" i="12"/>
  <c r="AZ73" i="12"/>
  <c r="BC73" i="12"/>
  <c r="BF73" i="12"/>
  <c r="BI73" i="12"/>
  <c r="BE81" i="12"/>
  <c r="BH81" i="12"/>
  <c r="BB81" i="12"/>
  <c r="AY81" i="12"/>
  <c r="BH6" i="12"/>
  <c r="BE6" i="12"/>
  <c r="AY6" i="12"/>
  <c r="BB6" i="12"/>
  <c r="BI68" i="12"/>
  <c r="AZ68" i="12"/>
  <c r="BL68" i="12" s="1"/>
  <c r="BC68" i="12"/>
  <c r="BF68" i="12"/>
  <c r="BN68" i="12" s="1"/>
  <c r="BC27" i="12"/>
  <c r="BF27" i="12"/>
  <c r="AZ27" i="12"/>
  <c r="BI27" i="12"/>
  <c r="BH44" i="12"/>
  <c r="AY44" i="12"/>
  <c r="BL44" i="12" s="1"/>
  <c r="BB44" i="12"/>
  <c r="BE44" i="12"/>
  <c r="BN44" i="12" s="1"/>
  <c r="BJ49" i="12"/>
  <c r="BG49" i="12"/>
  <c r="BD49" i="12"/>
  <c r="BA49" i="12"/>
  <c r="BF92" i="12"/>
  <c r="BC92" i="12"/>
  <c r="BM92" i="12" s="1"/>
  <c r="BI92" i="12"/>
  <c r="AZ92" i="12"/>
  <c r="BL92" i="12" s="1"/>
  <c r="BJ54" i="12"/>
  <c r="BD54" i="12"/>
  <c r="BG54" i="12"/>
  <c r="BA54" i="12"/>
  <c r="AY93" i="12"/>
  <c r="BB93" i="12"/>
  <c r="BE93" i="12"/>
  <c r="BH93" i="12"/>
  <c r="BF47" i="12"/>
  <c r="BI47" i="12"/>
  <c r="AZ47" i="12"/>
  <c r="BC47" i="12"/>
  <c r="BG94" i="12"/>
  <c r="BA94" i="12"/>
  <c r="BD94" i="12"/>
  <c r="BJ94" i="12"/>
  <c r="BJ27" i="12"/>
  <c r="BD27" i="12"/>
  <c r="BG27" i="12"/>
  <c r="BA27" i="12"/>
  <c r="AY54" i="12"/>
  <c r="BE54" i="12"/>
  <c r="BH54" i="12"/>
  <c r="BB54" i="12"/>
  <c r="AI52" i="5"/>
  <c r="AI53" i="5"/>
  <c r="AI12" i="6"/>
  <c r="AI29" i="6"/>
  <c r="AI50" i="6"/>
  <c r="AI45" i="6"/>
  <c r="AI19" i="6"/>
  <c r="AI5" i="6"/>
  <c r="AI116" i="5"/>
  <c r="AI36" i="6"/>
  <c r="AI11" i="6"/>
  <c r="AI21" i="6"/>
  <c r="AI49" i="4"/>
  <c r="AI49" i="6"/>
  <c r="AI117" i="5"/>
  <c r="AI51" i="6"/>
  <c r="AI18" i="6"/>
  <c r="AI50" i="4"/>
  <c r="AI48" i="6"/>
  <c r="AI50" i="5"/>
  <c r="AI27" i="6"/>
  <c r="AI17" i="6"/>
  <c r="AI35" i="6"/>
  <c r="AI104" i="4"/>
  <c r="AI47" i="6"/>
  <c r="AI54" i="5"/>
  <c r="AI39" i="6"/>
  <c r="AI105" i="4"/>
  <c r="AI109" i="6"/>
  <c r="AI51" i="5"/>
  <c r="AI106" i="4"/>
  <c r="AI3" i="6"/>
  <c r="AI61" i="3"/>
  <c r="AI20" i="6"/>
  <c r="AI15" i="6"/>
  <c r="AI25" i="6"/>
  <c r="AI48" i="4"/>
  <c r="AI6" i="6"/>
  <c r="AI99" i="3"/>
  <c r="AI13" i="6"/>
  <c r="AI33" i="6"/>
  <c r="AI107" i="4"/>
  <c r="AI112" i="5"/>
  <c r="AI100" i="3"/>
  <c r="AI37" i="6"/>
  <c r="AI47" i="4"/>
  <c r="AI113" i="5"/>
  <c r="AI101" i="3"/>
  <c r="AI24" i="6"/>
  <c r="AI44" i="6"/>
  <c r="AI42" i="6"/>
  <c r="AI55" i="5"/>
  <c r="AI59" i="3"/>
  <c r="AI40" i="6"/>
  <c r="AI22" i="6"/>
  <c r="AI14" i="6"/>
  <c r="AI114" i="5"/>
  <c r="AI98" i="3"/>
  <c r="AI26" i="6"/>
  <c r="AI28" i="6"/>
  <c r="AI43" i="6"/>
  <c r="AI23" i="6"/>
  <c r="AI30" i="6"/>
  <c r="AI7" i="6"/>
  <c r="AI56" i="5"/>
  <c r="AI102" i="3"/>
  <c r="AI16" i="6"/>
  <c r="AI32" i="6"/>
  <c r="AI10" i="6"/>
  <c r="AI115" i="5"/>
  <c r="AI58" i="3"/>
  <c r="AI41" i="6"/>
  <c r="AI46" i="6"/>
  <c r="AI31" i="6"/>
  <c r="AI34" i="6"/>
  <c r="AI38" i="6"/>
  <c r="AI4" i="6"/>
  <c r="AI111" i="5"/>
  <c r="AI57" i="3"/>
  <c r="AI8" i="6"/>
  <c r="AY43" i="12"/>
  <c r="AI9" i="3"/>
  <c r="AI3" i="3"/>
  <c r="AI48" i="3"/>
  <c r="AI47" i="3"/>
  <c r="AI45" i="3"/>
  <c r="AI46" i="3"/>
  <c r="BD38" i="11"/>
  <c r="BD7" i="11"/>
  <c r="BD14" i="11"/>
  <c r="BD15" i="11"/>
  <c r="BD16" i="11"/>
  <c r="BD17" i="11"/>
  <c r="BD36" i="11"/>
  <c r="BD37" i="11"/>
  <c r="BD26" i="11"/>
  <c r="BD35" i="11"/>
  <c r="AI105" i="6"/>
  <c r="AI108" i="6"/>
  <c r="AI107" i="6"/>
  <c r="AI106" i="6"/>
  <c r="AI5" i="5"/>
  <c r="AI9" i="5"/>
  <c r="AI70" i="5"/>
  <c r="AI73" i="5"/>
  <c r="AI4" i="5"/>
  <c r="AI65" i="5"/>
  <c r="AI69" i="5"/>
  <c r="AI10" i="5"/>
  <c r="AI8" i="3"/>
  <c r="AI44" i="3"/>
  <c r="AI4" i="3"/>
  <c r="AI5" i="3"/>
  <c r="BJ88" i="12"/>
  <c r="BG88" i="12"/>
  <c r="AI68" i="6"/>
  <c r="AI63" i="6"/>
  <c r="AF6" i="4"/>
  <c r="AE6" i="4"/>
  <c r="AI72" i="4"/>
  <c r="AI69" i="4"/>
  <c r="AI60" i="4"/>
  <c r="AI9" i="4"/>
  <c r="AI103" i="4"/>
  <c r="AI3" i="4"/>
  <c r="AI4" i="4"/>
  <c r="AI46" i="4"/>
  <c r="AI44" i="4"/>
  <c r="AI10" i="4"/>
  <c r="AI11" i="4"/>
  <c r="AI8" i="4"/>
  <c r="AI13" i="4"/>
  <c r="AI65" i="4"/>
  <c r="AI68" i="4"/>
  <c r="AI71" i="4"/>
  <c r="AI102" i="4"/>
  <c r="AI67" i="4"/>
  <c r="AI7" i="5"/>
  <c r="AI12" i="5"/>
  <c r="AI11" i="5"/>
  <c r="AI67" i="5"/>
  <c r="AI6" i="5"/>
  <c r="AI8" i="5"/>
  <c r="AI48" i="5"/>
  <c r="AI64" i="5"/>
  <c r="AI68" i="5"/>
  <c r="AI110" i="5"/>
  <c r="AI72" i="5"/>
  <c r="AI66" i="5"/>
  <c r="AF6" i="3"/>
  <c r="AG6" i="3"/>
  <c r="AE6" i="3"/>
  <c r="H5" i="10" s="1"/>
  <c r="AI61" i="6"/>
  <c r="AI62" i="6"/>
  <c r="AI64" i="6"/>
  <c r="AI65" i="6"/>
  <c r="AI67" i="6"/>
  <c r="AI13" i="3"/>
  <c r="AI60" i="3"/>
  <c r="AI42" i="3"/>
  <c r="AI65" i="3"/>
  <c r="AI7" i="3"/>
  <c r="AI10" i="3"/>
  <c r="AI63" i="3"/>
  <c r="AI96" i="3"/>
  <c r="AI64" i="3"/>
  <c r="AI100" i="6"/>
  <c r="BK188" i="12"/>
  <c r="BK195" i="12"/>
  <c r="BD88" i="12"/>
  <c r="BK206" i="12"/>
  <c r="BK205" i="12"/>
  <c r="BK181" i="12"/>
  <c r="BH75" i="12"/>
  <c r="AY75" i="12"/>
  <c r="BF43" i="12"/>
  <c r="AY30" i="12"/>
  <c r="BF62" i="12"/>
  <c r="BC62" i="12"/>
  <c r="BJ30" i="12"/>
  <c r="BG30" i="12"/>
  <c r="BK194" i="12"/>
  <c r="BK185" i="12"/>
  <c r="BK199" i="12"/>
  <c r="BF55" i="12"/>
  <c r="BK161" i="12"/>
  <c r="BC55" i="12"/>
  <c r="BI55" i="12"/>
  <c r="AY84" i="12"/>
  <c r="BH84" i="12"/>
  <c r="BK148" i="12"/>
  <c r="BE84" i="12"/>
  <c r="BK197" i="12"/>
  <c r="BK200" i="12"/>
  <c r="BK209" i="12"/>
  <c r="BK182" i="12"/>
  <c r="BK138" i="12"/>
  <c r="BK146" i="12"/>
  <c r="BK187" i="12"/>
  <c r="BF75" i="12"/>
  <c r="BI75" i="12"/>
  <c r="BA75" i="12"/>
  <c r="AZ75" i="12"/>
  <c r="BJ75" i="12"/>
  <c r="BK135" i="12"/>
  <c r="BO83" i="12"/>
  <c r="BN87" i="12"/>
  <c r="BL87" i="12"/>
  <c r="BN56" i="12"/>
  <c r="BL94" i="12"/>
  <c r="BH30" i="12"/>
  <c r="BE30" i="12"/>
  <c r="BE75" i="12"/>
  <c r="BI43" i="12"/>
  <c r="BC43" i="12"/>
  <c r="BM43" i="12" s="1"/>
  <c r="BK165" i="12"/>
  <c r="BF84" i="12"/>
  <c r="BC70" i="12"/>
  <c r="BF70" i="12"/>
  <c r="BK156" i="12"/>
  <c r="BI70" i="12"/>
  <c r="AZ30" i="12"/>
  <c r="BK179" i="12"/>
  <c r="BI30" i="12"/>
  <c r="BK176" i="12"/>
  <c r="BK151" i="12"/>
  <c r="BK152" i="12"/>
  <c r="AZ95" i="12"/>
  <c r="BI95" i="12"/>
  <c r="BK153" i="12"/>
  <c r="BK183" i="12"/>
  <c r="BK130" i="12"/>
  <c r="BC42" i="12"/>
  <c r="AZ42" i="12"/>
  <c r="BF18" i="12"/>
  <c r="BC18" i="12"/>
  <c r="BK190" i="12"/>
  <c r="BK139" i="12"/>
  <c r="BA43" i="12"/>
  <c r="BL43" i="12" s="1"/>
  <c r="BK207" i="12"/>
  <c r="BK208" i="12"/>
  <c r="BK168" i="12"/>
  <c r="BK140" i="12"/>
  <c r="BK173" i="12"/>
  <c r="BK198" i="12"/>
  <c r="BG43" i="12"/>
  <c r="BK213" i="12"/>
  <c r="BK203" i="12"/>
  <c r="BJ43" i="12"/>
  <c r="BF95" i="12"/>
  <c r="BF30" i="12"/>
  <c r="BK162" i="12"/>
  <c r="BJ34" i="12"/>
  <c r="BA34" i="12"/>
  <c r="BD34" i="12"/>
  <c r="BG34" i="12"/>
  <c r="BB62" i="12"/>
  <c r="BE62" i="12"/>
  <c r="AY62" i="12"/>
  <c r="BG18" i="12"/>
  <c r="BJ18" i="12"/>
  <c r="BA18" i="12"/>
  <c r="BD18" i="12"/>
  <c r="BG96" i="12"/>
  <c r="BJ96" i="12"/>
  <c r="BA96" i="12"/>
  <c r="BD96" i="12"/>
  <c r="BB18" i="12"/>
  <c r="AY18" i="12"/>
  <c r="BE18" i="12"/>
  <c r="BH18" i="12"/>
  <c r="BA79" i="12"/>
  <c r="BA70" i="12"/>
  <c r="BH43" i="12"/>
  <c r="BJ79" i="12"/>
  <c r="BJ70" i="12"/>
  <c r="BI88" i="12"/>
  <c r="BK121" i="12"/>
  <c r="BF88" i="12"/>
  <c r="BC88" i="12"/>
  <c r="BK128" i="12"/>
  <c r="BD30" i="12"/>
  <c r="BM30" i="12" s="1"/>
  <c r="AZ62" i="12"/>
  <c r="BA58" i="12"/>
  <c r="BJ58" i="12"/>
  <c r="BK178" i="12"/>
  <c r="BG58" i="12"/>
  <c r="BK166" i="12"/>
  <c r="BI42" i="12"/>
  <c r="BK126" i="12"/>
  <c r="BF42" i="12"/>
  <c r="BB55" i="12"/>
  <c r="AY55" i="12"/>
  <c r="BK172" i="12"/>
  <c r="BE43" i="12"/>
  <c r="BG79" i="12"/>
  <c r="BG70" i="12"/>
  <c r="BH55" i="12"/>
  <c r="AY42" i="12"/>
  <c r="BB42" i="12"/>
  <c r="BE42" i="12"/>
  <c r="BH42" i="12"/>
  <c r="BH34" i="12"/>
  <c r="AY34" i="12"/>
  <c r="BB34" i="12"/>
  <c r="BE34" i="12"/>
  <c r="AZ58" i="12"/>
  <c r="BC58" i="12"/>
  <c r="BF58" i="12"/>
  <c r="BI58" i="12"/>
  <c r="BB70" i="12"/>
  <c r="BE70" i="12"/>
  <c r="BH70" i="12"/>
  <c r="AY70" i="12"/>
  <c r="BI34" i="12"/>
  <c r="AZ34" i="12"/>
  <c r="BC34" i="12"/>
  <c r="BF34" i="12"/>
  <c r="AY96" i="12"/>
  <c r="BH96" i="12"/>
  <c r="BB96" i="12"/>
  <c r="BE96" i="12"/>
  <c r="BD15" i="12"/>
  <c r="BG15" i="12"/>
  <c r="BJ15" i="12"/>
  <c r="BA15" i="12"/>
  <c r="BG55" i="12"/>
  <c r="BJ55" i="12"/>
  <c r="BA55" i="12"/>
  <c r="BD55" i="12"/>
  <c r="AZ96" i="12"/>
  <c r="BC96" i="12"/>
  <c r="BF96" i="12"/>
  <c r="BI96" i="12"/>
  <c r="BG95" i="12"/>
  <c r="BJ95" i="12"/>
  <c r="BA95" i="12"/>
  <c r="BD95" i="12"/>
  <c r="AZ79" i="12"/>
  <c r="BC79" i="12"/>
  <c r="BM79" i="12" s="1"/>
  <c r="BF79" i="12"/>
  <c r="BI79" i="12"/>
  <c r="AZ15" i="12"/>
  <c r="BC15" i="12"/>
  <c r="BF15" i="12"/>
  <c r="BI15" i="12"/>
  <c r="BG42" i="12"/>
  <c r="BJ42" i="12"/>
  <c r="BA42" i="12"/>
  <c r="BD42" i="12"/>
  <c r="BJ84" i="12"/>
  <c r="BA84" i="12"/>
  <c r="BD84" i="12"/>
  <c r="BM84" i="12" s="1"/>
  <c r="BG84" i="12"/>
  <c r="AZ84" i="12"/>
  <c r="BH79" i="12"/>
  <c r="BH62" i="12"/>
  <c r="BI84" i="12"/>
  <c r="BD89" i="12"/>
  <c r="BB95" i="12"/>
  <c r="BA89" i="12"/>
  <c r="AY95" i="12"/>
  <c r="AY79" i="12"/>
  <c r="BJ89" i="12"/>
  <c r="BH95" i="12"/>
  <c r="AZ18" i="12"/>
  <c r="BJ62" i="12"/>
  <c r="BE58" i="12"/>
  <c r="BI18" i="12"/>
  <c r="BG62" i="12"/>
  <c r="BB58" i="12"/>
  <c r="BD62" i="12"/>
  <c r="AY58" i="12"/>
  <c r="BE79" i="12"/>
  <c r="BC89" i="12"/>
  <c r="AY89" i="12"/>
  <c r="AZ89" i="12"/>
  <c r="BH89" i="12"/>
  <c r="BI89" i="12"/>
  <c r="BE89" i="12"/>
  <c r="BN89" i="12" s="1"/>
  <c r="BE88" i="12"/>
  <c r="BG75" i="12"/>
  <c r="AY88" i="12"/>
  <c r="BL88" i="12" s="1"/>
  <c r="BH88" i="12"/>
  <c r="BE15" i="12"/>
  <c r="BB15" i="12"/>
  <c r="AY15" i="12"/>
  <c r="BO68" i="12"/>
  <c r="BO77" i="12"/>
  <c r="BO26" i="12"/>
  <c r="BK136" i="12"/>
  <c r="BK210" i="12"/>
  <c r="BK196" i="12"/>
  <c r="BO46" i="12"/>
  <c r="BM13" i="12"/>
  <c r="BM75" i="12"/>
  <c r="BL98" i="12"/>
  <c r="BL46" i="12"/>
  <c r="BK180" i="12"/>
  <c r="BM14" i="12"/>
  <c r="BL80" i="12"/>
  <c r="BN66" i="12"/>
  <c r="BM66" i="12"/>
  <c r="BL66" i="12"/>
  <c r="BK157" i="12"/>
  <c r="BK143" i="12"/>
  <c r="BK184" i="12"/>
  <c r="BK149" i="12"/>
  <c r="BK158" i="12"/>
  <c r="BK202" i="12"/>
  <c r="BF82" i="12"/>
  <c r="BI82" i="12"/>
  <c r="AZ82" i="12"/>
  <c r="BC82" i="12"/>
  <c r="BB64" i="12"/>
  <c r="BE64" i="12"/>
  <c r="BH64" i="12"/>
  <c r="AY64" i="12"/>
  <c r="AY90" i="12"/>
  <c r="BB90" i="12"/>
  <c r="BE90" i="12"/>
  <c r="BH90" i="12"/>
  <c r="AZ50" i="12"/>
  <c r="BC50" i="12"/>
  <c r="BF50" i="12"/>
  <c r="BI50" i="12"/>
  <c r="BA63" i="12"/>
  <c r="BD63" i="12"/>
  <c r="BG63" i="12"/>
  <c r="BJ63" i="12"/>
  <c r="AY24" i="12"/>
  <c r="BB24" i="12"/>
  <c r="BE24" i="12"/>
  <c r="BN24" i="12" s="1"/>
  <c r="BH24" i="12"/>
  <c r="AZ57" i="12"/>
  <c r="BC57" i="12"/>
  <c r="BF57" i="12"/>
  <c r="BI57" i="12"/>
  <c r="BA97" i="12"/>
  <c r="BD97" i="12"/>
  <c r="BG97" i="12"/>
  <c r="BJ97" i="12"/>
  <c r="BH50" i="12"/>
  <c r="AY50" i="12"/>
  <c r="BE50" i="12"/>
  <c r="BB50" i="12"/>
  <c r="BA64" i="12"/>
  <c r="BD64" i="12"/>
  <c r="BJ64" i="12"/>
  <c r="BG64" i="12"/>
  <c r="BF64" i="12"/>
  <c r="BI64" i="12"/>
  <c r="AZ64" i="12"/>
  <c r="BC64" i="12"/>
  <c r="BI97" i="12"/>
  <c r="AZ97" i="12"/>
  <c r="BC97" i="12"/>
  <c r="BF97" i="12"/>
  <c r="BI63" i="12"/>
  <c r="AZ63" i="12"/>
  <c r="BC63" i="12"/>
  <c r="BF63" i="12"/>
  <c r="BE97" i="12"/>
  <c r="BB97" i="12"/>
  <c r="BH97" i="12"/>
  <c r="AY97" i="12"/>
  <c r="BA50" i="12"/>
  <c r="BD50" i="12"/>
  <c r="BG50" i="12"/>
  <c r="BJ50" i="12"/>
  <c r="BI65" i="12"/>
  <c r="BF65" i="12"/>
  <c r="AZ65" i="12"/>
  <c r="BC65" i="12"/>
  <c r="BA81" i="12"/>
  <c r="BD81" i="12"/>
  <c r="BG81" i="12"/>
  <c r="BJ81" i="12"/>
  <c r="BJ82" i="12"/>
  <c r="BA82" i="12"/>
  <c r="BD82" i="12"/>
  <c r="BG82" i="12"/>
  <c r="BB65" i="12"/>
  <c r="BE65" i="12"/>
  <c r="BH65" i="12"/>
  <c r="AY65" i="12"/>
  <c r="AY27" i="12"/>
  <c r="BB27" i="12"/>
  <c r="BE27" i="12"/>
  <c r="BH27" i="12"/>
  <c r="BK211" i="12"/>
  <c r="BK119" i="12"/>
  <c r="BK170" i="12"/>
  <c r="BK171" i="12"/>
  <c r="BK142" i="12"/>
  <c r="BJ76" i="12"/>
  <c r="BO76" i="12" s="1"/>
  <c r="BG76" i="12"/>
  <c r="BN76" i="12" s="1"/>
  <c r="BD76" i="12"/>
  <c r="BA76" i="12"/>
  <c r="BL76" i="12" s="1"/>
  <c r="BC67" i="12"/>
  <c r="AZ67" i="12"/>
  <c r="BI67" i="12"/>
  <c r="BF67" i="12"/>
  <c r="BH67" i="12"/>
  <c r="AY67" i="12"/>
  <c r="BE67" i="12"/>
  <c r="BB67" i="12"/>
  <c r="BD60" i="12"/>
  <c r="BJ60" i="12"/>
  <c r="BA60" i="12"/>
  <c r="BG60" i="12"/>
  <c r="AZ60" i="12"/>
  <c r="BF60" i="12"/>
  <c r="BI60" i="12"/>
  <c r="BC60" i="12"/>
  <c r="BH60" i="12"/>
  <c r="AY60" i="12"/>
  <c r="BB60" i="12"/>
  <c r="BE60" i="12"/>
  <c r="BG53" i="12"/>
  <c r="BA53" i="12"/>
  <c r="BJ53" i="12"/>
  <c r="BD53" i="12"/>
  <c r="BI53" i="12"/>
  <c r="AZ53" i="12"/>
  <c r="BC53" i="12"/>
  <c r="BF53" i="12"/>
  <c r="BB53" i="12"/>
  <c r="BE53" i="12"/>
  <c r="BH53" i="12"/>
  <c r="AY53" i="12"/>
  <c r="BJ33" i="12"/>
  <c r="BO33" i="12" s="1"/>
  <c r="BA33" i="12"/>
  <c r="BL33" i="12" s="1"/>
  <c r="BG33" i="12"/>
  <c r="BN33" i="12" s="1"/>
  <c r="BD33" i="12"/>
  <c r="BC54" i="12"/>
  <c r="AZ54" i="12"/>
  <c r="BF54" i="12"/>
  <c r="BI54" i="12"/>
  <c r="BH72" i="12"/>
  <c r="BO72" i="12" s="1"/>
  <c r="BE72" i="12"/>
  <c r="BB72" i="12"/>
  <c r="AY72" i="12"/>
  <c r="BL72" i="12" s="1"/>
  <c r="BK204" i="12"/>
  <c r="BK150" i="12"/>
  <c r="BK120" i="12"/>
  <c r="BK192" i="12"/>
  <c r="BL39" i="12"/>
  <c r="BK167" i="12"/>
  <c r="BL32" i="12"/>
  <c r="BM22" i="12"/>
  <c r="BO6" i="12"/>
  <c r="BK174" i="12"/>
  <c r="BK212" i="12"/>
  <c r="BK177" i="12"/>
  <c r="BK189" i="12"/>
  <c r="BK163" i="12"/>
  <c r="BL45" i="12"/>
  <c r="BN41" i="12"/>
  <c r="BK201" i="12"/>
  <c r="BK155" i="12"/>
  <c r="BK159" i="12"/>
  <c r="BK175" i="12"/>
  <c r="BK193" i="12"/>
  <c r="BK186" i="12"/>
  <c r="BK169" i="12"/>
  <c r="BK145" i="12"/>
  <c r="BK164" i="12"/>
  <c r="BK191" i="12"/>
  <c r="BK129" i="12"/>
  <c r="BK160" i="12"/>
  <c r="BK147" i="12"/>
  <c r="BK144" i="12"/>
  <c r="Q28" i="10"/>
  <c r="Q5" i="10"/>
  <c r="AI11" i="3"/>
  <c r="AI40" i="5"/>
  <c r="AI103" i="5"/>
  <c r="AI66" i="6"/>
  <c r="AI67" i="3"/>
  <c r="AI99" i="6"/>
  <c r="BD6" i="11"/>
  <c r="BD10" i="11"/>
  <c r="BD31" i="11"/>
  <c r="BD13" i="11"/>
  <c r="BD30" i="11"/>
  <c r="BD28" i="11"/>
  <c r="BD8" i="11"/>
  <c r="BD24" i="11"/>
  <c r="BD12" i="11"/>
  <c r="BD33" i="11"/>
  <c r="BD3" i="11"/>
  <c r="BD32" i="11"/>
  <c r="BD11" i="11"/>
  <c r="BD9" i="11"/>
  <c r="BD29" i="11"/>
  <c r="BD4" i="11"/>
  <c r="BD25" i="11"/>
  <c r="BD27" i="11"/>
  <c r="BD5" i="11"/>
  <c r="AE9" i="6"/>
  <c r="AI9" i="6" s="1"/>
  <c r="AF11" i="6"/>
  <c r="AE13" i="5"/>
  <c r="Q12" i="10" s="1"/>
  <c r="AF24" i="5"/>
  <c r="AG24" i="5"/>
  <c r="AG13" i="5"/>
  <c r="AG6" i="4"/>
  <c r="AE18" i="3"/>
  <c r="AI18" i="3" s="1"/>
  <c r="AI38" i="5"/>
  <c r="AI106" i="5"/>
  <c r="AI98" i="5"/>
  <c r="AI78" i="6"/>
  <c r="AI88" i="6"/>
  <c r="AI43" i="5"/>
  <c r="AI39" i="3"/>
  <c r="AI25" i="3"/>
  <c r="AI76" i="3"/>
  <c r="AI93" i="3"/>
  <c r="AI40" i="4"/>
  <c r="AI83" i="4"/>
  <c r="AI43" i="3"/>
  <c r="AI97" i="3"/>
  <c r="AI81" i="3"/>
  <c r="AI19" i="3"/>
  <c r="AI68" i="3"/>
  <c r="AI86" i="3"/>
  <c r="AI74" i="3"/>
  <c r="AI94" i="3"/>
  <c r="AI75" i="3"/>
  <c r="AI84" i="3"/>
  <c r="AI91" i="3"/>
  <c r="AI95" i="3"/>
  <c r="AI69" i="3"/>
  <c r="AI90" i="3"/>
  <c r="AI77" i="3"/>
  <c r="AI85" i="3"/>
  <c r="AI88" i="3"/>
  <c r="AI73" i="3"/>
  <c r="AI62" i="3"/>
  <c r="AI70" i="3"/>
  <c r="AI83" i="3"/>
  <c r="AI78" i="3"/>
  <c r="AI71" i="3"/>
  <c r="AI87" i="3"/>
  <c r="AI89" i="3"/>
  <c r="AI66" i="3"/>
  <c r="AI72" i="3"/>
  <c r="AI80" i="3"/>
  <c r="AI82" i="3"/>
  <c r="AI92" i="3"/>
  <c r="AI81" i="5"/>
  <c r="AI30" i="4"/>
  <c r="AI86" i="4"/>
  <c r="AI77" i="4"/>
  <c r="AI45" i="4"/>
  <c r="AI20" i="4"/>
  <c r="AI41" i="4"/>
  <c r="AI98" i="4"/>
  <c r="AI81" i="4"/>
  <c r="AI21" i="4"/>
  <c r="AI25" i="4"/>
  <c r="AI38" i="4"/>
  <c r="AI16" i="5"/>
  <c r="AI87" i="6"/>
  <c r="AI97" i="6"/>
  <c r="AI93" i="6"/>
  <c r="AI80" i="6"/>
  <c r="AI72" i="6"/>
  <c r="AI94" i="6"/>
  <c r="AI69" i="6"/>
  <c r="AI36" i="5"/>
  <c r="AI5" i="4"/>
  <c r="AI80" i="4"/>
  <c r="AI36" i="4"/>
  <c r="AI89" i="4"/>
  <c r="AI101" i="4"/>
  <c r="AI85" i="4"/>
  <c r="AI62" i="4"/>
  <c r="AI31" i="4"/>
  <c r="AI26" i="4"/>
  <c r="AI24" i="3"/>
  <c r="AI22" i="3"/>
  <c r="AI103" i="6"/>
  <c r="AI85" i="6"/>
  <c r="AI101" i="6"/>
  <c r="AI81" i="6"/>
  <c r="AI82" i="6"/>
  <c r="AI96" i="6"/>
  <c r="AI91" i="6"/>
  <c r="AI71" i="6"/>
  <c r="AI102" i="6"/>
  <c r="AI104" i="6"/>
  <c r="AI84" i="6"/>
  <c r="AI98" i="6"/>
  <c r="AI86" i="6"/>
  <c r="AI95" i="6"/>
  <c r="AI90" i="6"/>
  <c r="AI76" i="6"/>
  <c r="AI77" i="6"/>
  <c r="AI70" i="6"/>
  <c r="AI74" i="6"/>
  <c r="AI79" i="6"/>
  <c r="AI83" i="6"/>
  <c r="AI89" i="6"/>
  <c r="AI73" i="6"/>
  <c r="AI75" i="6"/>
  <c r="AI14" i="5"/>
  <c r="AI46" i="5"/>
  <c r="AI26" i="5"/>
  <c r="AI44" i="5"/>
  <c r="AI85" i="5"/>
  <c r="AI79" i="5"/>
  <c r="AI83" i="5"/>
  <c r="AI74" i="5"/>
  <c r="AI37" i="5"/>
  <c r="AI34" i="5"/>
  <c r="AI91" i="5"/>
  <c r="AI27" i="5"/>
  <c r="AI102" i="5"/>
  <c r="AI49" i="5"/>
  <c r="AI77" i="5"/>
  <c r="AI15" i="5"/>
  <c r="AI31" i="5"/>
  <c r="AI42" i="5"/>
  <c r="AI29" i="5"/>
  <c r="AI47" i="5"/>
  <c r="AI75" i="5"/>
  <c r="AI28" i="5"/>
  <c r="AI99" i="5"/>
  <c r="AI3" i="5"/>
  <c r="AI88" i="5"/>
  <c r="AI86" i="5"/>
  <c r="AI101" i="5"/>
  <c r="AI84" i="5"/>
  <c r="AI35" i="5"/>
  <c r="AI108" i="5"/>
  <c r="AI39" i="5"/>
  <c r="AI25" i="5"/>
  <c r="AI96" i="5"/>
  <c r="AI78" i="5"/>
  <c r="AI90" i="5"/>
  <c r="AI107" i="5"/>
  <c r="AI71" i="5"/>
  <c r="AI104" i="5"/>
  <c r="AI92" i="5"/>
  <c r="AI30" i="5"/>
  <c r="AI87" i="5"/>
  <c r="AI17" i="5"/>
  <c r="AI45" i="5"/>
  <c r="AI33" i="5"/>
  <c r="AI93" i="5"/>
  <c r="AI89" i="5"/>
  <c r="AI100" i="5"/>
  <c r="AI22" i="5"/>
  <c r="AI21" i="5"/>
  <c r="AI97" i="5"/>
  <c r="AI23" i="5"/>
  <c r="AI20" i="5"/>
  <c r="AI41" i="5"/>
  <c r="AI95" i="5"/>
  <c r="AI76" i="5"/>
  <c r="AI19" i="5"/>
  <c r="AI82" i="5"/>
  <c r="AI105" i="5"/>
  <c r="AI18" i="5"/>
  <c r="AI32" i="5"/>
  <c r="AI109" i="5"/>
  <c r="AI80" i="5"/>
  <c r="AI43" i="4"/>
  <c r="AI24" i="4"/>
  <c r="AI82" i="4"/>
  <c r="AI23" i="4"/>
  <c r="AI22" i="4"/>
  <c r="AI93" i="4"/>
  <c r="AI34" i="4"/>
  <c r="AI15" i="4"/>
  <c r="AI91" i="4"/>
  <c r="AI42" i="4"/>
  <c r="AI35" i="4"/>
  <c r="AI97" i="4"/>
  <c r="AI78" i="4"/>
  <c r="AI70" i="4"/>
  <c r="AI100" i="4"/>
  <c r="AI39" i="4"/>
  <c r="AI75" i="4"/>
  <c r="AI66" i="4"/>
  <c r="AI92" i="4"/>
  <c r="AI33" i="4"/>
  <c r="AI63" i="4"/>
  <c r="AI84" i="4"/>
  <c r="AI79" i="4"/>
  <c r="AI74" i="4"/>
  <c r="AI37" i="4"/>
  <c r="AI14" i="4"/>
  <c r="AI94" i="4"/>
  <c r="AI96" i="4"/>
  <c r="AI99" i="4"/>
  <c r="AI32" i="4"/>
  <c r="AI87" i="4"/>
  <c r="AI29" i="4"/>
  <c r="AI61" i="4"/>
  <c r="AI64" i="4"/>
  <c r="AI19" i="4"/>
  <c r="AI28" i="4"/>
  <c r="AI76" i="4"/>
  <c r="AI90" i="4"/>
  <c r="AI88" i="4"/>
  <c r="AI27" i="4"/>
  <c r="AI17" i="4"/>
  <c r="AI16" i="4"/>
  <c r="AI18" i="4"/>
  <c r="AI7" i="4"/>
  <c r="AI73" i="4"/>
  <c r="AI32" i="3"/>
  <c r="AI31" i="3"/>
  <c r="AI29" i="3"/>
  <c r="AI30" i="3"/>
  <c r="AI16" i="3"/>
  <c r="AI28" i="3"/>
  <c r="AI14" i="3"/>
  <c r="AI26" i="3"/>
  <c r="AI17" i="3"/>
  <c r="AI35" i="3"/>
  <c r="AI33" i="3"/>
  <c r="AI23" i="3"/>
  <c r="AI40" i="3"/>
  <c r="AI15" i="3"/>
  <c r="AI37" i="3"/>
  <c r="AI20" i="3"/>
  <c r="AI38" i="3"/>
  <c r="AI34" i="3"/>
  <c r="AI41" i="3"/>
  <c r="AI36" i="3"/>
  <c r="AI27" i="3"/>
  <c r="B8" i="8"/>
  <c r="B22" i="8" s="1"/>
  <c r="B16" i="8"/>
  <c r="BL85" i="12" l="1"/>
  <c r="BM76" i="12"/>
  <c r="BM72" i="12"/>
  <c r="BN72" i="12"/>
  <c r="BN46" i="12"/>
  <c r="BM56" i="12"/>
  <c r="BM26" i="12"/>
  <c r="BL41" i="12"/>
  <c r="BN69" i="12"/>
  <c r="BL78" i="12"/>
  <c r="BN59" i="12"/>
  <c r="BN29" i="12"/>
  <c r="BL14" i="12"/>
  <c r="BL77" i="12"/>
  <c r="BL26" i="12"/>
  <c r="BM11" i="12"/>
  <c r="BL10" i="12"/>
  <c r="BN26" i="12"/>
  <c r="BO73" i="12"/>
  <c r="BM37" i="12"/>
  <c r="BO36" i="12"/>
  <c r="BO45" i="12"/>
  <c r="BO85" i="12"/>
  <c r="BN22" i="12"/>
  <c r="BN91" i="12"/>
  <c r="BO71" i="12"/>
  <c r="BL35" i="12"/>
  <c r="BO37" i="12"/>
  <c r="BN45" i="12"/>
  <c r="BO22" i="12"/>
  <c r="BN71" i="12"/>
  <c r="D21" i="10"/>
  <c r="D28" i="10"/>
  <c r="H28" i="10" s="1"/>
  <c r="F28" i="10"/>
  <c r="F21" i="10"/>
  <c r="E21" i="10"/>
  <c r="E28" i="10"/>
  <c r="BM47" i="12"/>
  <c r="BM99" i="12"/>
  <c r="BN98" i="12"/>
  <c r="BN94" i="12"/>
  <c r="BM83" i="12"/>
  <c r="BN99" i="12"/>
  <c r="BM32" i="12"/>
  <c r="BM41" i="12"/>
  <c r="BM19" i="12"/>
  <c r="BN86" i="12"/>
  <c r="BM33" i="12"/>
  <c r="BK33" i="12" s="1"/>
  <c r="BL73" i="12"/>
  <c r="BO54" i="12"/>
  <c r="BM93" i="12"/>
  <c r="BL29" i="12"/>
  <c r="BN78" i="12"/>
  <c r="BO13" i="12"/>
  <c r="BN61" i="12"/>
  <c r="BO90" i="12"/>
  <c r="BL19" i="12"/>
  <c r="BO49" i="12"/>
  <c r="BM40" i="12"/>
  <c r="BO51" i="12"/>
  <c r="BL6" i="12"/>
  <c r="BM80" i="12"/>
  <c r="BM74" i="12"/>
  <c r="BM90" i="12"/>
  <c r="BL90" i="12"/>
  <c r="BM24" i="12"/>
  <c r="BM51" i="12"/>
  <c r="BO86" i="12"/>
  <c r="BL93" i="12"/>
  <c r="BN73" i="12"/>
  <c r="BN36" i="12"/>
  <c r="BL69" i="12"/>
  <c r="BO40" i="12"/>
  <c r="BM91" i="12"/>
  <c r="BN47" i="12"/>
  <c r="BN6" i="12"/>
  <c r="BO52" i="12"/>
  <c r="BM12" i="12"/>
  <c r="BO80" i="12"/>
  <c r="BO74" i="12"/>
  <c r="BM73" i="12"/>
  <c r="BL36" i="12"/>
  <c r="BN19" i="12"/>
  <c r="BM52" i="12"/>
  <c r="BL40" i="12"/>
  <c r="BO29" i="12"/>
  <c r="BL91" i="12"/>
  <c r="BM27" i="12"/>
  <c r="BM57" i="12"/>
  <c r="BO28" i="12"/>
  <c r="BM87" i="12"/>
  <c r="BO57" i="12"/>
  <c r="BM35" i="12"/>
  <c r="BO92" i="12"/>
  <c r="BK92" i="12" s="1"/>
  <c r="BL37" i="12"/>
  <c r="BK37" i="12" s="1"/>
  <c r="BM28" i="12"/>
  <c r="BK28" i="12" s="1"/>
  <c r="BL61" i="12"/>
  <c r="BL86" i="12"/>
  <c r="BM45" i="12"/>
  <c r="BM68" i="12"/>
  <c r="BK68" i="12" s="1"/>
  <c r="BN11" i="12"/>
  <c r="BM85" i="12"/>
  <c r="BO12" i="12"/>
  <c r="BO87" i="12"/>
  <c r="BM39" i="12"/>
  <c r="BO47" i="12"/>
  <c r="W13" i="10"/>
  <c r="Y13" i="10"/>
  <c r="BL74" i="12"/>
  <c r="BO14" i="12"/>
  <c r="BN77" i="12"/>
  <c r="BM98" i="12"/>
  <c r="BM94" i="12"/>
  <c r="BL11" i="12"/>
  <c r="Y9" i="10"/>
  <c r="W9" i="10"/>
  <c r="BL59" i="12"/>
  <c r="BN93" i="12"/>
  <c r="BN85" i="12"/>
  <c r="BM36" i="12"/>
  <c r="BN49" i="12"/>
  <c r="W8" i="10"/>
  <c r="Y8" i="10"/>
  <c r="BN40" i="12"/>
  <c r="BK40" i="12" s="1"/>
  <c r="BO91" i="12"/>
  <c r="BK91" i="12" s="1"/>
  <c r="BM71" i="12"/>
  <c r="BK71" i="12" s="1"/>
  <c r="BM6" i="12"/>
  <c r="BL12" i="12"/>
  <c r="BN80" i="12"/>
  <c r="W16" i="10"/>
  <c r="Y16" i="10"/>
  <c r="Y4" i="10"/>
  <c r="W4" i="10"/>
  <c r="Y14" i="10"/>
  <c r="W14" i="10"/>
  <c r="W6" i="10"/>
  <c r="Y6" i="10"/>
  <c r="Y10" i="10"/>
  <c r="W10" i="10"/>
  <c r="Y18" i="10"/>
  <c r="W18" i="10"/>
  <c r="Y5" i="10"/>
  <c r="W5" i="10"/>
  <c r="Y12" i="10"/>
  <c r="W12" i="10"/>
  <c r="Y17" i="10"/>
  <c r="W17" i="10"/>
  <c r="BL49" i="12"/>
  <c r="BM69" i="12"/>
  <c r="BO78" i="12"/>
  <c r="BM59" i="12"/>
  <c r="BN51" i="12"/>
  <c r="BL27" i="12"/>
  <c r="BN57" i="12"/>
  <c r="BO27" i="12"/>
  <c r="BO19" i="12"/>
  <c r="BN74" i="12"/>
  <c r="BO69" i="12"/>
  <c r="BN10" i="12"/>
  <c r="BL51" i="12"/>
  <c r="BL54" i="12"/>
  <c r="BN27" i="12"/>
  <c r="BN13" i="12"/>
  <c r="BM29" i="12"/>
  <c r="BK29" i="12" s="1"/>
  <c r="BO35" i="12"/>
  <c r="BM44" i="12"/>
  <c r="BM10" i="12"/>
  <c r="BL83" i="12"/>
  <c r="BM61" i="12"/>
  <c r="BL99" i="12"/>
  <c r="BO32" i="12"/>
  <c r="BO93" i="12"/>
  <c r="BL47" i="12"/>
  <c r="BM49" i="12"/>
  <c r="BM78" i="12"/>
  <c r="BO59" i="12"/>
  <c r="BN14" i="12"/>
  <c r="BM77" i="12"/>
  <c r="BL13" i="12"/>
  <c r="BN35" i="12"/>
  <c r="BO44" i="12"/>
  <c r="BO98" i="12"/>
  <c r="BO94" i="12"/>
  <c r="BO10" i="12"/>
  <c r="BN83" i="12"/>
  <c r="BO11" i="12"/>
  <c r="BO61" i="12"/>
  <c r="BO99" i="12"/>
  <c r="BN32" i="12"/>
  <c r="BN90" i="12"/>
  <c r="BL57" i="12"/>
  <c r="BO24" i="12"/>
  <c r="BL24" i="12"/>
  <c r="BO81" i="12"/>
  <c r="BN81" i="12"/>
  <c r="BM81" i="12"/>
  <c r="BL81" i="12"/>
  <c r="BN54" i="12"/>
  <c r="BM54" i="12"/>
  <c r="AI6" i="4"/>
  <c r="AI6" i="3"/>
  <c r="D13" i="10"/>
  <c r="Q21" i="10"/>
  <c r="O29" i="10"/>
  <c r="BM88" i="12"/>
  <c r="BL30" i="12"/>
  <c r="AI13" i="5"/>
  <c r="BN55" i="12"/>
  <c r="BL75" i="12"/>
  <c r="BM58" i="12"/>
  <c r="BO88" i="12"/>
  <c r="BN75" i="12"/>
  <c r="BO75" i="12"/>
  <c r="BN62" i="12"/>
  <c r="BN30" i="12"/>
  <c r="BO30" i="12"/>
  <c r="BK87" i="12"/>
  <c r="BK56" i="12"/>
  <c r="BN70" i="12"/>
  <c r="BM70" i="12"/>
  <c r="BN84" i="12"/>
  <c r="BM34" i="12"/>
  <c r="BN43" i="12"/>
  <c r="BO96" i="12"/>
  <c r="BN95" i="12"/>
  <c r="BO34" i="12"/>
  <c r="BO18" i="12"/>
  <c r="BL18" i="12"/>
  <c r="BN18" i="12"/>
  <c r="BO95" i="12"/>
  <c r="BL58" i="12"/>
  <c r="BO84" i="12"/>
  <c r="BO58" i="12"/>
  <c r="BM62" i="12"/>
  <c r="BO62" i="12"/>
  <c r="BN58" i="12"/>
  <c r="BL84" i="12"/>
  <c r="BN34" i="12"/>
  <c r="BO43" i="12"/>
  <c r="BN88" i="12"/>
  <c r="BO89" i="12"/>
  <c r="BO42" i="12"/>
  <c r="BM96" i="12"/>
  <c r="BL34" i="12"/>
  <c r="BM42" i="12"/>
  <c r="BM18" i="12"/>
  <c r="BN42" i="12"/>
  <c r="BL96" i="12"/>
  <c r="BL42" i="12"/>
  <c r="BL62" i="12"/>
  <c r="BL15" i="12"/>
  <c r="BN79" i="12"/>
  <c r="BL95" i="12"/>
  <c r="BO15" i="12"/>
  <c r="BM55" i="12"/>
  <c r="BL70" i="12"/>
  <c r="BM15" i="12"/>
  <c r="BO70" i="12"/>
  <c r="BN15" i="12"/>
  <c r="BM95" i="12"/>
  <c r="BN96" i="12"/>
  <c r="BL89" i="12"/>
  <c r="BL55" i="12"/>
  <c r="BO55" i="12"/>
  <c r="BM89" i="12"/>
  <c r="BO79" i="12"/>
  <c r="BL79" i="12"/>
  <c r="BK26" i="12"/>
  <c r="BK46" i="12"/>
  <c r="BK66" i="12"/>
  <c r="BL65" i="12"/>
  <c r="BK22" i="12"/>
  <c r="BK41" i="12"/>
  <c r="BK39" i="12"/>
  <c r="BN82" i="12"/>
  <c r="BN65" i="12"/>
  <c r="BM65" i="12"/>
  <c r="BK72" i="12"/>
  <c r="BM82" i="12"/>
  <c r="BO64" i="12"/>
  <c r="BL63" i="12"/>
  <c r="BN64" i="12"/>
  <c r="BO63" i="12"/>
  <c r="BL50" i="12"/>
  <c r="BM64" i="12"/>
  <c r="BM67" i="12"/>
  <c r="BN63" i="12"/>
  <c r="BL64" i="12"/>
  <c r="BM63" i="12"/>
  <c r="BO82" i="12"/>
  <c r="BO65" i="12"/>
  <c r="BM53" i="12"/>
  <c r="BN67" i="12"/>
  <c r="BN97" i="12"/>
  <c r="BN50" i="12"/>
  <c r="BK76" i="12"/>
  <c r="BL82" i="12"/>
  <c r="BL60" i="12"/>
  <c r="BL53" i="12"/>
  <c r="BO67" i="12"/>
  <c r="BO97" i="12"/>
  <c r="BM97" i="12"/>
  <c r="BL67" i="12"/>
  <c r="BL97" i="12"/>
  <c r="BO50" i="12"/>
  <c r="BN60" i="12"/>
  <c r="BM50" i="12"/>
  <c r="BM60" i="12"/>
  <c r="BO53" i="12"/>
  <c r="BO60" i="12"/>
  <c r="BN53" i="12"/>
  <c r="M22" i="10"/>
  <c r="O13" i="10"/>
  <c r="O6" i="10"/>
  <c r="N22" i="10"/>
  <c r="M29" i="10"/>
  <c r="AI24" i="5"/>
  <c r="AI12" i="4"/>
  <c r="AI12" i="3"/>
  <c r="P13" i="10"/>
  <c r="AI21" i="3"/>
  <c r="N13" i="10"/>
  <c r="P6" i="10"/>
  <c r="N6" i="10"/>
  <c r="M13" i="10"/>
  <c r="G6" i="10"/>
  <c r="P29" i="10"/>
  <c r="N29" i="10"/>
  <c r="M6" i="10"/>
  <c r="G13" i="10"/>
  <c r="B9" i="8"/>
  <c r="B23" i="8" s="1"/>
  <c r="B17" i="8"/>
  <c r="Y15" i="10" l="1"/>
  <c r="X6" i="10"/>
  <c r="BK6" i="12"/>
  <c r="X14" i="10"/>
  <c r="BK45" i="12"/>
  <c r="X9" i="10"/>
  <c r="X5" i="10"/>
  <c r="BK19" i="12"/>
  <c r="BK77" i="12"/>
  <c r="BK86" i="12"/>
  <c r="BK14" i="12"/>
  <c r="BK73" i="12"/>
  <c r="BK74" i="12"/>
  <c r="BK80" i="12"/>
  <c r="BK83" i="12"/>
  <c r="Y11" i="10"/>
  <c r="BK90" i="12"/>
  <c r="BK94" i="12"/>
  <c r="BK69" i="12"/>
  <c r="W7" i="10"/>
  <c r="Y7" i="10"/>
  <c r="BK52" i="12"/>
  <c r="X17" i="10"/>
  <c r="BK13" i="12"/>
  <c r="BK24" i="12"/>
  <c r="X12" i="10"/>
  <c r="BK36" i="12"/>
  <c r="BK12" i="12"/>
  <c r="BK98" i="12"/>
  <c r="BK85" i="12"/>
  <c r="BK44" i="12"/>
  <c r="X16" i="10"/>
  <c r="Y19" i="10"/>
  <c r="W15" i="10"/>
  <c r="X15" i="10" s="1"/>
  <c r="BK35" i="12"/>
  <c r="BK11" i="12"/>
  <c r="X10" i="10"/>
  <c r="W11" i="10"/>
  <c r="BK47" i="12"/>
  <c r="X8" i="10"/>
  <c r="BK93" i="12"/>
  <c r="X4" i="10"/>
  <c r="BK27" i="12"/>
  <c r="W19" i="10"/>
  <c r="BK51" i="12"/>
  <c r="X13" i="10"/>
  <c r="BK32" i="12"/>
  <c r="X18" i="10"/>
  <c r="BK54" i="12"/>
  <c r="BK59" i="12"/>
  <c r="BK57" i="12"/>
  <c r="BK78" i="12"/>
  <c r="BK10" i="12"/>
  <c r="BK49" i="12"/>
  <c r="BK61" i="12"/>
  <c r="BK99" i="12"/>
  <c r="BK81" i="12"/>
  <c r="H12" i="10"/>
  <c r="H6" i="10" s="1"/>
  <c r="E13" i="10"/>
  <c r="E6" i="10"/>
  <c r="D6" i="10"/>
  <c r="D29" i="10"/>
  <c r="D22" i="10"/>
  <c r="P22" i="10"/>
  <c r="O22" i="10"/>
  <c r="G22" i="10"/>
  <c r="H21" i="10"/>
  <c r="H29" i="10" s="1"/>
  <c r="G29" i="10"/>
  <c r="BK88" i="12"/>
  <c r="BK75" i="12"/>
  <c r="BK30" i="12"/>
  <c r="BK43" i="12"/>
  <c r="BK18" i="12"/>
  <c r="BK34" i="12"/>
  <c r="BK58" i="12"/>
  <c r="BK62" i="12"/>
  <c r="BK79" i="12"/>
  <c r="BK84" i="12"/>
  <c r="BK70" i="12"/>
  <c r="BK55" i="12"/>
  <c r="BK95" i="12"/>
  <c r="BK15" i="12"/>
  <c r="BK42" i="12"/>
  <c r="BK96" i="12"/>
  <c r="BK89" i="12"/>
  <c r="BK65" i="12"/>
  <c r="BK64" i="12"/>
  <c r="BK82" i="12"/>
  <c r="BK63" i="12"/>
  <c r="BK50" i="12"/>
  <c r="BK97" i="12"/>
  <c r="BK67" i="12"/>
  <c r="BK60" i="12"/>
  <c r="BK53" i="12"/>
  <c r="F6" i="10"/>
  <c r="F13" i="10"/>
  <c r="Q29" i="10"/>
  <c r="Q22" i="10"/>
  <c r="Q13" i="10"/>
  <c r="Q6" i="10"/>
  <c r="B10" i="8"/>
  <c r="B24" i="8" s="1"/>
  <c r="B18" i="8"/>
  <c r="B11" i="8" s="1"/>
  <c r="B25" i="8" s="1"/>
  <c r="AC5" i="4"/>
  <c r="AD5" i="4"/>
  <c r="Y20" i="10" l="1"/>
  <c r="X11" i="10"/>
  <c r="X7" i="10"/>
  <c r="X19" i="10"/>
  <c r="W20" i="10"/>
  <c r="X20" i="10" s="1"/>
  <c r="H13" i="10"/>
  <c r="H22" i="10"/>
  <c r="AG5" i="4"/>
  <c r="AF5" i="4"/>
  <c r="E29" i="10" l="1"/>
  <c r="F22" i="10"/>
  <c r="BQ4" i="12"/>
  <c r="BR4" i="12"/>
  <c r="E22" i="10" l="1"/>
  <c r="F29" i="10"/>
  <c r="BD4" i="12"/>
  <c r="BG4" i="12"/>
  <c r="BJ4" i="12"/>
  <c r="BA4" i="12"/>
  <c r="BI4" i="12"/>
  <c r="AZ4" i="12"/>
  <c r="BC4" i="12"/>
  <c r="BF4" i="12"/>
  <c r="BM4" i="12" l="1"/>
  <c r="BL4" i="12"/>
  <c r="BN4" i="12"/>
  <c r="BO4" i="12"/>
  <c r="BK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</author>
  </authors>
  <commentList>
    <comment ref="C3" authorId="0" shapeId="0" xr:uid="{42D90F37-90C5-4B69-8383-DD7B9DC63F85}">
      <text>
        <r>
          <rPr>
            <b/>
            <sz val="9"/>
            <color indexed="81"/>
            <rFont val="Tahoma"/>
            <charset val="1"/>
          </rPr>
          <t>stefa:</t>
        </r>
        <r>
          <rPr>
            <sz val="9"/>
            <color indexed="81"/>
            <rFont val="Tahoma"/>
            <charset val="1"/>
          </rPr>
          <t xml:space="preserve">
20% Rally Capacity at Max ascension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</author>
  </authors>
  <commentList>
    <comment ref="C4" authorId="0" shapeId="0" xr:uid="{02F222D1-E72A-4F26-B691-BE5B0A291514}">
      <text>
        <r>
          <rPr>
            <b/>
            <sz val="9"/>
            <color indexed="81"/>
            <rFont val="Tahoma"/>
            <charset val="1"/>
          </rPr>
          <t>Rally Capacity 20%</t>
        </r>
      </text>
    </comment>
  </commentList>
</comments>
</file>

<file path=xl/sharedStrings.xml><?xml version="1.0" encoding="utf-8"?>
<sst xmlns="http://schemas.openxmlformats.org/spreadsheetml/2006/main" count="5334" uniqueCount="1154">
  <si>
    <t>General</t>
  </si>
  <si>
    <t>Mounted</t>
  </si>
  <si>
    <t>Ground</t>
  </si>
  <si>
    <t>Ranged</t>
  </si>
  <si>
    <t>Siege</t>
  </si>
  <si>
    <t>Totals</t>
  </si>
  <si>
    <t>Narses</t>
  </si>
  <si>
    <t>Pachacuti</t>
  </si>
  <si>
    <t>Yeon Gaesomun</t>
  </si>
  <si>
    <t>Cnut the Great</t>
  </si>
  <si>
    <t>Jester</t>
  </si>
  <si>
    <t>Mark Antony</t>
  </si>
  <si>
    <t>Cimon</t>
  </si>
  <si>
    <t>Gilgamesh</t>
  </si>
  <si>
    <t>Nero</t>
  </si>
  <si>
    <t>Pompey</t>
  </si>
  <si>
    <t>Mansa Musa</t>
  </si>
  <si>
    <t>Harald</t>
  </si>
  <si>
    <t>Nordic Barb King</t>
  </si>
  <si>
    <t>David Farragut</t>
  </si>
  <si>
    <t>Lincoln</t>
  </si>
  <si>
    <t>Arminius</t>
  </si>
  <si>
    <t>Charles Martel</t>
  </si>
  <si>
    <t>Zizka</t>
  </si>
  <si>
    <t>Flavius Aetius</t>
  </si>
  <si>
    <t>Amr ibn al-As</t>
  </si>
  <si>
    <t>William Wallace</t>
  </si>
  <si>
    <t>Hojo Ujiyasa</t>
  </si>
  <si>
    <t>Andrew Jackson</t>
  </si>
  <si>
    <t>Mehmed II</t>
  </si>
  <si>
    <t>Suleiman the Magni</t>
  </si>
  <si>
    <t>King Sejong</t>
  </si>
  <si>
    <t>Vlad the Great</t>
  </si>
  <si>
    <t>Kaguya</t>
  </si>
  <si>
    <t>Honda Tadakatsu</t>
  </si>
  <si>
    <t>Wei Qing</t>
  </si>
  <si>
    <t>Edward the BP</t>
  </si>
  <si>
    <t>Himiko</t>
  </si>
  <si>
    <t>Baldwin IV</t>
  </si>
  <si>
    <t>Charles the Great</t>
  </si>
  <si>
    <t>Alexander Nevsky</t>
  </si>
  <si>
    <t>Catherine II</t>
  </si>
  <si>
    <t>Empress Wu</t>
  </si>
  <si>
    <t>Overall</t>
  </si>
  <si>
    <t>Total Mounted</t>
  </si>
  <si>
    <t>Total Ground</t>
  </si>
  <si>
    <t>Total Ranged</t>
  </si>
  <si>
    <t>Total Siege</t>
  </si>
  <si>
    <t>#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</si>
  <si>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</si>
  <si>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</si>
  <si>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</si>
  <si>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</si>
  <si>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</si>
  <si>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</si>
  <si>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</si>
  <si>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</si>
  <si>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</si>
  <si>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</si>
  <si>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</si>
  <si>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</si>
  <si>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</si>
  <si>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</si>
  <si>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</si>
  <si>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</si>
  <si>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</si>
  <si>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</si>
  <si>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</si>
  <si>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</si>
  <si>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</si>
  <si>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</si>
  <si>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</si>
  <si>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</si>
  <si>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</si>
  <si>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</si>
  <si>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</si>
  <si>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</si>
  <si>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</si>
  <si>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</si>
  <si>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</si>
  <si>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</si>
  <si>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</si>
  <si>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Narcissus</t>
  </si>
  <si>
    <t>Alexander the Great</t>
  </si>
  <si>
    <t>Zhang Fei</t>
  </si>
  <si>
    <t>Lucilla</t>
  </si>
  <si>
    <t>Suchet</t>
  </si>
  <si>
    <t>Miltiades</t>
  </si>
  <si>
    <t>Totila</t>
  </si>
  <si>
    <t>Lu Xun</t>
  </si>
  <si>
    <t>Sweym Forkbeard</t>
  </si>
  <si>
    <t>Ludwig</t>
  </si>
  <si>
    <t>Frigg</t>
  </si>
  <si>
    <t>Elise</t>
  </si>
  <si>
    <t>Yue Fei</t>
  </si>
  <si>
    <t>Turenne</t>
  </si>
  <si>
    <t>Trajan</t>
  </si>
  <si>
    <t>Aurelian</t>
  </si>
  <si>
    <t>Pyrrhus</t>
  </si>
  <si>
    <t>Epaminondas</t>
  </si>
  <si>
    <t>Maeda Toshiie</t>
  </si>
  <si>
    <t>Robert the Bruce</t>
  </si>
  <si>
    <t>Oda Nobunaga</t>
  </si>
  <si>
    <t>Guan Yu</t>
  </si>
  <si>
    <t>Alessandra</t>
  </si>
  <si>
    <t>Scipio Africanus</t>
  </si>
  <si>
    <t>Soult</t>
  </si>
  <si>
    <t>Peter the Great</t>
  </si>
  <si>
    <t>Basil II</t>
  </si>
  <si>
    <t>Main General</t>
  </si>
  <si>
    <t>Assistant</t>
  </si>
  <si>
    <t>Marco Polo</t>
  </si>
  <si>
    <t>Cheng Yaojin</t>
  </si>
  <si>
    <t>Haakon Haraldsson</t>
  </si>
  <si>
    <t>Washington (Prime)</t>
  </si>
  <si>
    <t>Napoleon (Prime)</t>
  </si>
  <si>
    <t>George Monck</t>
  </si>
  <si>
    <t>Andre Massena</t>
  </si>
  <si>
    <t>Hestia</t>
  </si>
  <si>
    <t>Gaius Octavius</t>
  </si>
  <si>
    <t>Laudon</t>
  </si>
  <si>
    <t>Poligenus</t>
  </si>
  <si>
    <t>Jayavaman</t>
  </si>
  <si>
    <t>Prince Eugene</t>
  </si>
  <si>
    <t>Lysander</t>
  </si>
  <si>
    <t>Roland</t>
  </si>
  <si>
    <t>Zhao Yun</t>
  </si>
  <si>
    <t>King Arthur</t>
  </si>
  <si>
    <t>Martinus</t>
  </si>
  <si>
    <t>Maximilian</t>
  </si>
  <si>
    <t>Beowulf</t>
  </si>
  <si>
    <t>Sun Ce</t>
  </si>
  <si>
    <t>Barbarossa</t>
  </si>
  <si>
    <t>Robert Guiscard</t>
  </si>
  <si>
    <t>Mordred</t>
  </si>
  <si>
    <t>Hannibal</t>
  </si>
  <si>
    <t>Washington</t>
  </si>
  <si>
    <t>Li Jing</t>
  </si>
  <si>
    <t>Sidney</t>
  </si>
  <si>
    <t>Ragnar</t>
  </si>
  <si>
    <t>Franz Joseph</t>
  </si>
  <si>
    <t>Sigurd</t>
  </si>
  <si>
    <t>Douglas</t>
  </si>
  <si>
    <t>Marcus Agrippa</t>
  </si>
  <si>
    <t>Merlin</t>
  </si>
  <si>
    <t>Mihai</t>
  </si>
  <si>
    <t>Charles XII</t>
  </si>
  <si>
    <t>Elektra</t>
  </si>
  <si>
    <t>Subutai</t>
  </si>
  <si>
    <t>Godfrey of Bouilon</t>
  </si>
  <si>
    <t>Princess Kaguya</t>
  </si>
  <si>
    <t>Winfield Scott</t>
  </si>
  <si>
    <t>Wallenstein</t>
  </si>
  <si>
    <t>Tachibana</t>
  </si>
  <si>
    <t>Louis IX</t>
  </si>
  <si>
    <t>Eleanor</t>
  </si>
  <si>
    <t>Tomyris</t>
  </si>
  <si>
    <t>Thutmose III</t>
  </si>
  <si>
    <t>James Conrad</t>
  </si>
  <si>
    <t>Li Shimin</t>
  </si>
  <si>
    <t>Simeon the Great</t>
  </si>
  <si>
    <t>Edward III</t>
  </si>
  <si>
    <t>Gnarr</t>
  </si>
  <si>
    <t>Alfred the Great</t>
  </si>
  <si>
    <t>Minamoto</t>
  </si>
  <si>
    <t>Toyotomi</t>
  </si>
  <si>
    <t>Genghis Khan</t>
  </si>
  <si>
    <t>Henry V</t>
  </si>
  <si>
    <t>Mason Weaver</t>
  </si>
  <si>
    <t>Jumong</t>
  </si>
  <si>
    <t>Theobald</t>
  </si>
  <si>
    <t>Stephen II</t>
  </si>
  <si>
    <t>Maurice de Saxe</t>
  </si>
  <si>
    <t>Mu Guiying</t>
  </si>
  <si>
    <t>Gunther</t>
  </si>
  <si>
    <t>Theodosius</t>
  </si>
  <si>
    <t>Pallas</t>
  </si>
  <si>
    <t>Zucca</t>
  </si>
  <si>
    <t>Hunyadi</t>
  </si>
  <si>
    <t>Philip II</t>
  </si>
  <si>
    <t>Melisande</t>
  </si>
  <si>
    <t>John Churchill</t>
  </si>
  <si>
    <t>Septimius Serv</t>
  </si>
  <si>
    <t>Petronas</t>
  </si>
  <si>
    <t>Ulysses</t>
  </si>
  <si>
    <t>Kleos</t>
  </si>
  <si>
    <t>Napoleon (normal)</t>
  </si>
  <si>
    <t>Raimondo</t>
  </si>
  <si>
    <t>Surena</t>
  </si>
  <si>
    <t>Khalid</t>
  </si>
  <si>
    <t>Cyrus the Great</t>
  </si>
  <si>
    <t>Gwanggaeto</t>
  </si>
  <si>
    <t>Edward Teach</t>
  </si>
  <si>
    <t>Sherman</t>
  </si>
  <si>
    <t>Matthias</t>
  </si>
  <si>
    <t>Ramsesses II</t>
  </si>
  <si>
    <t>Raged King</t>
  </si>
  <si>
    <t>William Marshal</t>
  </si>
  <si>
    <t>Isaac Brock</t>
  </si>
  <si>
    <t>Jadwiga</t>
  </si>
  <si>
    <t>Queen Boudica</t>
  </si>
  <si>
    <t>Attack</t>
  </si>
  <si>
    <t>Defense</t>
  </si>
  <si>
    <t>Total</t>
  </si>
  <si>
    <t>March Size</t>
  </si>
  <si>
    <t>Hit Points</t>
  </si>
  <si>
    <t>Hermes</t>
  </si>
  <si>
    <t>#34</t>
  </si>
  <si>
    <t>Artemis</t>
  </si>
  <si>
    <t>Christina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</si>
  <si>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</si>
  <si>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</si>
  <si>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</si>
  <si>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</si>
  <si>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</si>
  <si>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</si>
  <si>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</si>
  <si>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</si>
  <si>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</si>
  <si>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Base Growth Rate</t>
  </si>
  <si>
    <t>Base Stat (lvl1)</t>
  </si>
  <si>
    <t>Level of General</t>
  </si>
  <si>
    <t>Cultivation</t>
  </si>
  <si>
    <t>Stat Total</t>
  </si>
  <si>
    <t>1 Star</t>
  </si>
  <si>
    <t>2 Star</t>
  </si>
  <si>
    <t>3 Star</t>
  </si>
  <si>
    <t>4 Star</t>
  </si>
  <si>
    <t>5 Star</t>
  </si>
  <si>
    <t>Growth Rate Total</t>
  </si>
  <si>
    <t>Rally Spot</t>
  </si>
  <si>
    <t>Base</t>
  </si>
  <si>
    <t>Buffed</t>
  </si>
  <si>
    <t>Added %</t>
  </si>
  <si>
    <t>Total Attack (with added)</t>
  </si>
  <si>
    <t>Total Attack (no added)</t>
  </si>
  <si>
    <t>Increased Attack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</si>
  <si>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</si>
  <si>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</si>
  <si>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</si>
  <si>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</si>
  <si>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</si>
  <si>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</si>
  <si>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</si>
  <si>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</si>
  <si>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</si>
  <si>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</si>
  <si>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</si>
  <si>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</si>
  <si>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</si>
  <si>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</si>
  <si>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</si>
  <si>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</si>
  <si>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Attack / Defense / HP %</t>
  </si>
  <si>
    <t>Archer</t>
  </si>
  <si>
    <t>Troop Tier</t>
  </si>
  <si>
    <t>Buff %</t>
  </si>
  <si>
    <t>Base Atk</t>
  </si>
  <si>
    <t>RS Buffed</t>
  </si>
  <si>
    <t>Brian Boru</t>
  </si>
  <si>
    <t>MAIN</t>
  </si>
  <si>
    <t>ASSISTANT</t>
  </si>
  <si>
    <t>Versus</t>
  </si>
  <si>
    <t>Inc Attack</t>
  </si>
  <si>
    <t>Ground Generals Comparison Tool</t>
  </si>
  <si>
    <t>COMBO A</t>
  </si>
  <si>
    <t>COMBO B</t>
  </si>
  <si>
    <t>Mounted Generals Comparison Tool</t>
  </si>
  <si>
    <t>Ranged Generals Comparison Tool</t>
  </si>
  <si>
    <t>Siege Generals Comparison Tool</t>
  </si>
  <si>
    <t>ATK</t>
  </si>
  <si>
    <t>DEF</t>
  </si>
  <si>
    <t>HP</t>
  </si>
  <si>
    <t>MS</t>
  </si>
  <si>
    <t>Inc ATK</t>
  </si>
  <si>
    <t>Base Stats</t>
  </si>
  <si>
    <t>Base Growth</t>
  </si>
  <si>
    <t>LDR</t>
  </si>
  <si>
    <t>General Lvl</t>
  </si>
  <si>
    <t>TOTAL ATK</t>
  </si>
  <si>
    <t>TOTAL DEF</t>
  </si>
  <si>
    <t>TOTAL LDR</t>
  </si>
  <si>
    <t>Main Skill</t>
  </si>
  <si>
    <t>Full Ascension</t>
  </si>
  <si>
    <t>Full Specialties</t>
  </si>
  <si>
    <t>Full Covenant/Skin</t>
  </si>
  <si>
    <t>Bertrand du Guesclin</t>
  </si>
  <si>
    <t>Maarten Tromp (SvS)</t>
  </si>
  <si>
    <t>Emperor Qin Shihuang</t>
  </si>
  <si>
    <t>ATK %</t>
  </si>
  <si>
    <t>DEF %</t>
  </si>
  <si>
    <t>HP %</t>
  </si>
  <si>
    <t>MS %</t>
  </si>
  <si>
    <t>Skill Books (Level 4) Not Calculated</t>
  </si>
  <si>
    <t>Carus</t>
  </si>
  <si>
    <t>Takeda Shingen</t>
  </si>
  <si>
    <t>Qin Qiong</t>
  </si>
  <si>
    <t>Edward the Black Prince</t>
  </si>
  <si>
    <t>Arthur Wellesley</t>
  </si>
  <si>
    <t>Seo Shonagon</t>
  </si>
  <si>
    <t>Isabella I</t>
  </si>
  <si>
    <t>Isabella I (w/ dragon)</t>
  </si>
  <si>
    <t>Gustavus Adolphus</t>
  </si>
  <si>
    <t>Elizabeth I</t>
  </si>
  <si>
    <t>George Custer</t>
  </si>
  <si>
    <t>Charles V</t>
  </si>
  <si>
    <t>Maria Theresa</t>
  </si>
  <si>
    <t>Nathanael Green</t>
  </si>
  <si>
    <t>Spartacus</t>
  </si>
  <si>
    <t>Sanada</t>
  </si>
  <si>
    <t>Baibars</t>
  </si>
  <si>
    <t>Theodora</t>
  </si>
  <si>
    <t>Cleopatra</t>
  </si>
  <si>
    <t>Ceasar</t>
  </si>
  <si>
    <t>Aethelflaed</t>
  </si>
  <si>
    <t>SPD</t>
  </si>
  <si>
    <t>STM</t>
  </si>
  <si>
    <t>DDR</t>
  </si>
  <si>
    <t>DDR%</t>
  </si>
  <si>
    <t>ATK%</t>
  </si>
  <si>
    <t>DEF%</t>
  </si>
  <si>
    <t>HP%</t>
  </si>
  <si>
    <t>MS%</t>
  </si>
  <si>
    <t>Skill Books (Level 4 Mounted) Not Calculated</t>
  </si>
  <si>
    <t>MAD</t>
  </si>
  <si>
    <t>MDD</t>
  </si>
  <si>
    <t>Champlain</t>
  </si>
  <si>
    <t>Attributes</t>
  </si>
  <si>
    <t>Attrbutes</t>
  </si>
  <si>
    <t>BOOKS</t>
  </si>
  <si>
    <t>ATK/DEF/HP</t>
  </si>
  <si>
    <t>A/U</t>
  </si>
  <si>
    <t>A</t>
  </si>
  <si>
    <t>U</t>
  </si>
  <si>
    <t>Ii Naomasa</t>
  </si>
  <si>
    <t>Assistant General</t>
  </si>
  <si>
    <r>
      <t>ATK</t>
    </r>
    <r>
      <rPr>
        <sz val="10"/>
        <color theme="1" tint="0.249977111117893"/>
        <rFont val="Aptos Display"/>
        <family val="2"/>
        <scheme val="major"/>
      </rPr>
      <t>2</t>
    </r>
  </si>
  <si>
    <r>
      <t>DEF</t>
    </r>
    <r>
      <rPr>
        <sz val="10"/>
        <color theme="1" tint="0.249977111117893"/>
        <rFont val="Aptos Display"/>
        <family val="2"/>
        <scheme val="major"/>
      </rPr>
      <t>3</t>
    </r>
  </si>
  <si>
    <r>
      <t>HP</t>
    </r>
    <r>
      <rPr>
        <sz val="10"/>
        <color theme="1" tint="0.249977111117893"/>
        <rFont val="Aptos Display"/>
        <family val="2"/>
        <scheme val="major"/>
      </rPr>
      <t>4</t>
    </r>
  </si>
  <si>
    <r>
      <t>MS</t>
    </r>
    <r>
      <rPr>
        <sz val="10"/>
        <color theme="1" tint="0.249977111117893"/>
        <rFont val="Aptos Display"/>
        <family val="2"/>
        <scheme val="major"/>
      </rPr>
      <t>5</t>
    </r>
  </si>
  <si>
    <r>
      <t>ATK</t>
    </r>
    <r>
      <rPr>
        <sz val="10"/>
        <color theme="1" tint="0.249977111117893"/>
        <rFont val="Aptos Display"/>
        <family val="2"/>
        <scheme val="major"/>
      </rPr>
      <t>6</t>
    </r>
  </si>
  <si>
    <r>
      <t>DEF</t>
    </r>
    <r>
      <rPr>
        <sz val="10"/>
        <color theme="1" tint="0.249977111117893"/>
        <rFont val="Aptos Display"/>
        <family val="2"/>
        <scheme val="major"/>
      </rPr>
      <t>7</t>
    </r>
  </si>
  <si>
    <r>
      <t>HP</t>
    </r>
    <r>
      <rPr>
        <sz val="10"/>
        <color theme="1" tint="0.249977111117893"/>
        <rFont val="Aptos Display"/>
        <family val="2"/>
        <scheme val="major"/>
      </rPr>
      <t>8</t>
    </r>
  </si>
  <si>
    <r>
      <t>MS</t>
    </r>
    <r>
      <rPr>
        <sz val="10"/>
        <color theme="1" tint="0.249977111117893"/>
        <rFont val="Aptos Display"/>
        <family val="2"/>
        <scheme val="major"/>
      </rPr>
      <t>9</t>
    </r>
  </si>
  <si>
    <r>
      <t>ATK</t>
    </r>
    <r>
      <rPr>
        <sz val="10"/>
        <color theme="1" tint="0.249977111117893"/>
        <rFont val="Aptos Display"/>
        <family val="2"/>
        <scheme val="major"/>
      </rPr>
      <t>10</t>
    </r>
  </si>
  <si>
    <r>
      <t>DEF</t>
    </r>
    <r>
      <rPr>
        <sz val="10"/>
        <color theme="1" tint="0.249977111117893"/>
        <rFont val="Aptos Display"/>
        <family val="2"/>
        <scheme val="major"/>
      </rPr>
      <t>11</t>
    </r>
  </si>
  <si>
    <r>
      <t>HP</t>
    </r>
    <r>
      <rPr>
        <sz val="10"/>
        <color theme="1" tint="0.249977111117893"/>
        <rFont val="Aptos Display"/>
        <family val="2"/>
        <scheme val="major"/>
      </rPr>
      <t>12</t>
    </r>
  </si>
  <si>
    <r>
      <t>MS</t>
    </r>
    <r>
      <rPr>
        <sz val="10"/>
        <color theme="1" tint="0.249977111117893"/>
        <rFont val="Aptos Display"/>
        <family val="2"/>
        <scheme val="major"/>
      </rPr>
      <t>13</t>
    </r>
  </si>
  <si>
    <r>
      <t>ATK</t>
    </r>
    <r>
      <rPr>
        <sz val="10"/>
        <color theme="1" tint="0.249977111117893"/>
        <rFont val="Aptos Display"/>
        <family val="2"/>
        <scheme val="major"/>
      </rPr>
      <t>14</t>
    </r>
  </si>
  <si>
    <r>
      <t>DEF</t>
    </r>
    <r>
      <rPr>
        <sz val="10"/>
        <color theme="1" tint="0.249977111117893"/>
        <rFont val="Aptos Display"/>
        <family val="2"/>
        <scheme val="major"/>
      </rPr>
      <t>15</t>
    </r>
  </si>
  <si>
    <r>
      <t>HP</t>
    </r>
    <r>
      <rPr>
        <sz val="10"/>
        <color theme="1" tint="0.249977111117893"/>
        <rFont val="Aptos Display"/>
        <family val="2"/>
        <scheme val="major"/>
      </rPr>
      <t>16</t>
    </r>
  </si>
  <si>
    <r>
      <t>ATK</t>
    </r>
    <r>
      <rPr>
        <sz val="10"/>
        <color theme="1" tint="0.249977111117893"/>
        <rFont val="Aptos Display"/>
        <family val="2"/>
        <scheme val="major"/>
      </rPr>
      <t>17</t>
    </r>
  </si>
  <si>
    <r>
      <t>DEF</t>
    </r>
    <r>
      <rPr>
        <sz val="10"/>
        <color theme="1" tint="0.249977111117893"/>
        <rFont val="Aptos Display"/>
        <family val="2"/>
        <scheme val="major"/>
      </rPr>
      <t>18</t>
    </r>
  </si>
  <si>
    <r>
      <t>HP</t>
    </r>
    <r>
      <rPr>
        <sz val="10"/>
        <color theme="1" tint="0.249977111117893"/>
        <rFont val="Aptos Display"/>
        <family val="2"/>
        <scheme val="major"/>
      </rPr>
      <t>19</t>
    </r>
  </si>
  <si>
    <r>
      <t>MS</t>
    </r>
    <r>
      <rPr>
        <sz val="10"/>
        <color theme="1" tint="0.249977111117893"/>
        <rFont val="Aptos Display"/>
        <family val="2"/>
        <scheme val="major"/>
      </rPr>
      <t>20</t>
    </r>
  </si>
  <si>
    <r>
      <t>ATK</t>
    </r>
    <r>
      <rPr>
        <sz val="10"/>
        <color theme="1" tint="0.249977111117893"/>
        <rFont val="Aptos Display"/>
        <family val="2"/>
        <scheme val="major"/>
      </rPr>
      <t>18</t>
    </r>
  </si>
  <si>
    <r>
      <t>DEF</t>
    </r>
    <r>
      <rPr>
        <sz val="10"/>
        <color theme="1" tint="0.249977111117893"/>
        <rFont val="Aptos Display"/>
        <family val="2"/>
        <scheme val="major"/>
      </rPr>
      <t>182</t>
    </r>
  </si>
  <si>
    <r>
      <t>TOTAL ATK</t>
    </r>
    <r>
      <rPr>
        <sz val="10"/>
        <color theme="1" tint="0.249977111117893"/>
        <rFont val="Aptos Display"/>
        <family val="2"/>
        <scheme val="major"/>
      </rPr>
      <t>18</t>
    </r>
  </si>
  <si>
    <r>
      <t>TOTAL DEF</t>
    </r>
    <r>
      <rPr>
        <sz val="10"/>
        <color theme="1" tint="0.249977111117893"/>
        <rFont val="Aptos Display"/>
        <family val="2"/>
        <scheme val="major"/>
      </rPr>
      <t>182</t>
    </r>
  </si>
  <si>
    <r>
      <t>ATK</t>
    </r>
    <r>
      <rPr>
        <sz val="10"/>
        <color theme="1" tint="0.249977111117893"/>
        <rFont val="Aptos Display"/>
        <family val="2"/>
        <scheme val="major"/>
      </rPr>
      <t>19</t>
    </r>
  </si>
  <si>
    <r>
      <t>DEF</t>
    </r>
    <r>
      <rPr>
        <sz val="10"/>
        <color theme="1" tint="0.249977111117893"/>
        <rFont val="Aptos Display"/>
        <family val="2"/>
        <scheme val="major"/>
      </rPr>
      <t>4</t>
    </r>
  </si>
  <si>
    <r>
      <t>LDR</t>
    </r>
    <r>
      <rPr>
        <sz val="10"/>
        <color theme="1" tint="0.249977111117893"/>
        <rFont val="Aptos Display"/>
        <family val="2"/>
        <scheme val="major"/>
      </rPr>
      <t>5</t>
    </r>
  </si>
  <si>
    <r>
      <t>TOTAL LDR</t>
    </r>
    <r>
      <rPr>
        <sz val="10"/>
        <color theme="1" tint="0.249977111117893"/>
        <rFont val="Aptos Display"/>
        <family val="2"/>
        <scheme val="major"/>
      </rPr>
      <t>2</t>
    </r>
  </si>
  <si>
    <r>
      <t>ATK</t>
    </r>
    <r>
      <rPr>
        <sz val="10"/>
        <color theme="1" tint="0.249977111117893"/>
        <rFont val="Aptos Display"/>
        <family val="2"/>
        <scheme val="major"/>
      </rPr>
      <t>5</t>
    </r>
  </si>
  <si>
    <r>
      <t>DEF</t>
    </r>
    <r>
      <rPr>
        <sz val="10"/>
        <color theme="1" tint="0.249977111117893"/>
        <rFont val="Aptos Display"/>
        <family val="2"/>
        <scheme val="major"/>
      </rPr>
      <t>6</t>
    </r>
  </si>
  <si>
    <r>
      <t>HP</t>
    </r>
    <r>
      <rPr>
        <sz val="10"/>
        <color theme="1" tint="0.249977111117893"/>
        <rFont val="Aptos Display"/>
        <family val="2"/>
        <scheme val="major"/>
      </rPr>
      <t>7</t>
    </r>
  </si>
  <si>
    <r>
      <t>ATK</t>
    </r>
    <r>
      <rPr>
        <sz val="10"/>
        <color theme="1" tint="0.249977111117893"/>
        <rFont val="Aptos Display"/>
        <family val="2"/>
        <scheme val="major"/>
      </rPr>
      <t>8</t>
    </r>
  </si>
  <si>
    <r>
      <t>DEF</t>
    </r>
    <r>
      <rPr>
        <sz val="10"/>
        <color theme="1" tint="0.249977111117893"/>
        <rFont val="Aptos Display"/>
        <family val="2"/>
        <scheme val="major"/>
      </rPr>
      <t>9</t>
    </r>
  </si>
  <si>
    <r>
      <t>HP</t>
    </r>
    <r>
      <rPr>
        <sz val="10"/>
        <color theme="1" tint="0.249977111117893"/>
        <rFont val="Aptos Display"/>
        <family val="2"/>
        <scheme val="major"/>
      </rPr>
      <t>10</t>
    </r>
  </si>
  <si>
    <r>
      <t>ATK</t>
    </r>
    <r>
      <rPr>
        <sz val="10"/>
        <color theme="1" tint="0.249977111117893"/>
        <rFont val="Aptos Display"/>
        <family val="2"/>
        <scheme val="major"/>
      </rPr>
      <t>11</t>
    </r>
  </si>
  <si>
    <r>
      <t>DEF</t>
    </r>
    <r>
      <rPr>
        <sz val="10"/>
        <color theme="1" tint="0.249977111117893"/>
        <rFont val="Aptos Display"/>
        <family val="2"/>
        <scheme val="major"/>
      </rPr>
      <t>12</t>
    </r>
  </si>
  <si>
    <r>
      <t>HP</t>
    </r>
    <r>
      <rPr>
        <sz val="10"/>
        <color theme="1" tint="0.249977111117893"/>
        <rFont val="Aptos Display"/>
        <family val="2"/>
        <scheme val="major"/>
      </rPr>
      <t>13</t>
    </r>
  </si>
  <si>
    <r>
      <t>ATK</t>
    </r>
    <r>
      <rPr>
        <sz val="10"/>
        <color theme="1" tint="0.249977111117893"/>
        <rFont val="Aptos Display"/>
        <family val="2"/>
        <scheme val="major"/>
      </rPr>
      <t>20</t>
    </r>
  </si>
  <si>
    <r>
      <t>DEF</t>
    </r>
    <r>
      <rPr>
        <sz val="10"/>
        <color theme="1" tint="0.249977111117893"/>
        <rFont val="Aptos Display"/>
        <family val="2"/>
        <scheme val="major"/>
      </rPr>
      <t>21</t>
    </r>
  </si>
  <si>
    <r>
      <t>HP</t>
    </r>
    <r>
      <rPr>
        <sz val="10"/>
        <color theme="1" tint="0.249977111117893"/>
        <rFont val="Aptos Display"/>
        <family val="2"/>
        <scheme val="major"/>
      </rPr>
      <t>22</t>
    </r>
  </si>
  <si>
    <r>
      <t>ATK</t>
    </r>
    <r>
      <rPr>
        <sz val="10"/>
        <color theme="1" tint="0.249977111117893"/>
        <rFont val="Aptos Display"/>
        <family val="2"/>
        <scheme val="major"/>
      </rPr>
      <t>23</t>
    </r>
  </si>
  <si>
    <r>
      <t>DEF</t>
    </r>
    <r>
      <rPr>
        <sz val="10"/>
        <color theme="1" tint="0.249977111117893"/>
        <rFont val="Aptos Display"/>
        <family val="2"/>
        <scheme val="major"/>
      </rPr>
      <t>24</t>
    </r>
  </si>
  <si>
    <r>
      <t>HP</t>
    </r>
    <r>
      <rPr>
        <sz val="10"/>
        <color theme="1" tint="0.249977111117893"/>
        <rFont val="Aptos Display"/>
        <family val="2"/>
        <scheme val="major"/>
      </rPr>
      <t>25</t>
    </r>
  </si>
  <si>
    <r>
      <t>ATK</t>
    </r>
    <r>
      <rPr>
        <sz val="10"/>
        <color theme="1" tint="0.249977111117893"/>
        <rFont val="Aptos Display"/>
        <family val="2"/>
        <scheme val="major"/>
      </rPr>
      <t>26</t>
    </r>
  </si>
  <si>
    <r>
      <t>DEF</t>
    </r>
    <r>
      <rPr>
        <sz val="10"/>
        <color theme="1" tint="0.249977111117893"/>
        <rFont val="Aptos Display"/>
        <family val="2"/>
        <scheme val="major"/>
      </rPr>
      <t>27</t>
    </r>
  </si>
  <si>
    <r>
      <t>HP</t>
    </r>
    <r>
      <rPr>
        <sz val="10"/>
        <color theme="1" tint="0.249977111117893"/>
        <rFont val="Aptos Display"/>
        <family val="2"/>
        <scheme val="major"/>
      </rPr>
      <t>28</t>
    </r>
  </si>
  <si>
    <r>
      <t>ATK</t>
    </r>
    <r>
      <rPr>
        <sz val="10"/>
        <color theme="1" tint="0.249977111117893"/>
        <rFont val="Aptos Display"/>
        <family val="2"/>
        <scheme val="major"/>
      </rPr>
      <t>29</t>
    </r>
  </si>
  <si>
    <r>
      <t>DEF</t>
    </r>
    <r>
      <rPr>
        <sz val="10"/>
        <color theme="1" tint="0.249977111117893"/>
        <rFont val="Aptos Display"/>
        <family val="2"/>
        <scheme val="major"/>
      </rPr>
      <t>30</t>
    </r>
  </si>
  <si>
    <r>
      <t>HP</t>
    </r>
    <r>
      <rPr>
        <sz val="10"/>
        <color theme="1" tint="0.249977111117893"/>
        <rFont val="Aptos Display"/>
        <family val="2"/>
        <scheme val="major"/>
      </rPr>
      <t>31</t>
    </r>
  </si>
  <si>
    <r>
      <t>ATK</t>
    </r>
    <r>
      <rPr>
        <sz val="10"/>
        <color theme="1" tint="0.249977111117893"/>
        <rFont val="Aptos Display"/>
        <family val="2"/>
        <scheme val="major"/>
      </rPr>
      <t>32</t>
    </r>
  </si>
  <si>
    <r>
      <t>DEF</t>
    </r>
    <r>
      <rPr>
        <sz val="10"/>
        <color theme="1" tint="0.249977111117893"/>
        <rFont val="Aptos Display"/>
        <family val="2"/>
        <scheme val="major"/>
      </rPr>
      <t>33</t>
    </r>
  </si>
  <si>
    <r>
      <t>HP</t>
    </r>
    <r>
      <rPr>
        <sz val="10"/>
        <color theme="1" tint="0.249977111117893"/>
        <rFont val="Aptos Display"/>
        <family val="2"/>
        <scheme val="major"/>
      </rPr>
      <t>34</t>
    </r>
  </si>
  <si>
    <r>
      <t>ATK</t>
    </r>
    <r>
      <rPr>
        <sz val="10"/>
        <color theme="1" tint="0.249977111117893"/>
        <rFont val="Aptos Display"/>
        <family val="2"/>
        <scheme val="major"/>
      </rPr>
      <t>35</t>
    </r>
  </si>
  <si>
    <r>
      <t>DEF</t>
    </r>
    <r>
      <rPr>
        <sz val="10"/>
        <color theme="1" tint="0.249977111117893"/>
        <rFont val="Aptos Display"/>
        <family val="2"/>
        <scheme val="major"/>
      </rPr>
      <t>36</t>
    </r>
  </si>
  <si>
    <r>
      <t>HP</t>
    </r>
    <r>
      <rPr>
        <sz val="10"/>
        <color theme="1" tint="0.249977111117893"/>
        <rFont val="Aptos Display"/>
        <family val="2"/>
        <scheme val="major"/>
      </rPr>
      <t>37</t>
    </r>
  </si>
  <si>
    <r>
      <t>ATK</t>
    </r>
    <r>
      <rPr>
        <sz val="10"/>
        <color theme="1" tint="0.249977111117893"/>
        <rFont val="Aptos Display"/>
        <family val="2"/>
        <scheme val="major"/>
      </rPr>
      <t>38</t>
    </r>
  </si>
  <si>
    <r>
      <t>DEF</t>
    </r>
    <r>
      <rPr>
        <sz val="10"/>
        <color theme="1" tint="0.249977111117893"/>
        <rFont val="Aptos Display"/>
        <family val="2"/>
        <scheme val="major"/>
      </rPr>
      <t>39</t>
    </r>
  </si>
  <si>
    <r>
      <t>HP</t>
    </r>
    <r>
      <rPr>
        <sz val="10"/>
        <color theme="1" tint="0.249977111117893"/>
        <rFont val="Aptos Display"/>
        <family val="2"/>
        <scheme val="major"/>
      </rPr>
      <t>40</t>
    </r>
  </si>
  <si>
    <r>
      <t>ATK</t>
    </r>
    <r>
      <rPr>
        <sz val="10"/>
        <color theme="1" tint="0.249977111117893"/>
        <rFont val="Aptos Display"/>
        <family val="2"/>
        <scheme val="major"/>
      </rPr>
      <t>41</t>
    </r>
  </si>
  <si>
    <r>
      <t>DEF</t>
    </r>
    <r>
      <rPr>
        <sz val="10"/>
        <color theme="1" tint="0.249977111117893"/>
        <rFont val="Aptos Display"/>
        <family val="2"/>
        <scheme val="major"/>
      </rPr>
      <t>42</t>
    </r>
  </si>
  <si>
    <r>
      <t>HP</t>
    </r>
    <r>
      <rPr>
        <sz val="10"/>
        <color theme="1" tint="0.249977111117893"/>
        <rFont val="Aptos Display"/>
        <family val="2"/>
        <scheme val="major"/>
      </rPr>
      <t>43</t>
    </r>
  </si>
  <si>
    <r>
      <t>ATK</t>
    </r>
    <r>
      <rPr>
        <sz val="10"/>
        <color theme="1" tint="0.249977111117893"/>
        <rFont val="Aptos Display"/>
        <family val="2"/>
        <scheme val="major"/>
      </rPr>
      <t>44</t>
    </r>
  </si>
  <si>
    <r>
      <t>DEF</t>
    </r>
    <r>
      <rPr>
        <sz val="10"/>
        <color theme="1" tint="0.249977111117893"/>
        <rFont val="Aptos Display"/>
        <family val="2"/>
        <scheme val="major"/>
      </rPr>
      <t>45</t>
    </r>
  </si>
  <si>
    <r>
      <t>HP</t>
    </r>
    <r>
      <rPr>
        <sz val="10"/>
        <color theme="1" tint="0.249977111117893"/>
        <rFont val="Aptos Display"/>
        <family val="2"/>
        <scheme val="major"/>
      </rPr>
      <t>46</t>
    </r>
  </si>
  <si>
    <r>
      <t>DDR</t>
    </r>
    <r>
      <rPr>
        <sz val="10"/>
        <color theme="1" tint="0.249977111117893"/>
        <rFont val="Aptos Display"/>
        <family val="2"/>
        <scheme val="major"/>
      </rPr>
      <t>2</t>
    </r>
  </si>
  <si>
    <r>
      <t>SPD</t>
    </r>
    <r>
      <rPr>
        <sz val="10"/>
        <color theme="1" tint="0.249977111117893"/>
        <rFont val="Aptos Display"/>
        <family val="2"/>
        <scheme val="major"/>
      </rPr>
      <t>3</t>
    </r>
  </si>
  <si>
    <r>
      <t>STM</t>
    </r>
    <r>
      <rPr>
        <sz val="10"/>
        <color theme="1" tint="0.249977111117893"/>
        <rFont val="Aptos Display"/>
        <family val="2"/>
        <scheme val="major"/>
      </rPr>
      <t>4</t>
    </r>
  </si>
  <si>
    <r>
      <t>MAD</t>
    </r>
    <r>
      <rPr>
        <sz val="10"/>
        <color theme="1" tint="0.249977111117893"/>
        <rFont val="Aptos Display"/>
        <family val="2"/>
        <scheme val="major"/>
      </rPr>
      <t>2</t>
    </r>
  </si>
  <si>
    <r>
      <t>MDD</t>
    </r>
    <r>
      <rPr>
        <sz val="10"/>
        <color theme="1" tint="0.249977111117893"/>
        <rFont val="Aptos Display"/>
        <family val="2"/>
        <scheme val="major"/>
      </rPr>
      <t>3</t>
    </r>
  </si>
  <si>
    <r>
      <t>DDR</t>
    </r>
    <r>
      <rPr>
        <sz val="10"/>
        <color theme="1" tint="0.249977111117893"/>
        <rFont val="Aptos Display"/>
        <family val="2"/>
        <scheme val="major"/>
      </rPr>
      <t>5</t>
    </r>
  </si>
  <si>
    <r>
      <t>SPD</t>
    </r>
    <r>
      <rPr>
        <sz val="10"/>
        <color theme="1" tint="0.249977111117893"/>
        <rFont val="Aptos Display"/>
        <family val="2"/>
        <scheme val="major"/>
      </rPr>
      <t>6</t>
    </r>
  </si>
  <si>
    <r>
      <t>STM</t>
    </r>
    <r>
      <rPr>
        <sz val="10"/>
        <color theme="1" tint="0.249977111117893"/>
        <rFont val="Aptos Display"/>
        <family val="2"/>
        <scheme val="major"/>
      </rPr>
      <t>7</t>
    </r>
  </si>
  <si>
    <r>
      <t>MAD</t>
    </r>
    <r>
      <rPr>
        <sz val="10"/>
        <color theme="1" tint="0.249977111117893"/>
        <rFont val="Aptos Display"/>
        <family val="2"/>
        <scheme val="major"/>
      </rPr>
      <t>4</t>
    </r>
  </si>
  <si>
    <r>
      <t>MDD</t>
    </r>
    <r>
      <rPr>
        <sz val="10"/>
        <color theme="1" tint="0.249977111117893"/>
        <rFont val="Aptos Display"/>
        <family val="2"/>
        <scheme val="major"/>
      </rPr>
      <t>5</t>
    </r>
  </si>
  <si>
    <r>
      <t>DDR</t>
    </r>
    <r>
      <rPr>
        <sz val="10"/>
        <color theme="1" tint="0.249977111117893"/>
        <rFont val="Aptos Display"/>
        <family val="2"/>
        <scheme val="major"/>
      </rPr>
      <t>8</t>
    </r>
  </si>
  <si>
    <r>
      <t>SPD</t>
    </r>
    <r>
      <rPr>
        <sz val="10"/>
        <color theme="1" tint="0.249977111117893"/>
        <rFont val="Aptos Display"/>
        <family val="2"/>
        <scheme val="major"/>
      </rPr>
      <t>9</t>
    </r>
  </si>
  <si>
    <r>
      <t>STM</t>
    </r>
    <r>
      <rPr>
        <sz val="10"/>
        <color theme="1" tint="0.249977111117893"/>
        <rFont val="Aptos Display"/>
        <family val="2"/>
        <scheme val="major"/>
      </rPr>
      <t>10</t>
    </r>
  </si>
  <si>
    <r>
      <t>MAD</t>
    </r>
    <r>
      <rPr>
        <sz val="10"/>
        <color theme="1" tint="0.249977111117893"/>
        <rFont val="Aptos Display"/>
        <family val="2"/>
        <scheme val="major"/>
      </rPr>
      <t>6</t>
    </r>
  </si>
  <si>
    <r>
      <t>MDD</t>
    </r>
    <r>
      <rPr>
        <sz val="10"/>
        <color theme="1" tint="0.249977111117893"/>
        <rFont val="Aptos Display"/>
        <family val="2"/>
        <scheme val="major"/>
      </rPr>
      <t>7</t>
    </r>
  </si>
  <si>
    <r>
      <t>DDR</t>
    </r>
    <r>
      <rPr>
        <sz val="10"/>
        <color theme="1" tint="0.249977111117893"/>
        <rFont val="Aptos Display"/>
        <family val="2"/>
        <scheme val="major"/>
      </rPr>
      <t>11</t>
    </r>
  </si>
  <si>
    <r>
      <t>SPD</t>
    </r>
    <r>
      <rPr>
        <sz val="10"/>
        <color theme="1" tint="0.249977111117893"/>
        <rFont val="Aptos Display"/>
        <family val="2"/>
        <scheme val="major"/>
      </rPr>
      <t>12</t>
    </r>
  </si>
  <si>
    <r>
      <t>STM</t>
    </r>
    <r>
      <rPr>
        <sz val="10"/>
        <color theme="1" tint="0.249977111117893"/>
        <rFont val="Aptos Display"/>
        <family val="2"/>
        <scheme val="major"/>
      </rPr>
      <t>13</t>
    </r>
  </si>
  <si>
    <r>
      <t>MAD</t>
    </r>
    <r>
      <rPr>
        <sz val="10"/>
        <color theme="1" tint="0.249977111117893"/>
        <rFont val="Aptos Display"/>
        <family val="2"/>
        <scheme val="major"/>
      </rPr>
      <t>8</t>
    </r>
  </si>
  <si>
    <r>
      <t>MDD</t>
    </r>
    <r>
      <rPr>
        <sz val="10"/>
        <color theme="1" tint="0.249977111117893"/>
        <rFont val="Aptos Display"/>
        <family val="2"/>
        <scheme val="major"/>
      </rPr>
      <t>9</t>
    </r>
  </si>
  <si>
    <r>
      <t>ATK</t>
    </r>
    <r>
      <rPr>
        <sz val="10"/>
        <color theme="6" tint="-0.249977111117893"/>
        <rFont val="Aptos Display"/>
        <family val="2"/>
        <scheme val="major"/>
      </rPr>
      <t>232</t>
    </r>
  </si>
  <si>
    <r>
      <t>DEF</t>
    </r>
    <r>
      <rPr>
        <sz val="10"/>
        <color theme="6" tint="-0.249977111117893"/>
        <rFont val="Aptos Display"/>
        <family val="2"/>
        <scheme val="major"/>
      </rPr>
      <t>243</t>
    </r>
  </si>
  <si>
    <r>
      <t>HP</t>
    </r>
    <r>
      <rPr>
        <sz val="10"/>
        <color theme="6" tint="-0.249977111117893"/>
        <rFont val="Aptos Display"/>
        <family val="2"/>
        <scheme val="major"/>
      </rPr>
      <t>254</t>
    </r>
  </si>
  <si>
    <r>
      <t>ATK</t>
    </r>
    <r>
      <rPr>
        <sz val="10"/>
        <color theme="6" tint="-0.249977111117893"/>
        <rFont val="Aptos Display"/>
        <family val="2"/>
        <scheme val="major"/>
      </rPr>
      <t>265</t>
    </r>
  </si>
  <si>
    <r>
      <t>DEF</t>
    </r>
    <r>
      <rPr>
        <sz val="10"/>
        <color theme="6" tint="-0.249977111117893"/>
        <rFont val="Aptos Display"/>
        <family val="2"/>
        <scheme val="major"/>
      </rPr>
      <t>276</t>
    </r>
  </si>
  <si>
    <r>
      <t>HP</t>
    </r>
    <r>
      <rPr>
        <sz val="10"/>
        <color theme="6" tint="-0.249977111117893"/>
        <rFont val="Aptos Display"/>
        <family val="2"/>
        <scheme val="major"/>
      </rPr>
      <t>287</t>
    </r>
  </si>
  <si>
    <r>
      <t>ATK</t>
    </r>
    <r>
      <rPr>
        <sz val="10"/>
        <color theme="6" tint="-0.249977111117893"/>
        <rFont val="Aptos Display"/>
        <family val="2"/>
        <scheme val="major"/>
      </rPr>
      <t>298</t>
    </r>
  </si>
  <si>
    <r>
      <t>DEF</t>
    </r>
    <r>
      <rPr>
        <sz val="10"/>
        <color theme="6" tint="-0.249977111117893"/>
        <rFont val="Aptos Display"/>
        <family val="2"/>
        <scheme val="major"/>
      </rPr>
      <t>309</t>
    </r>
  </si>
  <si>
    <r>
      <t>HP</t>
    </r>
    <r>
      <rPr>
        <sz val="10"/>
        <color theme="6" tint="-0.249977111117893"/>
        <rFont val="Aptos Display"/>
        <family val="2"/>
        <scheme val="major"/>
      </rPr>
      <t>3110</t>
    </r>
  </si>
  <si>
    <r>
      <t>ATK</t>
    </r>
    <r>
      <rPr>
        <sz val="10"/>
        <color theme="6" tint="-0.249977111117893"/>
        <rFont val="Aptos Display"/>
        <family val="2"/>
        <scheme val="major"/>
      </rPr>
      <t>3211</t>
    </r>
  </si>
  <si>
    <r>
      <t>DEF</t>
    </r>
    <r>
      <rPr>
        <sz val="10"/>
        <color theme="6" tint="-0.249977111117893"/>
        <rFont val="Aptos Display"/>
        <family val="2"/>
        <scheme val="major"/>
      </rPr>
      <t>3312</t>
    </r>
  </si>
  <si>
    <r>
      <t>HP</t>
    </r>
    <r>
      <rPr>
        <sz val="10"/>
        <color theme="6" tint="-0.249977111117893"/>
        <rFont val="Aptos Display"/>
        <family val="2"/>
        <scheme val="major"/>
      </rPr>
      <t>3413</t>
    </r>
  </si>
  <si>
    <r>
      <t>ATK</t>
    </r>
    <r>
      <rPr>
        <sz val="10"/>
        <color theme="6" tint="-0.249977111117893"/>
        <rFont val="Aptos Display"/>
        <family val="2"/>
        <scheme val="major"/>
      </rPr>
      <t>1414</t>
    </r>
  </si>
  <si>
    <r>
      <t>DEF</t>
    </r>
    <r>
      <rPr>
        <sz val="10"/>
        <color theme="6" tint="-0.249977111117893"/>
        <rFont val="Aptos Display"/>
        <family val="2"/>
        <scheme val="major"/>
      </rPr>
      <t>1515</t>
    </r>
  </si>
  <si>
    <r>
      <t>HP</t>
    </r>
    <r>
      <rPr>
        <sz val="10"/>
        <color theme="6" tint="-0.249977111117893"/>
        <rFont val="Aptos Display"/>
        <family val="2"/>
        <scheme val="major"/>
      </rPr>
      <t>1616</t>
    </r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</si>
  <si>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</si>
  <si>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</si>
  <si>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</si>
  <si>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</si>
  <si>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</si>
  <si>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</si>
  <si>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</si>
  <si>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</si>
  <si>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</si>
  <si>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</si>
  <si>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</si>
  <si>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</si>
  <si>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</si>
  <si>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</si>
  <si>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</si>
  <si>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</si>
  <si>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</si>
  <si>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</si>
  <si>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</si>
  <si>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</si>
  <si>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</si>
  <si>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</si>
  <si>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</si>
  <si>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</si>
  <si>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</si>
  <si>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</si>
  <si>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</si>
  <si>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</si>
  <si>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</si>
  <si>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</si>
  <si>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</si>
  <si>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</si>
  <si>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</si>
  <si>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</si>
  <si>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</si>
  <si>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</si>
  <si>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</si>
  <si>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</si>
  <si>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</si>
  <si>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</si>
  <si>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Wall Generals Comparison Tool</t>
  </si>
  <si>
    <t>TOTAL</t>
  </si>
  <si>
    <t>ALL STATS</t>
  </si>
  <si>
    <t>N</t>
  </si>
  <si>
    <t>Y</t>
  </si>
  <si>
    <t>Combo A</t>
  </si>
  <si>
    <t>Combo B</t>
  </si>
  <si>
    <t>Main</t>
  </si>
  <si>
    <t>Row</t>
  </si>
  <si>
    <t>Assist</t>
  </si>
  <si>
    <t>Column</t>
  </si>
  <si>
    <t>Result</t>
  </si>
  <si>
    <t>SIEGE</t>
  </si>
  <si>
    <t>RANGED</t>
  </si>
  <si>
    <t>MOUNTED</t>
  </si>
  <si>
    <t>GROUND</t>
  </si>
  <si>
    <t>Suleiman the Magnificient</t>
  </si>
  <si>
    <t>Zhu Di</t>
  </si>
  <si>
    <t>James Cook</t>
  </si>
  <si>
    <t>#84</t>
  </si>
  <si>
    <t>#85</t>
  </si>
  <si>
    <t>#86</t>
  </si>
  <si>
    <t>#87</t>
  </si>
  <si>
    <t>#88</t>
  </si>
  <si>
    <t>#89</t>
  </si>
  <si>
    <t>#90</t>
  </si>
  <si>
    <t>Maria Carolina</t>
  </si>
  <si>
    <t>Romulus</t>
  </si>
  <si>
    <t>Hersilia</t>
  </si>
  <si>
    <t>C1</t>
  </si>
  <si>
    <t>C2</t>
  </si>
  <si>
    <t>C3</t>
  </si>
  <si>
    <t>Napoleon Prime</t>
  </si>
  <si>
    <t>Napoleon</t>
  </si>
  <si>
    <t>Betrand du Guesclin</t>
  </si>
  <si>
    <t>John Hunyadi</t>
  </si>
  <si>
    <t>Matthias I</t>
  </si>
  <si>
    <t>Caesar</t>
  </si>
  <si>
    <t>Sweyn Forkbeard</t>
  </si>
  <si>
    <t>Margaret I</t>
  </si>
  <si>
    <t>Godfrey of Bouillon</t>
  </si>
  <si>
    <t>Richard the Lionheart</t>
  </si>
  <si>
    <t>Jayavarmann II</t>
  </si>
  <si>
    <t>Ly Thuong Kiet</t>
  </si>
  <si>
    <t>Tran Hung Dao</t>
  </si>
  <si>
    <t>William Marshall</t>
  </si>
  <si>
    <t>Nathanael Greene</t>
  </si>
  <si>
    <t>Casimir Pulaski</t>
  </si>
  <si>
    <t>Theodosius I</t>
  </si>
  <si>
    <t>Septimius Severus</t>
  </si>
  <si>
    <t>Nordic Barbarian King</t>
  </si>
  <si>
    <t>Harald III</t>
  </si>
  <si>
    <t>Tachibana Ginchiyo</t>
  </si>
  <si>
    <t>Theobald I</t>
  </si>
  <si>
    <t>Algernon Sidney</t>
  </si>
  <si>
    <t>Queen Victoria</t>
  </si>
  <si>
    <t>Franz Joseph I</t>
  </si>
  <si>
    <t>Maximillian I</t>
  </si>
  <si>
    <t>Marcus Agripa</t>
  </si>
  <si>
    <t>Main Covenant</t>
  </si>
  <si>
    <t>Covenant I</t>
  </si>
  <si>
    <t>Covenant II</t>
  </si>
  <si>
    <t>Covenant III</t>
  </si>
  <si>
    <r>
      <t>ATK</t>
    </r>
    <r>
      <rPr>
        <b/>
        <sz val="10"/>
        <color theme="1" tint="0.249977111117893"/>
        <rFont val="Aptos Display"/>
        <family val="2"/>
        <scheme val="major"/>
      </rPr>
      <t>2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</si>
  <si>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3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</si>
  <si>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4</t>
    </r>
  </si>
  <si>
    <r>
      <t>MS</t>
    </r>
    <r>
      <rPr>
        <b/>
        <sz val="10"/>
        <color theme="1" tint="0.249977111117893"/>
        <rFont val="Aptos Display"/>
        <family val="2"/>
        <scheme val="major"/>
      </rPr>
      <t>5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</si>
  <si>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6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</si>
  <si>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7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</si>
  <si>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8</t>
    </r>
  </si>
  <si>
    <r>
      <t>MS</t>
    </r>
    <r>
      <rPr>
        <b/>
        <sz val="10"/>
        <color theme="1" tint="0.249977111117893"/>
        <rFont val="Aptos Display"/>
        <family val="2"/>
        <scheme val="major"/>
      </rPr>
      <t>9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</si>
  <si>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10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</si>
  <si>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11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</si>
  <si>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12</t>
    </r>
  </si>
  <si>
    <r>
      <t>MS</t>
    </r>
    <r>
      <rPr>
        <b/>
        <sz val="10"/>
        <color theme="1" tint="0.249977111117893"/>
        <rFont val="Aptos Display"/>
        <family val="2"/>
        <scheme val="major"/>
      </rPr>
      <t>13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</si>
  <si>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14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</si>
  <si>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15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</si>
  <si>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16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</si>
  <si>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17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</si>
  <si>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18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</si>
  <si>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19</t>
    </r>
  </si>
  <si>
    <r>
      <t>MS</t>
    </r>
    <r>
      <rPr>
        <b/>
        <sz val="10"/>
        <color theme="1" tint="0.249977111117893"/>
        <rFont val="Aptos Display"/>
        <family val="2"/>
        <scheme val="major"/>
      </rPr>
      <t>20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</si>
  <si>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18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</si>
  <si>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182</t>
    </r>
  </si>
  <si>
    <r>
      <t>TOTAL ATK</t>
    </r>
    <r>
      <rPr>
        <b/>
        <sz val="10"/>
        <color theme="1" tint="0.249977111117893"/>
        <rFont val="Aptos Display"/>
        <family val="2"/>
        <scheme val="major"/>
      </rPr>
      <t>18</t>
    </r>
  </si>
  <si>
    <r>
      <t>TOTAL DEF</t>
    </r>
    <r>
      <rPr>
        <b/>
        <sz val="10"/>
        <color theme="1" tint="0.249977111117893"/>
        <rFont val="Aptos Display"/>
        <family val="2"/>
        <scheme val="major"/>
      </rPr>
      <t>182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</si>
  <si>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19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</si>
  <si>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4</t>
    </r>
  </si>
  <si>
    <r>
      <t>LDR</t>
    </r>
    <r>
      <rPr>
        <b/>
        <sz val="10"/>
        <color theme="1" tint="0.249977111117893"/>
        <rFont val="Aptos Display"/>
        <family val="2"/>
        <scheme val="major"/>
      </rPr>
      <t>5</t>
    </r>
  </si>
  <si>
    <r>
      <t>TOTAL LDR</t>
    </r>
    <r>
      <rPr>
        <b/>
        <sz val="10"/>
        <color theme="1" tint="0.249977111117893"/>
        <rFont val="Aptos Display"/>
        <family val="2"/>
        <scheme val="major"/>
      </rPr>
      <t>2</t>
    </r>
  </si>
  <si>
    <t>Covenant</t>
  </si>
  <si>
    <t>MC</t>
  </si>
  <si>
    <t>Leonidas I</t>
  </si>
  <si>
    <t>Reinforcing Range Troop Attack 5%</t>
  </si>
  <si>
    <t>Gold Buff 1</t>
  </si>
  <si>
    <t>Gold Buff 2</t>
  </si>
  <si>
    <t>March Speed 10%</t>
  </si>
  <si>
    <t>March Speed 15%</t>
  </si>
  <si>
    <t>Enemy Ranged Troop and Siege Machine Attack -5%</t>
  </si>
  <si>
    <t>Mounted Troop Training Capacity 10%</t>
  </si>
  <si>
    <t>In-Rally Mounted Troop Attack 10%</t>
  </si>
  <si>
    <t>Ranged Troop Training Speed 10%</t>
  </si>
  <si>
    <t>Attacking Ranged Troop HP 5%</t>
  </si>
  <si>
    <t>March Speed 5%</t>
  </si>
  <si>
    <t>In-Rally Siege Machine HP 10%</t>
  </si>
  <si>
    <t>Ground Troop Training Capacity 10%</t>
  </si>
  <si>
    <t>Attacking Ground Troop HP 5%</t>
  </si>
  <si>
    <t>Mounted Troop Training Speed 10%</t>
  </si>
  <si>
    <t>Siege Machine training Speed 10%</t>
  </si>
  <si>
    <t>In-Rally Siege Machine Attack 5%</t>
  </si>
  <si>
    <t>Reinforcing Ranged Troops Attack 5%</t>
  </si>
  <si>
    <t>Ground Troop Training Speed 5%</t>
  </si>
  <si>
    <t>Ranged Troop Training Capacity 5%</t>
  </si>
  <si>
    <t>Ranged Troop and Siege Machine Attack 5%</t>
  </si>
  <si>
    <t>Siege Machine training Speed 5%</t>
  </si>
  <si>
    <t>In-Rally Troop HP 5%</t>
  </si>
  <si>
    <t>In_Rally Mounted Troop HP 5%</t>
  </si>
  <si>
    <t>Mounted Troop Training Capacity 5%</t>
  </si>
  <si>
    <t>Reinforcing Mounted Troop HP 5%</t>
  </si>
  <si>
    <t>Mounted Troop Training Speed 5%</t>
  </si>
  <si>
    <t>Siege Machine Defense 5%</t>
  </si>
  <si>
    <t>Troop Death Into Troop Soul Rate in the Main City 5%</t>
  </si>
  <si>
    <t>In-City Troop Defense 5%</t>
  </si>
  <si>
    <t>Ranged Troop Defense 5%</t>
  </si>
  <si>
    <t>Training Speed 5%</t>
  </si>
  <si>
    <t>Holy Palace Deserter Capacity 10%</t>
  </si>
  <si>
    <t>Enemy Ranged Troop and Siege Machine HP -8%</t>
  </si>
  <si>
    <t>Ground Troop Training Speed 10%</t>
  </si>
  <si>
    <t>Mounted Troop Attack 5%</t>
  </si>
  <si>
    <t>All Resources Production 5%</t>
  </si>
  <si>
    <t>Ranged Troop Training Capacity 10%</t>
  </si>
  <si>
    <t>Ground Troop Training Capacity 5%</t>
  </si>
  <si>
    <t>Ground Troop Defense 5%</t>
  </si>
  <si>
    <t>Siege Machine Training Speed 10%</t>
  </si>
  <si>
    <t>March Seed 15%</t>
  </si>
  <si>
    <t>Reinforcing Troops Defense 5%</t>
  </si>
  <si>
    <t>Ranged Troop Training Speed 5%</t>
  </si>
  <si>
    <t>Ground Troop Attack 5%</t>
  </si>
  <si>
    <t>Hospital Capacity 5%</t>
  </si>
  <si>
    <t>Siege Machine Training Capacity 10%</t>
  </si>
  <si>
    <t>Mounted Troop Training Capacity 15%</t>
  </si>
  <si>
    <t>Grround Troop Attack 5%</t>
  </si>
  <si>
    <t>In-Rally Ranged Troop Attack 10%</t>
  </si>
  <si>
    <t>Siege Machine Attack 5%</t>
  </si>
  <si>
    <t>Training Speed 10%</t>
  </si>
  <si>
    <t>Siege Machine Trainnig Capacity 10%</t>
  </si>
  <si>
    <t>Raned Troop Trainnig Speed 10%</t>
  </si>
  <si>
    <t>Reinforcing Ranged Troop Defense 5%</t>
  </si>
  <si>
    <t>Enemy Ranged Troop Attack -10%</t>
  </si>
  <si>
    <t>Mounted Troop Attack 10%</t>
  </si>
  <si>
    <t>In-Rally Ground Troop HP 10%</t>
  </si>
  <si>
    <t>Artemisia I</t>
  </si>
  <si>
    <t>Attacking Ranged Troop Attack 5%</t>
  </si>
  <si>
    <t>Seleucus I</t>
  </si>
  <si>
    <t>Olav II</t>
  </si>
  <si>
    <t>Attacking Mounted Troop Attack 5%</t>
  </si>
  <si>
    <t>Alexander Hamilton</t>
  </si>
  <si>
    <t>Gonzalo</t>
  </si>
  <si>
    <t>El Cid</t>
  </si>
  <si>
    <t>Attacking Ground Troop Defense 5%</t>
  </si>
  <si>
    <t>Mouri Motonari</t>
  </si>
  <si>
    <t>#91</t>
  </si>
  <si>
    <t>#92</t>
  </si>
  <si>
    <t>#93</t>
  </si>
  <si>
    <t>#94</t>
  </si>
  <si>
    <t>#95</t>
  </si>
  <si>
    <t>Minamoto No Yoshitsune</t>
  </si>
  <si>
    <t>Mounted Troop Defense 5%</t>
  </si>
  <si>
    <t>Athena</t>
  </si>
  <si>
    <t>Constantine the Great</t>
  </si>
  <si>
    <t>Jan Karol Chodkiewicz</t>
  </si>
  <si>
    <t>Tokugawa Ieyasu</t>
  </si>
  <si>
    <t>Empress Dowager Cixi</t>
  </si>
  <si>
    <t>Darius I</t>
  </si>
  <si>
    <t>Gao Changgong</t>
  </si>
  <si>
    <t>Ground Troop HP 5%</t>
  </si>
  <si>
    <t>Zhou Yu</t>
  </si>
  <si>
    <t>Healing Speed 5%</t>
  </si>
  <si>
    <t>In City Ground Troop and Mounted Troop Defense 10%</t>
  </si>
  <si>
    <t>Ahmose I</t>
  </si>
  <si>
    <t>Hatshepsut</t>
  </si>
  <si>
    <t>Attacking Ranged Troop Defense 5%</t>
  </si>
  <si>
    <t>Shajar al-Durr</t>
  </si>
  <si>
    <t>Ranged Troop Attack 5%</t>
  </si>
  <si>
    <t>Ramses II</t>
  </si>
  <si>
    <t>Saladin</t>
  </si>
  <si>
    <t>#96</t>
  </si>
  <si>
    <t>#97</t>
  </si>
  <si>
    <t>#98</t>
  </si>
  <si>
    <t>#99</t>
  </si>
  <si>
    <t>#100</t>
  </si>
  <si>
    <t>Francis Drake</t>
  </si>
  <si>
    <t>Reinforcing Siege Machine HP 5%</t>
  </si>
  <si>
    <t>*Richard the Lion</t>
  </si>
  <si>
    <t>*Queen Boudica</t>
  </si>
  <si>
    <t>*Kusunoki</t>
  </si>
  <si>
    <t>*Shajar</t>
  </si>
  <si>
    <t>*Ly Thuong</t>
  </si>
  <si>
    <t>*Jadwiga</t>
  </si>
  <si>
    <t>*J Bowie</t>
  </si>
  <si>
    <t>*Tran Hung</t>
  </si>
  <si>
    <t>*Zhou Yu</t>
  </si>
  <si>
    <t>*Takenaka</t>
  </si>
  <si>
    <t>*Isaac Brock</t>
  </si>
  <si>
    <t>*William Marshal</t>
  </si>
  <si>
    <t>*Yodo-dono</t>
  </si>
  <si>
    <t>*Leonidas</t>
  </si>
  <si>
    <t>*Lautaro</t>
  </si>
  <si>
    <t>*Oda Oichi</t>
  </si>
  <si>
    <t>*Yi Sun-Sin</t>
  </si>
  <si>
    <t>*Leo III</t>
  </si>
  <si>
    <t>Louis XIV</t>
  </si>
  <si>
    <t>*George Dewey</t>
  </si>
  <si>
    <t>*Zachary Taylor</t>
  </si>
  <si>
    <t>Louis II</t>
  </si>
  <si>
    <t>Attacking Ground troop Attack 5%</t>
  </si>
  <si>
    <t>Kiso Yoshinaka</t>
  </si>
  <si>
    <t>Hojo Ujiyasu</t>
  </si>
  <si>
    <t>Attacking Siege Machine HP 10%</t>
  </si>
  <si>
    <t>T17</t>
  </si>
  <si>
    <t>Rally Sppot Level</t>
  </si>
  <si>
    <t>RS 50</t>
  </si>
  <si>
    <t>RS 49</t>
  </si>
  <si>
    <t>RS 48</t>
  </si>
  <si>
    <t>RS 47</t>
  </si>
  <si>
    <t>RS 46</t>
  </si>
  <si>
    <t>RS 45</t>
  </si>
  <si>
    <t>RS 44</t>
  </si>
  <si>
    <t>RS 43</t>
  </si>
  <si>
    <t>RS 42</t>
  </si>
  <si>
    <t>RS 41</t>
  </si>
  <si>
    <t>RS 40</t>
  </si>
  <si>
    <t>RS 39</t>
  </si>
  <si>
    <t>RS 38</t>
  </si>
  <si>
    <t>RS 37</t>
  </si>
  <si>
    <t>RS 36</t>
  </si>
  <si>
    <t>RS 35</t>
  </si>
  <si>
    <t>RS 34</t>
  </si>
  <si>
    <t>RS 33</t>
  </si>
  <si>
    <t>RS 32</t>
  </si>
  <si>
    <t>RS 31</t>
  </si>
  <si>
    <t>RS 30</t>
  </si>
  <si>
    <t>RS 29</t>
  </si>
  <si>
    <t>RS 28</t>
  </si>
  <si>
    <t>RS 27</t>
  </si>
  <si>
    <t>RS 26</t>
  </si>
  <si>
    <t>RS 25</t>
  </si>
  <si>
    <t>RS 24</t>
  </si>
  <si>
    <t>RS 23</t>
  </si>
  <si>
    <t>RS 22</t>
  </si>
  <si>
    <t>RS 21</t>
  </si>
  <si>
    <t>RS 20</t>
  </si>
  <si>
    <t>RS 19</t>
  </si>
  <si>
    <t>RS 18</t>
  </si>
  <si>
    <t>RS 17</t>
  </si>
  <si>
    <t>RS 16</t>
  </si>
  <si>
    <t>RS 15</t>
  </si>
  <si>
    <t>RS 14</t>
  </si>
  <si>
    <t>RS 13</t>
  </si>
  <si>
    <t>RS 12</t>
  </si>
  <si>
    <t>RS 11</t>
  </si>
  <si>
    <t>RS 10</t>
  </si>
  <si>
    <t>RS 9</t>
  </si>
  <si>
    <t>RS 8</t>
  </si>
  <si>
    <t>RS 7</t>
  </si>
  <si>
    <t>RS 6</t>
  </si>
  <si>
    <t>RS 5</t>
  </si>
  <si>
    <t>RS 4</t>
  </si>
  <si>
    <t>RS 3</t>
  </si>
  <si>
    <t>RS 2</t>
  </si>
  <si>
    <t>RS 1</t>
  </si>
  <si>
    <t>Charles VI</t>
  </si>
  <si>
    <t>Henry IV</t>
  </si>
  <si>
    <t>In-Rally Mounted Troop HP 5%</t>
  </si>
  <si>
    <r>
      <t>ATK</t>
    </r>
    <r>
      <rPr>
        <b/>
        <sz val="10"/>
        <color theme="1" tint="0.249977111117893"/>
        <rFont val="Aptos Display"/>
        <family val="2"/>
        <scheme val="major"/>
      </rPr>
      <t>5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</si>
  <si>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6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</si>
  <si>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7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</si>
  <si>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8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</si>
  <si>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9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</si>
  <si>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10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</si>
  <si>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11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</si>
  <si>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12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</si>
  <si>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13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</si>
  <si>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20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</si>
  <si>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21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</si>
  <si>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22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</si>
  <si>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23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</si>
  <si>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24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</si>
  <si>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25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</si>
  <si>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26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</si>
  <si>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27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</si>
  <si>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28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</si>
  <si>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29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</si>
  <si>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30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</si>
  <si>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31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</si>
  <si>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32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</si>
  <si>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33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</si>
  <si>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34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</si>
  <si>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35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</si>
  <si>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36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</si>
  <si>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37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</si>
  <si>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38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</si>
  <si>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39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</si>
  <si>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40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</si>
  <si>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41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</si>
  <si>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42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</si>
  <si>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43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</si>
  <si>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44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</si>
  <si>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45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</si>
  <si>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46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</si>
  <si>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232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</si>
  <si>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243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</si>
  <si>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254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</si>
  <si>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265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</si>
  <si>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276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</si>
  <si>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287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</si>
  <si>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298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</si>
  <si>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309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</si>
  <si>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3110</t>
    </r>
  </si>
  <si>
    <r>
      <t>ATK</t>
    </r>
    <r>
      <rPr>
        <b/>
        <sz val="10"/>
        <color theme="1" tint="0.249977111117893"/>
        <rFont val="Aptos Display"/>
        <family val="2"/>
        <scheme val="major"/>
      </rPr>
      <t>3211</t>
    </r>
  </si>
  <si>
    <r>
      <t>DEF</t>
    </r>
    <r>
      <rPr>
        <b/>
        <sz val="10"/>
        <color theme="1" tint="0.249977111117893"/>
        <rFont val="Aptos Display"/>
        <family val="2"/>
        <scheme val="major"/>
      </rPr>
      <t>3312</t>
    </r>
  </si>
  <si>
    <r>
      <t>HP</t>
    </r>
    <r>
      <rPr>
        <b/>
        <sz val="10"/>
        <color theme="1" tint="0.249977111117893"/>
        <rFont val="Aptos Display"/>
        <family val="2"/>
        <scheme val="major"/>
      </rPr>
      <t>3413</t>
    </r>
  </si>
  <si>
    <t>Full Ascension + Full Specialties + Full Covenant/Skin</t>
  </si>
  <si>
    <t>Overall Debuffs (ATK+DEF+HP)</t>
  </si>
  <si>
    <t>ALL Debuffs</t>
  </si>
  <si>
    <t>Shapur I</t>
  </si>
  <si>
    <t>In-Rally Siege Machine HP 5%</t>
  </si>
  <si>
    <t>Montezuma I</t>
  </si>
  <si>
    <t>Victory Column</t>
  </si>
  <si>
    <t>VC 1</t>
  </si>
  <si>
    <t>VC 2</t>
  </si>
  <si>
    <t>VC 3</t>
  </si>
  <si>
    <t>VC 4</t>
  </si>
  <si>
    <t>VC 5</t>
  </si>
  <si>
    <t>VC 6</t>
  </si>
  <si>
    <t>VC 7</t>
  </si>
  <si>
    <t>VC 8</t>
  </si>
  <si>
    <t>VC 9</t>
  </si>
  <si>
    <t>VC 10</t>
  </si>
  <si>
    <t>VC 11</t>
  </si>
  <si>
    <t>VC 0</t>
  </si>
  <si>
    <t>Niccolo Piccinino</t>
  </si>
  <si>
    <t>Lorenzo de' Medici</t>
  </si>
  <si>
    <t>Ground troop Training Capacity 10%</t>
  </si>
  <si>
    <t>Name</t>
  </si>
  <si>
    <t>Pasture</t>
  </si>
  <si>
    <t>Elder</t>
  </si>
  <si>
    <t>Celtic</t>
  </si>
  <si>
    <t>Jawzahr</t>
  </si>
  <si>
    <t>Fafnir</t>
  </si>
  <si>
    <t>Fasolt</t>
  </si>
  <si>
    <t>Radiantwyrm</t>
  </si>
  <si>
    <t>Cuelebre</t>
  </si>
  <si>
    <t>Norway Ridge</t>
  </si>
  <si>
    <t>Thebes</t>
  </si>
  <si>
    <t>Wonder 1</t>
  </si>
  <si>
    <t>Wonder 2</t>
  </si>
  <si>
    <t>Wonder 3</t>
  </si>
  <si>
    <t>Nidhogg</t>
  </si>
  <si>
    <t>Ladon</t>
  </si>
  <si>
    <t>Dragon Egg</t>
  </si>
  <si>
    <t>Amaterasu</t>
  </si>
  <si>
    <t>Colchian</t>
  </si>
  <si>
    <t>Ziz</t>
  </si>
  <si>
    <t>Legendary Egg</t>
  </si>
  <si>
    <t>Miraculous Egg</t>
  </si>
  <si>
    <t>Yggdrasil</t>
  </si>
  <si>
    <t>Gorynych</t>
  </si>
  <si>
    <t>Mengzhang</t>
  </si>
  <si>
    <t>Debuffs</t>
  </si>
  <si>
    <t>Effect 1</t>
  </si>
  <si>
    <t>Effect 2</t>
  </si>
  <si>
    <t>Where/How</t>
  </si>
  <si>
    <t>Buffs Max Level</t>
  </si>
  <si>
    <t>Debuffs Max Dragon Level</t>
  </si>
  <si>
    <t>Lvl 60 Activation Skill</t>
  </si>
  <si>
    <t>Enemy Ranged Atk -30%</t>
  </si>
  <si>
    <r>
      <t>ATK</t>
    </r>
    <r>
      <rPr>
        <b/>
        <sz val="9"/>
        <color theme="6" tint="-0.249977111117893"/>
        <rFont val="Aptos Narrow"/>
        <family val="2"/>
        <scheme val="minor"/>
      </rPr>
      <t>1414</t>
    </r>
  </si>
  <si>
    <r>
      <t>DEF</t>
    </r>
    <r>
      <rPr>
        <b/>
        <sz val="9"/>
        <color theme="6" tint="-0.249977111117893"/>
        <rFont val="Aptos Narrow"/>
        <family val="2"/>
        <scheme val="minor"/>
      </rPr>
      <t>1515</t>
    </r>
  </si>
  <si>
    <r>
      <t>ATK</t>
    </r>
    <r>
      <rPr>
        <b/>
        <sz val="9"/>
        <color theme="6" tint="-0.249977111117893"/>
        <rFont val="Aptos Narrow"/>
        <family val="2"/>
        <scheme val="minor"/>
      </rPr>
      <t>232</t>
    </r>
  </si>
  <si>
    <r>
      <t>DEF</t>
    </r>
    <r>
      <rPr>
        <b/>
        <sz val="9"/>
        <color theme="6" tint="-0.249977111117893"/>
        <rFont val="Aptos Narrow"/>
        <family val="2"/>
        <scheme val="minor"/>
      </rPr>
      <t>243</t>
    </r>
  </si>
  <si>
    <r>
      <t>HP</t>
    </r>
    <r>
      <rPr>
        <b/>
        <sz val="9"/>
        <color theme="6" tint="-0.249977111117893"/>
        <rFont val="Aptos Narrow"/>
        <family val="2"/>
        <scheme val="minor"/>
      </rPr>
      <t>254</t>
    </r>
  </si>
  <si>
    <r>
      <t>ATK</t>
    </r>
    <r>
      <rPr>
        <b/>
        <sz val="9"/>
        <color theme="6" tint="-0.249977111117893"/>
        <rFont val="Aptos Narrow"/>
        <family val="2"/>
        <scheme val="minor"/>
      </rPr>
      <t>265</t>
    </r>
  </si>
  <si>
    <r>
      <t>DEF</t>
    </r>
    <r>
      <rPr>
        <b/>
        <sz val="9"/>
        <color theme="6" tint="-0.249977111117893"/>
        <rFont val="Aptos Narrow"/>
        <family val="2"/>
        <scheme val="minor"/>
      </rPr>
      <t>276</t>
    </r>
  </si>
  <si>
    <r>
      <t>HP</t>
    </r>
    <r>
      <rPr>
        <b/>
        <sz val="9"/>
        <color theme="6" tint="-0.249977111117893"/>
        <rFont val="Aptos Narrow"/>
        <family val="2"/>
        <scheme val="minor"/>
      </rPr>
      <t>287</t>
    </r>
  </si>
  <si>
    <r>
      <t>ATK</t>
    </r>
    <r>
      <rPr>
        <b/>
        <sz val="9"/>
        <color theme="6" tint="-0.249977111117893"/>
        <rFont val="Aptos Narrow"/>
        <family val="2"/>
        <scheme val="minor"/>
      </rPr>
      <t>298</t>
    </r>
  </si>
  <si>
    <r>
      <t>DEF</t>
    </r>
    <r>
      <rPr>
        <b/>
        <sz val="9"/>
        <color theme="6" tint="-0.249977111117893"/>
        <rFont val="Aptos Narrow"/>
        <family val="2"/>
        <scheme val="minor"/>
      </rPr>
      <t>309</t>
    </r>
  </si>
  <si>
    <r>
      <t>HP</t>
    </r>
    <r>
      <rPr>
        <b/>
        <sz val="9"/>
        <color theme="6" tint="-0.249977111117893"/>
        <rFont val="Aptos Narrow"/>
        <family val="2"/>
        <scheme val="minor"/>
      </rPr>
      <t>3110</t>
    </r>
  </si>
  <si>
    <r>
      <t>ATK</t>
    </r>
    <r>
      <rPr>
        <b/>
        <sz val="9"/>
        <color theme="6" tint="-0.249977111117893"/>
        <rFont val="Aptos Narrow"/>
        <family val="2"/>
        <scheme val="minor"/>
      </rPr>
      <t>3211</t>
    </r>
  </si>
  <si>
    <r>
      <t>DEF</t>
    </r>
    <r>
      <rPr>
        <b/>
        <sz val="9"/>
        <color theme="6" tint="-0.249977111117893"/>
        <rFont val="Aptos Narrow"/>
        <family val="2"/>
        <scheme val="minor"/>
      </rPr>
      <t>3312</t>
    </r>
  </si>
  <si>
    <r>
      <t>HP</t>
    </r>
    <r>
      <rPr>
        <b/>
        <sz val="9"/>
        <color theme="6" tint="-0.249977111117893"/>
        <rFont val="Aptos Narrow"/>
        <family val="2"/>
        <scheme val="minor"/>
      </rPr>
      <t>3413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</si>
  <si>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24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</si>
  <si>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25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</si>
  <si>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26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</si>
  <si>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27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</si>
  <si>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28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</si>
  <si>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29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</si>
  <si>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30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</si>
  <si>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31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</si>
  <si>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32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</si>
  <si>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33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</si>
  <si>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34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</si>
  <si>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36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</si>
  <si>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37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</si>
  <si>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38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</si>
  <si>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39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</si>
  <si>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40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</si>
  <si>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41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</si>
  <si>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42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</si>
  <si>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43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</si>
  <si>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44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</si>
  <si>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45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</si>
  <si>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46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</si>
  <si>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11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</si>
  <si>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12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</si>
  <si>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13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</si>
  <si>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14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</si>
  <si>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15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</si>
  <si>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16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</si>
  <si>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17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</si>
  <si>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18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</si>
  <si>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19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</si>
  <si>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20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</si>
  <si>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21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</si>
  <si>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22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</si>
  <si>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2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</si>
  <si>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3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</si>
  <si>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4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</si>
  <si>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5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</si>
  <si>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6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</si>
  <si>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7</t>
    </r>
  </si>
  <si>
    <r>
      <t>ATK</t>
    </r>
    <r>
      <rPr>
        <b/>
        <sz val="9"/>
        <color theme="1" tint="0.249977111117893"/>
        <rFont val="Aptos Narrow"/>
        <family val="2"/>
        <scheme val="minor"/>
      </rPr>
      <t>8</t>
    </r>
  </si>
  <si>
    <r>
      <t>DEF</t>
    </r>
    <r>
      <rPr>
        <b/>
        <sz val="9"/>
        <color theme="1" tint="0.249977111117893"/>
        <rFont val="Aptos Narrow"/>
        <family val="2"/>
        <scheme val="minor"/>
      </rPr>
      <t>9</t>
    </r>
  </si>
  <si>
    <r>
      <t>HP</t>
    </r>
    <r>
      <rPr>
        <b/>
        <sz val="9"/>
        <color theme="1" tint="0.249977111117893"/>
        <rFont val="Aptos Narrow"/>
        <family val="2"/>
        <scheme val="minor"/>
      </rPr>
      <t>10</t>
    </r>
  </si>
  <si>
    <r>
      <t>ATK</t>
    </r>
    <r>
      <rPr>
        <b/>
        <sz val="9"/>
        <color theme="6" tint="-0.249977111117893"/>
        <rFont val="Aptos Narrow"/>
        <family val="2"/>
        <scheme val="minor"/>
      </rPr>
      <t>352</t>
    </r>
  </si>
  <si>
    <r>
      <t>DEF</t>
    </r>
    <r>
      <rPr>
        <b/>
        <sz val="9"/>
        <color theme="6" tint="-0.249977111117893"/>
        <rFont val="Aptos Narrow"/>
        <family val="2"/>
        <scheme val="minor"/>
      </rPr>
      <t>363</t>
    </r>
  </si>
  <si>
    <r>
      <t>HP</t>
    </r>
    <r>
      <rPr>
        <b/>
        <sz val="9"/>
        <color theme="6" tint="-0.249977111117893"/>
        <rFont val="Aptos Narrow"/>
        <family val="2"/>
        <scheme val="minor"/>
      </rPr>
      <t>374</t>
    </r>
  </si>
  <si>
    <r>
      <t>ATK</t>
    </r>
    <r>
      <rPr>
        <b/>
        <sz val="9"/>
        <color theme="6" tint="-0.249977111117893"/>
        <rFont val="Aptos Narrow"/>
        <family val="2"/>
        <scheme val="minor"/>
      </rPr>
      <t>385</t>
    </r>
  </si>
  <si>
    <r>
      <t>DEF</t>
    </r>
    <r>
      <rPr>
        <b/>
        <sz val="9"/>
        <color theme="6" tint="-0.249977111117893"/>
        <rFont val="Aptos Narrow"/>
        <family val="2"/>
        <scheme val="minor"/>
      </rPr>
      <t>396</t>
    </r>
  </si>
  <si>
    <r>
      <t>HP</t>
    </r>
    <r>
      <rPr>
        <b/>
        <sz val="9"/>
        <color theme="6" tint="-0.249977111117893"/>
        <rFont val="Aptos Narrow"/>
        <family val="2"/>
        <scheme val="minor"/>
      </rPr>
      <t>407</t>
    </r>
  </si>
  <si>
    <r>
      <t>ATK</t>
    </r>
    <r>
      <rPr>
        <b/>
        <sz val="9"/>
        <color theme="6" tint="-0.249977111117893"/>
        <rFont val="Aptos Narrow"/>
        <family val="2"/>
        <scheme val="minor"/>
      </rPr>
      <t>418</t>
    </r>
  </si>
  <si>
    <r>
      <t>DEF</t>
    </r>
    <r>
      <rPr>
        <b/>
        <sz val="9"/>
        <color theme="6" tint="-0.249977111117893"/>
        <rFont val="Aptos Narrow"/>
        <family val="2"/>
        <scheme val="minor"/>
      </rPr>
      <t>429</t>
    </r>
  </si>
  <si>
    <r>
      <t>HP</t>
    </r>
    <r>
      <rPr>
        <b/>
        <sz val="9"/>
        <color theme="6" tint="-0.249977111117893"/>
        <rFont val="Aptos Narrow"/>
        <family val="2"/>
        <scheme val="minor"/>
      </rPr>
      <t>4310</t>
    </r>
  </si>
  <si>
    <r>
      <t>ATK</t>
    </r>
    <r>
      <rPr>
        <b/>
        <sz val="9"/>
        <color theme="6" tint="-0.249977111117893"/>
        <rFont val="Aptos Narrow"/>
        <family val="2"/>
        <scheme val="minor"/>
      </rPr>
      <t>4411</t>
    </r>
  </si>
  <si>
    <r>
      <t>DEF</t>
    </r>
    <r>
      <rPr>
        <b/>
        <sz val="9"/>
        <color theme="6" tint="-0.249977111117893"/>
        <rFont val="Aptos Narrow"/>
        <family val="2"/>
        <scheme val="minor"/>
      </rPr>
      <t>4512</t>
    </r>
  </si>
  <si>
    <r>
      <t>HP</t>
    </r>
    <r>
      <rPr>
        <b/>
        <sz val="9"/>
        <color theme="6" tint="-0.249977111117893"/>
        <rFont val="Aptos Narrow"/>
        <family val="2"/>
        <scheme val="minor"/>
      </rPr>
      <t>4613</t>
    </r>
  </si>
  <si>
    <t>Special</t>
  </si>
  <si>
    <t>Mentions</t>
  </si>
  <si>
    <t>Enemy Ground and Mounted HP -45%</t>
  </si>
  <si>
    <t>Enemy Ground and Mounted ATK -45%</t>
  </si>
  <si>
    <r>
      <t>ATK</t>
    </r>
    <r>
      <rPr>
        <b/>
        <sz val="9"/>
        <color theme="6" tint="-0.249977111117893"/>
        <rFont val="Aptos Narrow"/>
        <family val="2"/>
        <scheme val="minor"/>
      </rPr>
      <t>23</t>
    </r>
  </si>
  <si>
    <r>
      <t>ATK</t>
    </r>
    <r>
      <rPr>
        <b/>
        <sz val="9"/>
        <color theme="6" tint="-0.249977111117893"/>
        <rFont val="Aptos Narrow"/>
        <family val="2"/>
        <scheme val="minor"/>
      </rPr>
      <t>35</t>
    </r>
  </si>
  <si>
    <t>Total MS</t>
  </si>
  <si>
    <r>
      <t>MS</t>
    </r>
    <r>
      <rPr>
        <b/>
        <sz val="9"/>
        <color theme="6" tint="-0.249977111117893"/>
        <rFont val="Aptos Narrow"/>
        <family val="2"/>
        <scheme val="minor"/>
      </rPr>
      <t>3</t>
    </r>
  </si>
  <si>
    <r>
      <t>MS</t>
    </r>
    <r>
      <rPr>
        <b/>
        <sz val="9"/>
        <color theme="6" tint="-0.249977111117893"/>
        <rFont val="Aptos Narrow"/>
        <family val="2"/>
        <scheme val="minor"/>
      </rPr>
      <t>2</t>
    </r>
  </si>
  <si>
    <t>Own Troops Death to survival 6% when attacking</t>
  </si>
  <si>
    <t>Enemy Troop HP -20%</t>
  </si>
  <si>
    <t>Ranged &amp; Siege ATK DEF HP +20%</t>
  </si>
  <si>
    <t>Enemy Ground and Mounted DEF and HP -30%</t>
  </si>
  <si>
    <t>Attacking Ground and Mounted ATK DEF HP +25%</t>
  </si>
  <si>
    <t>Enemy Ranged and Siege DEF and HP -30%</t>
  </si>
  <si>
    <t>All troops Defence -25%</t>
  </si>
  <si>
    <t>Mounted Atk on Monsters +56%</t>
  </si>
  <si>
    <t>Sub City Training Speed +39%</t>
  </si>
  <si>
    <t>Hospital Capcaity +45% at Max Level</t>
  </si>
  <si>
    <t>ALL Troops HP +50%</t>
  </si>
  <si>
    <t>Attacking Siege and Ranged Attack +55%</t>
  </si>
  <si>
    <t>Research Speed +20%</t>
  </si>
  <si>
    <t>Healing Speed +30%</t>
  </si>
  <si>
    <t>Training Speed +20%</t>
  </si>
  <si>
    <t>Attacking Mounted Troop Defense +24%</t>
  </si>
  <si>
    <t>In-City Ranged and Siege Attack +30%</t>
  </si>
  <si>
    <t>All troops Attack +40%</t>
  </si>
  <si>
    <t>In City Troop HP +55%</t>
  </si>
  <si>
    <t>Instant Heal 20% of Hospital in Battlefield</t>
  </si>
  <si>
    <t>Heal Speed +40%</t>
  </si>
  <si>
    <t>March Size +25%</t>
  </si>
  <si>
    <t>Hospital Capacity +12%</t>
  </si>
  <si>
    <t>Construction Speed +24%</t>
  </si>
  <si>
    <t>In City Mounted Troop Attack +30%</t>
  </si>
  <si>
    <t>March Speed +30%</t>
  </si>
  <si>
    <t>Healing Speed +20%</t>
  </si>
  <si>
    <t>Hospital Capacity +20%</t>
  </si>
  <si>
    <t>Construction Speed +20%</t>
  </si>
  <si>
    <t>March Speed +40% from Max Level and +84% from Max Talents</t>
  </si>
  <si>
    <t>Attacking Mounted and Ground ATK +40%</t>
  </si>
  <si>
    <t>Enemy Ranged and Siege ATK -40%</t>
  </si>
  <si>
    <t>ALL Troops ATK +20%</t>
  </si>
  <si>
    <t>Defending Own City (Wall)</t>
  </si>
  <si>
    <t>Fasolt (In-Rally)</t>
  </si>
  <si>
    <t>Attacking (PvP)</t>
  </si>
  <si>
    <t>DRAGON</t>
  </si>
  <si>
    <t>NO DRAGON</t>
  </si>
  <si>
    <t>T1-T10</t>
  </si>
  <si>
    <t>T11-T17</t>
  </si>
  <si>
    <t>G</t>
  </si>
  <si>
    <t>R</t>
  </si>
  <si>
    <t>M</t>
  </si>
  <si>
    <t>S</t>
  </si>
  <si>
    <t>Mikhail Kutuzov</t>
  </si>
  <si>
    <t>Workshop</t>
  </si>
  <si>
    <t>Gwon Ryul</t>
  </si>
  <si>
    <t>Roger II</t>
  </si>
  <si>
    <t>Guinevere</t>
  </si>
  <si>
    <t>Warehouse</t>
  </si>
  <si>
    <t>Askia Muhammad I</t>
  </si>
  <si>
    <t>Trap Factory</t>
  </si>
  <si>
    <t>Otto the Great</t>
  </si>
  <si>
    <t>Oleg of Novgorod</t>
  </si>
  <si>
    <t>Stables</t>
  </si>
  <si>
    <t>John Adams</t>
  </si>
  <si>
    <t>Stilicho</t>
  </si>
  <si>
    <t>Stephen the Great</t>
  </si>
  <si>
    <t>Research Factory</t>
  </si>
  <si>
    <t>Zhang Liang</t>
  </si>
  <si>
    <t>Niwa Nagahide</t>
  </si>
  <si>
    <t>Toyotomi Hideyoshi</t>
  </si>
  <si>
    <t>Sargon I</t>
  </si>
  <si>
    <t>Military Academy</t>
  </si>
  <si>
    <t>Justinian I</t>
  </si>
  <si>
    <t>Yolande of Aragon</t>
  </si>
  <si>
    <t>Market</t>
  </si>
  <si>
    <t>Michael VIII</t>
  </si>
  <si>
    <t>Hera</t>
  </si>
  <si>
    <t>Keep</t>
  </si>
  <si>
    <t>Ashoka</t>
  </si>
  <si>
    <t>Menshikov</t>
  </si>
  <si>
    <t>Zhuge Liang</t>
  </si>
  <si>
    <t>Blanche</t>
  </si>
  <si>
    <t>Hospital</t>
  </si>
  <si>
    <t>Pericles</t>
  </si>
  <si>
    <t>Skanderbeg</t>
  </si>
  <si>
    <t>Trivia Hecate</t>
  </si>
  <si>
    <t>Holy Palace</t>
  </si>
  <si>
    <t>Helena</t>
  </si>
  <si>
    <t>Ono no Imoko</t>
  </si>
  <si>
    <t>Forge</t>
  </si>
  <si>
    <t>Queen Anne</t>
  </si>
  <si>
    <t>Embassy</t>
  </si>
  <si>
    <t>Heraclius</t>
  </si>
  <si>
    <t>Caterina Sforza</t>
  </si>
  <si>
    <t>Bunker</t>
  </si>
  <si>
    <t>Clovis I</t>
  </si>
  <si>
    <t>Abd al-Rahman I</t>
  </si>
  <si>
    <t>Barracks</t>
  </si>
  <si>
    <t>Liu Bei</t>
  </si>
  <si>
    <t>Jiang Ziya</t>
  </si>
  <si>
    <t>Ban Chao</t>
  </si>
  <si>
    <t>Archer Tower</t>
  </si>
  <si>
    <t>Themistocles</t>
  </si>
  <si>
    <t>Maurice of Nassau</t>
  </si>
  <si>
    <t>John Hawkwood</t>
  </si>
  <si>
    <t>Archer Camp</t>
  </si>
  <si>
    <t>Sulla</t>
  </si>
  <si>
    <t>John I of Portugal</t>
  </si>
  <si>
    <t>Sun Wu</t>
  </si>
  <si>
    <t>Academy</t>
  </si>
  <si>
    <t>Eulij Mundeok</t>
  </si>
  <si>
    <t>Hammurabi</t>
  </si>
  <si>
    <r>
      <t>HP</t>
    </r>
    <r>
      <rPr>
        <b/>
        <sz val="11"/>
        <color theme="1" tint="0.249977111117893"/>
        <rFont val="Aptos Display"/>
        <family val="2"/>
        <scheme val="major"/>
      </rPr>
      <t>46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</si>
  <si>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45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</si>
  <si>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44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</si>
  <si>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43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</si>
  <si>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42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</si>
  <si>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41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</si>
  <si>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40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</si>
  <si>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39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</si>
  <si>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38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</si>
  <si>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37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</si>
  <si>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36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</si>
  <si>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35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</si>
  <si>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3413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</si>
  <si>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3312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</si>
  <si>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3211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</si>
  <si>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3110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</si>
  <si>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309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</si>
  <si>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298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</si>
  <si>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287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</si>
  <si>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276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</si>
  <si>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265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</si>
  <si>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254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</si>
  <si>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243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</si>
  <si>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232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</si>
  <si>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34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</si>
  <si>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33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</si>
  <si>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32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</si>
  <si>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31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</si>
  <si>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30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</si>
  <si>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29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</si>
  <si>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28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</si>
  <si>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27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</si>
  <si>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26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</si>
  <si>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25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</si>
  <si>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24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</si>
  <si>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23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</si>
  <si>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22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</si>
  <si>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21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</si>
  <si>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20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</si>
  <si>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19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</si>
  <si>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18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</si>
  <si>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17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</si>
  <si>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16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</si>
  <si>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15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</si>
  <si>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14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</si>
  <si>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13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</si>
  <si>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12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</si>
  <si>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11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</si>
  <si>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10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</si>
  <si>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9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</si>
  <si>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8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</si>
  <si>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7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</si>
  <si>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6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</si>
  <si>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5</t>
    </r>
  </si>
  <si>
    <r>
      <t>HP</t>
    </r>
    <r>
      <rPr>
        <b/>
        <sz val="11"/>
        <color theme="1" tint="0.249977111117893"/>
        <rFont val="Aptos Display"/>
        <family val="2"/>
        <scheme val="major"/>
      </rPr>
      <t>4</t>
    </r>
  </si>
  <si>
    <r>
      <t>DEF</t>
    </r>
    <r>
      <rPr>
        <b/>
        <sz val="11"/>
        <color theme="1" tint="0.249977111117893"/>
        <rFont val="Aptos Display"/>
        <family val="2"/>
        <scheme val="major"/>
      </rPr>
      <t>3</t>
    </r>
  </si>
  <si>
    <r>
      <t>ATK</t>
    </r>
    <r>
      <rPr>
        <b/>
        <sz val="11"/>
        <color theme="1" tint="0.249977111117893"/>
        <rFont val="Aptos Display"/>
        <family val="2"/>
        <scheme val="major"/>
      </rPr>
      <t>2</t>
    </r>
  </si>
  <si>
    <t>Rally Capacity</t>
  </si>
  <si>
    <t>Duty Officer</t>
  </si>
  <si>
    <t>Full Ascension + Full Specialties + Full Covenant/Skin (DEBUFFS)</t>
  </si>
  <si>
    <t>Full Covenant/Skin (Debuffs)</t>
  </si>
  <si>
    <t>Full Specialties (Debuffs)</t>
  </si>
  <si>
    <t>Full Ascension (Debuffs)</t>
  </si>
  <si>
    <t>Main Skill (Debuffs)</t>
  </si>
  <si>
    <t>Full Ascension + Full Specialties + Full Covenant/Skin (BUFFS)</t>
  </si>
  <si>
    <t>Overall Buffs (ATK+DEF+HP)</t>
  </si>
  <si>
    <t>ALL Buffs</t>
  </si>
  <si>
    <t>When Attacking (In-Rally and Universal Buffs)</t>
  </si>
  <si>
    <t>When Defending (In-City and Universal Buffs)</t>
  </si>
  <si>
    <t>Tier</t>
  </si>
  <si>
    <t>Type</t>
  </si>
  <si>
    <t>Speed</t>
  </si>
  <si>
    <t>Range</t>
  </si>
  <si>
    <t>Power</t>
  </si>
  <si>
    <t>SvS Points</t>
  </si>
  <si>
    <t>BF Points</t>
  </si>
  <si>
    <t>Def</t>
  </si>
  <si>
    <t>Atk</t>
  </si>
  <si>
    <t>Maximum Flat Refines</t>
  </si>
  <si>
    <t>Troop</t>
  </si>
  <si>
    <t>Average Stats T1-T17</t>
  </si>
  <si>
    <t>Troop Modifiers</t>
  </si>
  <si>
    <t>A % Equiv.</t>
  </si>
  <si>
    <t>D % Equiv.</t>
  </si>
  <si>
    <t>H % Equiv.</t>
  </si>
  <si>
    <t>Stephen I of Hungary</t>
  </si>
  <si>
    <t>Mounted Troop HP 5%</t>
  </si>
  <si>
    <t>Rumyantsev</t>
  </si>
  <si>
    <t>Dmitry</t>
  </si>
  <si>
    <t>Vladimir the Great</t>
  </si>
  <si>
    <t>In-Rally Ranged Troop HP 5%</t>
  </si>
  <si>
    <t>Visconti</t>
  </si>
  <si>
    <t>In-Rally Ranged Troop Attack 5%</t>
  </si>
  <si>
    <t>Olaf Skotkonung</t>
  </si>
  <si>
    <t>Vladimir the great</t>
  </si>
  <si>
    <t>Daniel Morgan</t>
  </si>
  <si>
    <t>Zachary Taylor</t>
  </si>
  <si>
    <t>Reinforcing siege Machine Attack 5%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</si>
  <si>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</si>
  <si>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</si>
  <si>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</si>
  <si>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</si>
  <si>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</si>
  <si>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</si>
  <si>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</si>
  <si>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</si>
  <si>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</si>
  <si>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</si>
  <si>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</si>
  <si>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Francis I of France</t>
  </si>
  <si>
    <t>Suleiman the Magnificent</t>
  </si>
  <si>
    <t>Tishtrya</t>
  </si>
  <si>
    <t>Rostam</t>
  </si>
  <si>
    <t>In Rally Mounted Troop Attack 5%</t>
  </si>
  <si>
    <t>In Rally Mounted Troop Defense 5%</t>
  </si>
  <si>
    <t>Vercingetorix</t>
  </si>
  <si>
    <t>In-Rally Ground Troop Attack 5%</t>
  </si>
  <si>
    <t>Lvl 120 Talent Buffs</t>
  </si>
  <si>
    <t>Level 120 Talent Debuffs</t>
  </si>
  <si>
    <t>Total Buffs (Max Dragon Level + Level 120 Talents)</t>
  </si>
  <si>
    <t>Marcian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</si>
</sst>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  <numFmt numFmtId="166" formatCode="0.00,,,&quot;B&quot;"/>
  </numFmts>
  <fonts count="5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sz val="10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color theme="1" tint="0.249977111117893"/>
      <name val="Aptos Display"/>
      <family val="2"/>
      <scheme val="major"/>
    </font>
    <font>
      <b/>
      <sz val="10"/>
      <color rgb="FF7030A0"/>
      <name val="Aptos Display"/>
      <family val="2"/>
      <scheme val="major"/>
    </font>
    <font>
      <i/>
      <sz val="11"/>
      <color rgb="FF7F7F7F"/>
      <name val="Aptos Narrow"/>
      <family val="2"/>
      <scheme val="minor"/>
    </font>
    <font>
      <sz val="10"/>
      <color theme="1" tint="0.249977111117893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0"/>
      <color theme="6" tint="-0.249977111117893"/>
      <name val="Aptos Display"/>
      <family val="2"/>
      <scheme val="major"/>
    </font>
    <font>
      <i/>
      <sz val="10"/>
      <color rgb="FF7F7F7F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2"/>
      <color rgb="FF7030A0"/>
      <name val="Aptos Display"/>
      <family val="2"/>
      <scheme val="major"/>
    </font>
    <font>
      <b/>
      <sz val="11"/>
      <color rgb="FF7030A0"/>
      <name val="Aptos Display"/>
      <family val="2"/>
      <scheme val="major"/>
    </font>
    <font>
      <b/>
      <sz val="14"/>
      <name val="Aptos Display"/>
      <family val="2"/>
      <scheme val="major"/>
    </font>
    <font>
      <sz val="14"/>
      <color theme="2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8"/>
      <color theme="0"/>
      <name val="Aptos Display"/>
      <family val="2"/>
      <scheme val="major"/>
    </font>
    <font>
      <sz val="7"/>
      <color theme="1"/>
      <name val="Aptos Display"/>
      <family val="2"/>
      <scheme val="major"/>
    </font>
    <font>
      <b/>
      <sz val="7"/>
      <color theme="0"/>
      <name val="Aptos Display"/>
      <family val="2"/>
      <scheme val="major"/>
    </font>
    <font>
      <b/>
      <sz val="7"/>
      <color theme="1"/>
      <name val="Aptos Display"/>
      <family val="2"/>
      <scheme val="major"/>
    </font>
    <font>
      <b/>
      <sz val="7"/>
      <name val="Aptos Display"/>
      <family val="2"/>
      <scheme val="major"/>
    </font>
    <font>
      <sz val="11"/>
      <name val="Aptos Display"/>
      <family val="2"/>
      <scheme val="major"/>
    </font>
    <font>
      <sz val="10"/>
      <name val="Aptos Display"/>
      <family val="2"/>
      <scheme val="major"/>
    </font>
    <font>
      <i/>
      <sz val="10"/>
      <name val="Aptos Display"/>
      <family val="2"/>
      <scheme val="maj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6" tint="-0.249977111117893"/>
      <name val="Aptos Narrow"/>
      <family val="2"/>
      <scheme val="minor"/>
    </font>
    <font>
      <b/>
      <sz val="9"/>
      <color theme="1" tint="0.249977111117893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 tint="0.249977111117893"/>
      <name val="Aptos Display"/>
      <family val="2"/>
      <scheme val="major"/>
    </font>
    <font>
      <sz val="11"/>
      <color theme="0"/>
      <name val="Aptos Display"/>
      <family val="2"/>
      <scheme val="major"/>
    </font>
    <font>
      <sz val="11"/>
      <color theme="1"/>
      <name val="Calibri"/>
    </font>
    <font>
      <b/>
      <sz val="9"/>
      <color indexed="81"/>
      <name val="Tahoma"/>
      <charset val="1"/>
    </font>
    <font>
      <sz val="12"/>
      <color theme="1"/>
      <name val="Aptos Display"/>
      <family val="2"/>
      <scheme val="major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theme="0" tint="-0.34998626667073579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theme="0" tint="-0.14999847407452621"/>
      </patternFill>
    </fill>
    <fill>
      <gradientFill degree="90">
        <stop position="0">
          <color rgb="FFFF0000"/>
        </stop>
        <stop position="0.5">
          <color rgb="FFFFFF00"/>
        </stop>
        <stop position="1">
          <color rgb="FFFF0000"/>
        </stop>
      </gradientFill>
    </fill>
    <fill>
      <gradientFill degree="90">
        <stop position="0">
          <color theme="3" tint="0.74901577806939912"/>
        </stop>
        <stop position="0.5">
          <color theme="4" tint="-0.49803155613879818"/>
        </stop>
        <stop position="1">
          <color theme="3" tint="0.74901577806939912"/>
        </stop>
      </gradientFill>
    </fill>
    <fill>
      <gradientFill degree="90">
        <stop position="0">
          <color theme="0" tint="-0.1490218817712943"/>
        </stop>
        <stop position="0.5">
          <color theme="0" tint="-0.49803155613879818"/>
        </stop>
        <stop position="1">
          <color theme="0" tint="-0.1490218817712943"/>
        </stop>
      </gradientFill>
    </fill>
    <fill>
      <gradientFill degree="90">
        <stop position="0">
          <color theme="3" tint="0.49803155613879818"/>
        </stop>
        <stop position="0.5">
          <color theme="4" tint="-0.49803155613879818"/>
        </stop>
        <stop position="1">
          <color theme="3" tint="0.49803155613879818"/>
        </stop>
      </gradientFill>
    </fill>
    <fill>
      <gradientFill degree="90">
        <stop position="0">
          <color theme="1" tint="0.49803155613879818"/>
        </stop>
        <stop position="0.5">
          <color theme="1" tint="0.25098422193060094"/>
        </stop>
        <stop position="1">
          <color theme="1" tint="0.49803155613879818"/>
        </stop>
      </gradientFill>
    </fill>
    <fill>
      <gradientFill degree="90">
        <stop position="0">
          <color theme="3" tint="0.74901577806939912"/>
        </stop>
        <stop position="0.5">
          <color theme="3" tint="0.49803155613879818"/>
        </stop>
        <stop position="1">
          <color theme="3" tint="0.74901577806939912"/>
        </stop>
      </gradientFill>
    </fill>
    <fill>
      <gradientFill degree="90">
        <stop position="0">
          <color rgb="FFFFF871"/>
        </stop>
        <stop position="0.5">
          <color rgb="FFFFFF00"/>
        </stop>
        <stop position="1">
          <color rgb="FFFFF871"/>
        </stop>
      </gradientFill>
    </fill>
    <fill>
      <gradientFill degree="90">
        <stop position="0">
          <color theme="5" tint="0.59999389629810485"/>
        </stop>
        <stop position="0.5">
          <color rgb="FFFF0000"/>
        </stop>
        <stop position="1">
          <color theme="5" tint="0.59999389629810485"/>
        </stop>
      </gradientFill>
    </fill>
    <fill>
      <gradientFill degree="90">
        <stop position="0">
          <color theme="9" tint="0.40000610370189521"/>
        </stop>
        <stop position="0.5">
          <color rgb="FF00B050"/>
        </stop>
        <stop position="1">
          <color theme="9" tint="0.40000610370189521"/>
        </stop>
      </gradientFill>
    </fill>
    <fill>
      <gradientFill degree="90">
        <stop position="0">
          <color theme="3" tint="0.49803155613879818"/>
        </stop>
        <stop position="0.5">
          <color rgb="FF002060"/>
        </stop>
        <stop position="1">
          <color theme="3" tint="0.49803155613879818"/>
        </stop>
      </gradientFill>
    </fill>
    <fill>
      <gradientFill degree="90">
        <stop position="0">
          <color theme="0" tint="-0.1490218817712943"/>
        </stop>
        <stop position="0.5">
          <color theme="0" tint="-0.34900967436750391"/>
        </stop>
        <stop position="1">
          <color theme="0" tint="-0.1490218817712943"/>
        </stop>
      </gradientFill>
    </fill>
    <fill>
      <gradientFill degree="90">
        <stop position="0">
          <color theme="5" tint="0.59999389629810485"/>
        </stop>
        <stop position="0.5">
          <color rgb="FFFFFF00"/>
        </stop>
        <stop position="1">
          <color theme="5" tint="0.59999389629810485"/>
        </stop>
      </gradientFill>
    </fill>
    <fill>
      <gradientFill degree="90">
        <stop position="0">
          <color theme="9" tint="0.59999389629810485"/>
        </stop>
        <stop position="0.5">
          <color rgb="FF00B050"/>
        </stop>
        <stop position="1">
          <color theme="9" tint="0.59999389629810485"/>
        </stop>
      </gradientFill>
    </fill>
    <fill>
      <gradientFill degree="90">
        <stop position="0">
          <color rgb="FF0070C0"/>
        </stop>
        <stop position="0.5">
          <color rgb="FF002060"/>
        </stop>
        <stop position="1">
          <color rgb="FF0070C0"/>
        </stop>
      </gradientFill>
    </fill>
    <fill>
      <gradientFill degree="90">
        <stop position="0">
          <color theme="3" tint="0.74901577806939912"/>
        </stop>
        <stop position="0.5">
          <color rgb="FF00B0F0"/>
        </stop>
        <stop position="1">
          <color theme="3" tint="0.74901577806939912"/>
        </stop>
      </gradientFill>
    </fill>
    <fill>
      <gradientFill degree="90">
        <stop position="0">
          <color rgb="FFFFC000"/>
        </stop>
        <stop position="0.5">
          <color rgb="FFFFFF00"/>
        </stop>
        <stop position="1">
          <color rgb="FFFFC000"/>
        </stop>
      </gradientFill>
    </fill>
    <fill>
      <gradientFill degree="90">
        <stop position="0">
          <color theme="5" tint="0.40000610370189521"/>
        </stop>
        <stop position="0.5">
          <color rgb="FFFF0000"/>
        </stop>
        <stop position="1">
          <color theme="5" tint="0.40000610370189521"/>
        </stop>
      </gradientFill>
    </fill>
    <fill>
      <gradientFill degree="90">
        <stop position="0">
          <color theme="4" tint="0.40000610370189521"/>
        </stop>
        <stop position="0.5">
          <color rgb="FF002060"/>
        </stop>
        <stop position="1">
          <color theme="4" tint="0.40000610370189521"/>
        </stop>
      </gradientFill>
    </fill>
    <fill>
      <gradientFill degree="90">
        <stop position="0">
          <color theme="6" tint="-0.25098422193060094"/>
        </stop>
        <stop position="0.5">
          <color theme="6" tint="-0.49803155613879818"/>
        </stop>
        <stop position="1">
          <color theme="6" tint="-0.25098422193060094"/>
        </stop>
      </gradient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0" tint="-0.14999847407452621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ck">
        <color indexed="64"/>
      </right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ck">
        <color indexed="64"/>
      </left>
      <right/>
      <top style="thick">
        <color theme="0"/>
      </top>
      <bottom/>
      <diagonal/>
    </border>
    <border>
      <left style="double">
        <color indexed="64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ck">
        <color indexed="64"/>
      </left>
      <right/>
      <top style="thin">
        <color theme="0"/>
      </top>
      <bottom/>
      <diagonal/>
    </border>
    <border>
      <left style="double">
        <color indexed="64"/>
      </left>
      <right/>
      <top style="thin">
        <color theme="0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/>
      <top style="medium">
        <color theme="1"/>
      </top>
      <bottom/>
      <diagonal/>
    </border>
    <border>
      <left style="double">
        <color indexed="64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indexed="64"/>
      </left>
      <right/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665">
    <xf numFmtId="0" fontId="0" fillId="0" borderId="0" xfId="0"/>
    <xf numFmtId="0" fontId="1" fillId="7" borderId="1" xfId="0" applyFont="1" applyFill="1" applyBorder="1" applyAlignment="1" applyProtection="1">
      <alignment horizontal="center" vertical="center" wrapText="1"/>
      <protection hidden="1"/>
    </xf>
    <xf numFmtId="43" fontId="0" fillId="0" borderId="4" xfId="1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1" fillId="7" borderId="6" xfId="0" applyFont="1" applyFill="1" applyBorder="1" applyAlignment="1" applyProtection="1">
      <alignment vertical="center" wrapText="1"/>
      <protection hidden="1"/>
    </xf>
    <xf numFmtId="164" fontId="0" fillId="0" borderId="1" xfId="1" applyNumberFormat="1" applyFont="1" applyBorder="1" applyAlignment="1" applyProtection="1">
      <alignment horizontal="center" vertical="center" wrapText="1"/>
      <protection hidden="1"/>
    </xf>
    <xf numFmtId="0" fontId="0" fillId="0" borderId="6" xfId="0" applyBorder="1" applyAlignment="1" applyProtection="1">
      <alignment horizontal="center" vertical="center" wrapText="1"/>
      <protection hidden="1"/>
    </xf>
    <xf numFmtId="164" fontId="0" fillId="0" borderId="4" xfId="1" applyNumberFormat="1" applyFont="1" applyBorder="1" applyAlignment="1" applyProtection="1">
      <alignment horizontal="center" vertical="center" wrapText="1"/>
      <protection hidden="1"/>
    </xf>
    <xf numFmtId="165" fontId="0" fillId="0" borderId="4" xfId="1" applyNumberFormat="1" applyFont="1" applyBorder="1" applyAlignment="1" applyProtection="1">
      <alignment horizontal="center" vertical="center" wrapText="1"/>
      <protection hidden="1"/>
    </xf>
    <xf numFmtId="164" fontId="0" fillId="0" borderId="0" xfId="1" applyNumberFormat="1" applyFont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164" fontId="4" fillId="0" borderId="0" xfId="1" applyNumberFormat="1" applyFont="1" applyBorder="1" applyAlignment="1" applyProtection="1">
      <alignment horizontal="center" vertical="center" wrapText="1"/>
      <protection hidden="1"/>
    </xf>
    <xf numFmtId="0" fontId="6" fillId="4" borderId="5" xfId="0" applyFont="1" applyFill="1" applyBorder="1" applyAlignment="1" applyProtection="1">
      <alignment horizontal="center" vertical="center" wrapText="1"/>
      <protection hidden="1"/>
    </xf>
    <xf numFmtId="164" fontId="6" fillId="4" borderId="1" xfId="1" applyNumberFormat="1" applyFont="1" applyFill="1" applyBorder="1" applyAlignment="1" applyProtection="1">
      <alignment horizontal="center" vertical="center" wrapText="1"/>
      <protection hidden="1"/>
    </xf>
    <xf numFmtId="164" fontId="6" fillId="4" borderId="2" xfId="1" applyNumberFormat="1" applyFont="1" applyFill="1" applyBorder="1" applyAlignment="1" applyProtection="1">
      <alignment horizontal="center" vertical="center" wrapText="1"/>
      <protection hidden="1"/>
    </xf>
    <xf numFmtId="0" fontId="6" fillId="4" borderId="7" xfId="0" applyFont="1" applyFill="1" applyBorder="1" applyAlignment="1" applyProtection="1">
      <alignment horizontal="center" vertical="center" wrapText="1"/>
      <protection hidden="1"/>
    </xf>
    <xf numFmtId="164" fontId="4" fillId="0" borderId="1" xfId="1" applyNumberFormat="1" applyFont="1" applyBorder="1" applyAlignment="1" applyProtection="1">
      <alignment horizontal="center" vertical="center" wrapText="1"/>
      <protection hidden="1"/>
    </xf>
    <xf numFmtId="164" fontId="4" fillId="4" borderId="11" xfId="1" applyNumberFormat="1" applyFont="1" applyFill="1" applyBorder="1" applyAlignment="1" applyProtection="1">
      <alignment horizontal="center" vertical="center" wrapText="1"/>
      <protection hidden="1"/>
    </xf>
    <xf numFmtId="0" fontId="4" fillId="4" borderId="10" xfId="0" applyFont="1" applyFill="1" applyBorder="1" applyAlignment="1" applyProtection="1">
      <alignment horizontal="center" vertical="center" wrapText="1"/>
      <protection hidden="1"/>
    </xf>
    <xf numFmtId="0" fontId="4" fillId="4" borderId="11" xfId="0" applyFont="1" applyFill="1" applyBorder="1" applyAlignment="1" applyProtection="1">
      <alignment horizontal="center" vertical="center" wrapText="1"/>
      <protection hidden="1"/>
    </xf>
    <xf numFmtId="0" fontId="4" fillId="4" borderId="0" xfId="0" applyFont="1" applyFill="1" applyAlignment="1" applyProtection="1">
      <alignment horizontal="center" vertical="center" wrapText="1"/>
      <protection hidden="1"/>
    </xf>
    <xf numFmtId="164" fontId="4" fillId="4" borderId="0" xfId="1" applyNumberFormat="1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164" fontId="4" fillId="9" borderId="0" xfId="1" applyNumberFormat="1" applyFont="1" applyFill="1" applyBorder="1" applyAlignment="1" applyProtection="1">
      <alignment horizontal="left" vertical="center" wrapText="1"/>
      <protection hidden="1"/>
    </xf>
    <xf numFmtId="164" fontId="4" fillId="6" borderId="0" xfId="1" applyNumberFormat="1" applyFont="1" applyFill="1" applyBorder="1" applyAlignment="1" applyProtection="1">
      <alignment horizontal="left" vertical="center" wrapText="1"/>
      <protection locked="0" hidden="1"/>
    </xf>
    <xf numFmtId="4" fontId="4" fillId="0" borderId="0" xfId="1" applyNumberFormat="1" applyFont="1" applyBorder="1" applyAlignment="1" applyProtection="1">
      <alignment horizontal="left" vertical="center" wrapText="1"/>
      <protection hidden="1"/>
    </xf>
    <xf numFmtId="43" fontId="4" fillId="0" borderId="0" xfId="1" applyFont="1" applyBorder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wrapText="1"/>
      <protection hidden="1"/>
    </xf>
    <xf numFmtId="0" fontId="7" fillId="10" borderId="6" xfId="0" applyFont="1" applyFill="1" applyBorder="1" applyAlignment="1" applyProtection="1">
      <alignment horizontal="center" vertical="center" wrapText="1"/>
      <protection locked="0" hidden="1"/>
    </xf>
    <xf numFmtId="0" fontId="6" fillId="11" borderId="20" xfId="0" applyFont="1" applyFill="1" applyBorder="1" applyAlignment="1" applyProtection="1">
      <alignment horizontal="center" vertical="center" wrapText="1"/>
      <protection hidden="1"/>
    </xf>
    <xf numFmtId="164" fontId="4" fillId="12" borderId="6" xfId="1" applyNumberFormat="1" applyFont="1" applyFill="1" applyBorder="1" applyAlignment="1" applyProtection="1">
      <alignment horizontal="center" vertical="center" wrapText="1"/>
      <protection hidden="1"/>
    </xf>
    <xf numFmtId="0" fontId="5" fillId="4" borderId="0" xfId="0" applyFont="1" applyFill="1" applyAlignment="1">
      <alignment horizontal="left" vertical="center" wrapText="1"/>
    </xf>
    <xf numFmtId="0" fontId="6" fillId="14" borderId="0" xfId="0" applyFont="1" applyFill="1" applyAlignment="1" applyProtection="1">
      <alignment horizontal="center" vertical="center" wrapText="1"/>
      <protection hidden="1"/>
    </xf>
    <xf numFmtId="164" fontId="4" fillId="0" borderId="0" xfId="1" applyNumberFormat="1" applyFont="1" applyFill="1" applyBorder="1" applyAlignment="1">
      <alignment horizontal="center" vertical="center" wrapText="1"/>
    </xf>
    <xf numFmtId="0" fontId="4" fillId="7" borderId="0" xfId="0" applyFont="1" applyFill="1" applyAlignment="1" applyProtection="1">
      <alignment horizontal="left" vertical="center" wrapText="1"/>
      <protection hidden="1"/>
    </xf>
    <xf numFmtId="0" fontId="4" fillId="7" borderId="0" xfId="0" applyFont="1" applyFill="1" applyAlignment="1" applyProtection="1">
      <alignment horizontal="center" vertical="center" wrapText="1"/>
      <protection hidden="1"/>
    </xf>
    <xf numFmtId="0" fontId="6" fillId="4" borderId="0" xfId="0" applyFont="1" applyFill="1" applyAlignment="1">
      <alignment horizontal="left" vertical="center" wrapText="1"/>
    </xf>
    <xf numFmtId="0" fontId="6" fillId="4" borderId="0" xfId="0" applyFont="1" applyFill="1" applyAlignment="1" applyProtection="1">
      <alignment horizontal="left" vertical="center" wrapText="1"/>
      <protection hidden="1"/>
    </xf>
    <xf numFmtId="0" fontId="4" fillId="7" borderId="0" xfId="0" applyFont="1" applyFill="1" applyAlignment="1" applyProtection="1">
      <alignment horizontal="left" wrapText="1"/>
      <protection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164" fontId="4" fillId="0" borderId="0" xfId="1" applyNumberFormat="1" applyFont="1" applyFill="1" applyBorder="1" applyAlignment="1" applyProtection="1">
      <alignment horizontal="center" vertical="center" wrapText="1"/>
      <protection hidden="1"/>
    </xf>
    <xf numFmtId="0" fontId="12" fillId="14" borderId="0" xfId="0" applyFont="1" applyFill="1" applyAlignment="1" applyProtection="1">
      <alignment horizontal="center" vertical="center" wrapText="1"/>
      <protection hidden="1"/>
    </xf>
    <xf numFmtId="164" fontId="13" fillId="6" borderId="0" xfId="1" applyNumberFormat="1" applyFont="1" applyFill="1" applyBorder="1" applyAlignment="1" applyProtection="1">
      <alignment horizontal="center" vertical="center" wrapText="1"/>
      <protection locked="0" hidden="1"/>
    </xf>
    <xf numFmtId="43" fontId="4" fillId="0" borderId="0" xfId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left" vertical="center" wrapText="1"/>
    </xf>
    <xf numFmtId="164" fontId="4" fillId="0" borderId="22" xfId="1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 applyProtection="1">
      <alignment horizontal="left" vertical="center" wrapText="1"/>
      <protection hidden="1"/>
    </xf>
    <xf numFmtId="164" fontId="4" fillId="0" borderId="22" xfId="1" applyNumberFormat="1" applyFont="1" applyFill="1" applyBorder="1" applyAlignment="1" applyProtection="1">
      <alignment horizontal="center" vertical="center" wrapText="1"/>
      <protection hidden="1"/>
    </xf>
    <xf numFmtId="0" fontId="6" fillId="4" borderId="22" xfId="0" applyFont="1" applyFill="1" applyBorder="1" applyAlignment="1">
      <alignment horizontal="center" vertical="center" wrapText="1"/>
    </xf>
    <xf numFmtId="164" fontId="4" fillId="0" borderId="21" xfId="1" applyNumberFormat="1" applyFont="1" applyFill="1" applyBorder="1" applyAlignment="1" applyProtection="1">
      <alignment horizontal="center" vertical="center" wrapText="1"/>
      <protection hidden="1"/>
    </xf>
    <xf numFmtId="0" fontId="6" fillId="4" borderId="21" xfId="0" applyFont="1" applyFill="1" applyBorder="1" applyAlignment="1">
      <alignment horizontal="left" vertical="center" wrapText="1"/>
    </xf>
    <xf numFmtId="164" fontId="4" fillId="0" borderId="21" xfId="1" applyNumberFormat="1" applyFont="1" applyFill="1" applyBorder="1" applyAlignment="1">
      <alignment horizontal="center" vertical="center" wrapText="1"/>
    </xf>
    <xf numFmtId="43" fontId="4" fillId="0" borderId="21" xfId="1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left" vertical="center" wrapText="1"/>
    </xf>
    <xf numFmtId="0" fontId="9" fillId="0" borderId="0" xfId="0" applyFont="1" applyAlignment="1" applyProtection="1">
      <alignment horizontal="left" vertical="center" wrapText="1"/>
      <protection hidden="1"/>
    </xf>
    <xf numFmtId="164" fontId="9" fillId="0" borderId="28" xfId="1" applyNumberFormat="1" applyFont="1" applyFill="1" applyBorder="1" applyAlignment="1" applyProtection="1">
      <alignment horizontal="center" vertical="center" wrapText="1"/>
      <protection hidden="1"/>
    </xf>
    <xf numFmtId="164" fontId="9" fillId="0" borderId="28" xfId="1" applyNumberFormat="1" applyFont="1" applyFill="1" applyBorder="1" applyAlignment="1">
      <alignment horizontal="center" vertical="center" wrapText="1"/>
    </xf>
    <xf numFmtId="43" fontId="15" fillId="0" borderId="0" xfId="2" applyNumberFormat="1" applyFont="1" applyFill="1" applyBorder="1" applyAlignment="1">
      <alignment horizontal="center" vertical="center" wrapText="1"/>
    </xf>
    <xf numFmtId="43" fontId="15" fillId="0" borderId="22" xfId="2" applyNumberFormat="1" applyFont="1" applyFill="1" applyBorder="1" applyAlignment="1">
      <alignment horizontal="center" vertical="center" wrapText="1"/>
    </xf>
    <xf numFmtId="0" fontId="13" fillId="0" borderId="0" xfId="0" applyFont="1" applyAlignment="1" applyProtection="1">
      <alignment horizontal="center" vertical="center" wrapText="1"/>
      <protection hidden="1"/>
    </xf>
    <xf numFmtId="43" fontId="13" fillId="0" borderId="0" xfId="1" applyFont="1" applyBorder="1" applyAlignment="1" applyProtection="1">
      <alignment horizontal="center" vertical="center" wrapText="1"/>
      <protection hidden="1"/>
    </xf>
    <xf numFmtId="0" fontId="18" fillId="0" borderId="22" xfId="0" applyFont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wrapText="1"/>
      <protection hidden="1"/>
    </xf>
    <xf numFmtId="164" fontId="13" fillId="0" borderId="0" xfId="1" applyNumberFormat="1" applyFont="1" applyBorder="1" applyAlignment="1" applyProtection="1">
      <alignment horizontal="center" vertical="center" wrapText="1"/>
      <protection hidden="1"/>
    </xf>
    <xf numFmtId="164" fontId="15" fillId="0" borderId="0" xfId="2" applyNumberFormat="1" applyFont="1" applyFill="1" applyBorder="1" applyAlignment="1">
      <alignment horizontal="center" vertical="center" wrapText="1"/>
    </xf>
    <xf numFmtId="164" fontId="15" fillId="0" borderId="22" xfId="2" applyNumberFormat="1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18" fillId="0" borderId="0" xfId="0" applyFont="1" applyAlignment="1" applyProtection="1">
      <alignment horizontal="left" vertical="center" wrapText="1"/>
      <protection hidden="1"/>
    </xf>
    <xf numFmtId="0" fontId="18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wrapText="1"/>
    </xf>
    <xf numFmtId="0" fontId="21" fillId="0" borderId="22" xfId="0" applyFont="1" applyBorder="1" applyAlignment="1">
      <alignment horizontal="center" wrapText="1"/>
    </xf>
    <xf numFmtId="0" fontId="18" fillId="0" borderId="0" xfId="0" applyFont="1" applyAlignment="1" applyProtection="1">
      <alignment horizontal="left" wrapText="1"/>
      <protection hidden="1"/>
    </xf>
    <xf numFmtId="0" fontId="18" fillId="0" borderId="0" xfId="0" applyFont="1" applyAlignment="1" applyProtection="1">
      <alignment horizontal="center" vertical="center" wrapText="1"/>
      <protection hidden="1"/>
    </xf>
    <xf numFmtId="164" fontId="6" fillId="4" borderId="17" xfId="1" applyNumberFormat="1" applyFont="1" applyFill="1" applyBorder="1" applyAlignment="1" applyProtection="1">
      <alignment horizontal="center" vertical="center" wrapText="1"/>
      <protection hidden="1"/>
    </xf>
    <xf numFmtId="164" fontId="4" fillId="12" borderId="37" xfId="1" applyNumberFormat="1" applyFont="1" applyFill="1" applyBorder="1" applyAlignment="1" applyProtection="1">
      <alignment horizontal="center" vertical="center" wrapText="1"/>
      <protection hidden="1"/>
    </xf>
    <xf numFmtId="0" fontId="6" fillId="11" borderId="31" xfId="0" applyFont="1" applyFill="1" applyBorder="1" applyAlignment="1" applyProtection="1">
      <alignment horizontal="center" vertical="center" wrapText="1"/>
      <protection hidden="1"/>
    </xf>
    <xf numFmtId="164" fontId="24" fillId="11" borderId="31" xfId="1" applyNumberFormat="1" applyFont="1" applyFill="1" applyBorder="1" applyAlignment="1" applyProtection="1">
      <alignment horizontal="center" vertical="center" wrapText="1"/>
      <protection hidden="1"/>
    </xf>
    <xf numFmtId="164" fontId="18" fillId="10" borderId="34" xfId="1" applyNumberFormat="1" applyFont="1" applyFill="1" applyBorder="1" applyAlignment="1" applyProtection="1">
      <alignment vertical="center" wrapText="1"/>
      <protection locked="0" hidden="1"/>
    </xf>
    <xf numFmtId="0" fontId="25" fillId="0" borderId="9" xfId="0" applyFont="1" applyBorder="1" applyAlignment="1" applyProtection="1">
      <alignment horizontal="center" vertical="center" wrapText="1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25" fillId="0" borderId="30" xfId="0" applyFont="1" applyBorder="1" applyAlignment="1" applyProtection="1">
      <alignment horizontal="center" vertical="center" wrapText="1"/>
      <protection hidden="1"/>
    </xf>
    <xf numFmtId="0" fontId="26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 textRotation="90" wrapText="1"/>
    </xf>
    <xf numFmtId="0" fontId="28" fillId="6" borderId="1" xfId="0" applyFont="1" applyFill="1" applyBorder="1" applyAlignment="1">
      <alignment horizontal="center" vertical="center" wrapText="1"/>
    </xf>
    <xf numFmtId="0" fontId="29" fillId="29" borderId="1" xfId="0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 applyProtection="1">
      <alignment horizontal="center" vertical="center" wrapText="1"/>
      <protection hidden="1"/>
    </xf>
    <xf numFmtId="164" fontId="0" fillId="5" borderId="4" xfId="1" applyNumberFormat="1" applyFont="1" applyFill="1" applyBorder="1" applyAlignment="1" applyProtection="1">
      <alignment horizontal="center" vertical="center" wrapText="1"/>
      <protection hidden="1"/>
    </xf>
    <xf numFmtId="164" fontId="15" fillId="0" borderId="0" xfId="2" applyNumberFormat="1" applyFont="1" applyFill="1" applyBorder="1" applyAlignment="1" applyProtection="1">
      <alignment horizontal="center" vertical="center" wrapText="1"/>
      <protection hidden="1"/>
    </xf>
    <xf numFmtId="164" fontId="15" fillId="0" borderId="22" xfId="2" applyNumberFormat="1" applyFont="1" applyFill="1" applyBorder="1" applyAlignment="1" applyProtection="1">
      <alignment horizontal="center" vertical="center" wrapText="1"/>
      <protection hidden="1"/>
    </xf>
    <xf numFmtId="164" fontId="4" fillId="0" borderId="27" xfId="1" applyNumberFormat="1" applyFont="1" applyFill="1" applyBorder="1" applyAlignment="1" applyProtection="1">
      <alignment horizontal="center" vertical="center" wrapText="1"/>
      <protection hidden="1"/>
    </xf>
    <xf numFmtId="43" fontId="15" fillId="0" borderId="0" xfId="2" applyNumberFormat="1" applyFont="1" applyFill="1" applyBorder="1" applyAlignment="1" applyProtection="1">
      <alignment horizontal="center" vertical="center" wrapText="1"/>
      <protection hidden="1"/>
    </xf>
    <xf numFmtId="43" fontId="4" fillId="0" borderId="0" xfId="1" applyFont="1" applyFill="1" applyBorder="1" applyAlignment="1" applyProtection="1">
      <alignment horizontal="center" vertical="center" wrapText="1"/>
      <protection hidden="1"/>
    </xf>
    <xf numFmtId="43" fontId="15" fillId="0" borderId="22" xfId="2" applyNumberFormat="1" applyFont="1" applyFill="1" applyBorder="1" applyAlignment="1" applyProtection="1">
      <alignment horizontal="center" vertical="center" wrapText="1"/>
      <protection hidden="1"/>
    </xf>
    <xf numFmtId="0" fontId="5" fillId="4" borderId="45" xfId="0" applyFont="1" applyFill="1" applyBorder="1" applyAlignment="1">
      <alignment horizontal="left" vertical="center" wrapText="1"/>
    </xf>
    <xf numFmtId="0" fontId="5" fillId="4" borderId="47" xfId="0" applyFont="1" applyFill="1" applyBorder="1" applyAlignment="1">
      <alignment horizontal="left" vertical="center" wrapText="1"/>
    </xf>
    <xf numFmtId="0" fontId="5" fillId="4" borderId="27" xfId="0" applyFont="1" applyFill="1" applyBorder="1" applyAlignment="1">
      <alignment horizontal="left" vertical="center" wrapText="1"/>
    </xf>
    <xf numFmtId="0" fontId="4" fillId="0" borderId="52" xfId="0" applyFont="1" applyBorder="1" applyAlignment="1" applyProtection="1">
      <alignment horizontal="center" vertical="center" wrapText="1"/>
      <protection hidden="1"/>
    </xf>
    <xf numFmtId="164" fontId="4" fillId="0" borderId="46" xfId="1" applyNumberFormat="1" applyFont="1" applyFill="1" applyBorder="1" applyAlignment="1" applyProtection="1">
      <alignment horizontal="center" vertical="center" wrapText="1"/>
      <protection hidden="1"/>
    </xf>
    <xf numFmtId="164" fontId="4" fillId="0" borderId="53" xfId="1" applyNumberFormat="1" applyFont="1" applyFill="1" applyBorder="1" applyAlignment="1" applyProtection="1">
      <alignment horizontal="center" vertical="center" wrapText="1"/>
      <protection hidden="1"/>
    </xf>
    <xf numFmtId="164" fontId="15" fillId="0" borderId="53" xfId="2" applyNumberFormat="1" applyFont="1" applyFill="1" applyBorder="1" applyAlignment="1" applyProtection="1">
      <alignment horizontal="center" vertical="center" wrapText="1"/>
      <protection hidden="1"/>
    </xf>
    <xf numFmtId="164" fontId="15" fillId="0" borderId="46" xfId="2" applyNumberFormat="1" applyFont="1" applyFill="1" applyBorder="1" applyAlignment="1" applyProtection="1">
      <alignment horizontal="center" vertical="center" wrapText="1"/>
      <protection hidden="1"/>
    </xf>
    <xf numFmtId="43" fontId="15" fillId="0" borderId="54" xfId="2" applyNumberFormat="1" applyFont="1" applyFill="1" applyBorder="1" applyAlignment="1" applyProtection="1">
      <alignment horizontal="center" vertical="center" wrapText="1"/>
      <protection hidden="1"/>
    </xf>
    <xf numFmtId="43" fontId="15" fillId="0" borderId="46" xfId="2" applyNumberFormat="1" applyFont="1" applyFill="1" applyBorder="1" applyAlignment="1" applyProtection="1">
      <alignment horizontal="center" vertical="center" wrapText="1"/>
      <protection hidden="1"/>
    </xf>
    <xf numFmtId="43" fontId="4" fillId="0" borderId="53" xfId="1" applyFont="1" applyFill="1" applyBorder="1" applyAlignment="1" applyProtection="1">
      <alignment horizontal="center" vertical="center" wrapText="1"/>
      <protection hidden="1"/>
    </xf>
    <xf numFmtId="43" fontId="4" fillId="0" borderId="46" xfId="1" applyFont="1" applyFill="1" applyBorder="1" applyAlignment="1" applyProtection="1">
      <alignment horizontal="center" vertical="center" wrapText="1"/>
      <protection hidden="1"/>
    </xf>
    <xf numFmtId="164" fontId="4" fillId="0" borderId="47" xfId="1" applyNumberFormat="1" applyFont="1" applyFill="1" applyBorder="1" applyAlignment="1" applyProtection="1">
      <alignment horizontal="center" vertical="center" wrapText="1"/>
      <protection hidden="1"/>
    </xf>
    <xf numFmtId="164" fontId="15" fillId="0" borderId="27" xfId="2" applyNumberFormat="1" applyFont="1" applyFill="1" applyBorder="1" applyAlignment="1" applyProtection="1">
      <alignment horizontal="center" vertical="center" wrapText="1"/>
      <protection hidden="1"/>
    </xf>
    <xf numFmtId="164" fontId="15" fillId="0" borderId="47" xfId="2" applyNumberFormat="1" applyFont="1" applyFill="1" applyBorder="1" applyAlignment="1" applyProtection="1">
      <alignment horizontal="center" vertical="center" wrapText="1"/>
      <protection hidden="1"/>
    </xf>
    <xf numFmtId="43" fontId="15" fillId="0" borderId="55" xfId="2" applyNumberFormat="1" applyFont="1" applyFill="1" applyBorder="1" applyAlignment="1" applyProtection="1">
      <alignment horizontal="center" vertical="center" wrapText="1"/>
      <protection hidden="1"/>
    </xf>
    <xf numFmtId="43" fontId="15" fillId="0" borderId="47" xfId="2" applyNumberFormat="1" applyFont="1" applyFill="1" applyBorder="1" applyAlignment="1" applyProtection="1">
      <alignment horizontal="center" vertical="center" wrapText="1"/>
      <protection hidden="1"/>
    </xf>
    <xf numFmtId="43" fontId="4" fillId="0" borderId="27" xfId="1" applyFont="1" applyFill="1" applyBorder="1" applyAlignment="1" applyProtection="1">
      <alignment horizontal="center" vertical="center" wrapText="1"/>
      <protection hidden="1"/>
    </xf>
    <xf numFmtId="43" fontId="4" fillId="0" borderId="47" xfId="1" applyFont="1" applyFill="1" applyBorder="1" applyAlignment="1" applyProtection="1">
      <alignment horizontal="center" vertical="center" wrapText="1"/>
      <protection hidden="1"/>
    </xf>
    <xf numFmtId="0" fontId="4" fillId="0" borderId="5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164" fontId="4" fillId="0" borderId="53" xfId="1" applyNumberFormat="1" applyFont="1" applyFill="1" applyBorder="1" applyAlignment="1">
      <alignment horizontal="center" vertical="center" wrapText="1"/>
    </xf>
    <xf numFmtId="164" fontId="4" fillId="0" borderId="46" xfId="1" applyNumberFormat="1" applyFont="1" applyFill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164" fontId="4" fillId="0" borderId="50" xfId="1" applyNumberFormat="1" applyFont="1" applyFill="1" applyBorder="1" applyAlignment="1">
      <alignment horizontal="center" vertical="center" wrapText="1"/>
    </xf>
    <xf numFmtId="164" fontId="4" fillId="0" borderId="49" xfId="1" applyNumberFormat="1" applyFont="1" applyFill="1" applyBorder="1" applyAlignment="1">
      <alignment horizontal="center" vertical="center" wrapText="1"/>
    </xf>
    <xf numFmtId="164" fontId="15" fillId="0" borderId="50" xfId="2" applyNumberFormat="1" applyFont="1" applyFill="1" applyBorder="1" applyAlignment="1">
      <alignment horizontal="center" vertical="center" wrapText="1"/>
    </xf>
    <xf numFmtId="164" fontId="15" fillId="0" borderId="49" xfId="2" applyNumberFormat="1" applyFont="1" applyFill="1" applyBorder="1" applyAlignment="1">
      <alignment horizontal="center" vertical="center" wrapText="1"/>
    </xf>
    <xf numFmtId="43" fontId="15" fillId="0" borderId="51" xfId="2" applyNumberFormat="1" applyFont="1" applyFill="1" applyBorder="1" applyAlignment="1">
      <alignment horizontal="center" vertical="center" wrapText="1"/>
    </xf>
    <xf numFmtId="43" fontId="15" fillId="0" borderId="49" xfId="2" applyNumberFormat="1" applyFont="1" applyFill="1" applyBorder="1" applyAlignment="1">
      <alignment horizontal="center" vertical="center" wrapText="1"/>
    </xf>
    <xf numFmtId="43" fontId="4" fillId="0" borderId="50" xfId="1" applyFont="1" applyFill="1" applyBorder="1" applyAlignment="1">
      <alignment horizontal="center" vertical="center" wrapText="1"/>
    </xf>
    <xf numFmtId="43" fontId="4" fillId="0" borderId="49" xfId="1" applyFont="1" applyFill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164" fontId="15" fillId="0" borderId="53" xfId="2" applyNumberFormat="1" applyFont="1" applyFill="1" applyBorder="1" applyAlignment="1">
      <alignment horizontal="center" vertical="center" wrapText="1"/>
    </xf>
    <xf numFmtId="164" fontId="15" fillId="0" borderId="46" xfId="2" applyNumberFormat="1" applyFont="1" applyFill="1" applyBorder="1" applyAlignment="1">
      <alignment horizontal="center" vertical="center" wrapText="1"/>
    </xf>
    <xf numFmtId="43" fontId="15" fillId="0" borderId="54" xfId="2" applyNumberFormat="1" applyFont="1" applyFill="1" applyBorder="1" applyAlignment="1">
      <alignment horizontal="center" vertical="center" wrapText="1"/>
    </xf>
    <xf numFmtId="43" fontId="15" fillId="0" borderId="46" xfId="2" applyNumberFormat="1" applyFont="1" applyFill="1" applyBorder="1" applyAlignment="1">
      <alignment horizontal="center" vertical="center" wrapText="1"/>
    </xf>
    <xf numFmtId="43" fontId="4" fillId="0" borderId="53" xfId="1" applyFont="1" applyFill="1" applyBorder="1" applyAlignment="1">
      <alignment horizontal="center" vertical="center" wrapText="1"/>
    </xf>
    <xf numFmtId="43" fontId="4" fillId="0" borderId="46" xfId="1" applyFont="1" applyFill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wrapText="1"/>
    </xf>
    <xf numFmtId="0" fontId="18" fillId="0" borderId="49" xfId="0" applyFont="1" applyBorder="1" applyAlignment="1">
      <alignment horizontal="center" wrapText="1"/>
    </xf>
    <xf numFmtId="164" fontId="4" fillId="0" borderId="50" xfId="1" applyNumberFormat="1" applyFont="1" applyFill="1" applyBorder="1" applyAlignment="1">
      <alignment horizontal="center" wrapText="1"/>
    </xf>
    <xf numFmtId="164" fontId="4" fillId="0" borderId="49" xfId="1" applyNumberFormat="1" applyFont="1" applyFill="1" applyBorder="1" applyAlignment="1">
      <alignment horizontal="center" wrapText="1"/>
    </xf>
    <xf numFmtId="164" fontId="15" fillId="0" borderId="50" xfId="2" applyNumberFormat="1" applyFont="1" applyFill="1" applyBorder="1" applyAlignment="1">
      <alignment horizontal="center" wrapText="1"/>
    </xf>
    <xf numFmtId="164" fontId="15" fillId="0" borderId="49" xfId="2" applyNumberFormat="1" applyFont="1" applyFill="1" applyBorder="1" applyAlignment="1">
      <alignment horizontal="center" wrapText="1"/>
    </xf>
    <xf numFmtId="164" fontId="9" fillId="0" borderId="50" xfId="1" applyNumberFormat="1" applyFont="1" applyFill="1" applyBorder="1" applyAlignment="1">
      <alignment horizontal="center" vertical="center" wrapText="1"/>
    </xf>
    <xf numFmtId="43" fontId="15" fillId="0" borderId="51" xfId="2" applyNumberFormat="1" applyFont="1" applyFill="1" applyBorder="1" applyAlignment="1">
      <alignment horizontal="center" wrapText="1"/>
    </xf>
    <xf numFmtId="43" fontId="15" fillId="0" borderId="49" xfId="2" applyNumberFormat="1" applyFont="1" applyFill="1" applyBorder="1" applyAlignment="1">
      <alignment horizontal="center" wrapText="1"/>
    </xf>
    <xf numFmtId="43" fontId="4" fillId="0" borderId="50" xfId="1" applyFont="1" applyFill="1" applyBorder="1" applyAlignment="1">
      <alignment horizontal="center" wrapText="1"/>
    </xf>
    <xf numFmtId="43" fontId="4" fillId="0" borderId="49" xfId="1" applyFont="1" applyFill="1" applyBorder="1" applyAlignment="1">
      <alignment horizontal="center" wrapText="1"/>
    </xf>
    <xf numFmtId="0" fontId="4" fillId="0" borderId="52" xfId="0" applyFont="1" applyBorder="1" applyAlignment="1">
      <alignment horizontal="center" wrapText="1"/>
    </xf>
    <xf numFmtId="0" fontId="18" fillId="0" borderId="46" xfId="0" applyFont="1" applyBorder="1" applyAlignment="1">
      <alignment horizontal="center" wrapText="1"/>
    </xf>
    <xf numFmtId="164" fontId="4" fillId="0" borderId="53" xfId="1" applyNumberFormat="1" applyFont="1" applyFill="1" applyBorder="1" applyAlignment="1">
      <alignment horizontal="center" wrapText="1"/>
    </xf>
    <xf numFmtId="164" fontId="4" fillId="0" borderId="46" xfId="1" applyNumberFormat="1" applyFont="1" applyFill="1" applyBorder="1" applyAlignment="1">
      <alignment horizontal="center" wrapText="1"/>
    </xf>
    <xf numFmtId="164" fontId="15" fillId="0" borderId="53" xfId="2" applyNumberFormat="1" applyFont="1" applyFill="1" applyBorder="1" applyAlignment="1">
      <alignment horizontal="center" wrapText="1"/>
    </xf>
    <xf numFmtId="164" fontId="15" fillId="0" borderId="46" xfId="2" applyNumberFormat="1" applyFont="1" applyFill="1" applyBorder="1" applyAlignment="1">
      <alignment horizontal="center" wrapText="1"/>
    </xf>
    <xf numFmtId="43" fontId="15" fillId="0" borderId="54" xfId="2" applyNumberFormat="1" applyFont="1" applyFill="1" applyBorder="1" applyAlignment="1">
      <alignment horizontal="center" wrapText="1"/>
    </xf>
    <xf numFmtId="43" fontId="15" fillId="0" borderId="46" xfId="2" applyNumberFormat="1" applyFont="1" applyFill="1" applyBorder="1" applyAlignment="1">
      <alignment horizontal="center" wrapText="1"/>
    </xf>
    <xf numFmtId="43" fontId="4" fillId="0" borderId="53" xfId="1" applyFont="1" applyFill="1" applyBorder="1" applyAlignment="1">
      <alignment horizontal="center" wrapText="1"/>
    </xf>
    <xf numFmtId="43" fontId="4" fillId="0" borderId="46" xfId="1" applyFont="1" applyFill="1" applyBorder="1" applyAlignment="1">
      <alignment horizontal="center" wrapText="1"/>
    </xf>
    <xf numFmtId="0" fontId="21" fillId="0" borderId="46" xfId="0" applyFont="1" applyBorder="1" applyAlignment="1">
      <alignment horizontal="center" wrapText="1"/>
    </xf>
    <xf numFmtId="0" fontId="4" fillId="0" borderId="52" xfId="0" applyFont="1" applyBorder="1" applyAlignment="1" applyProtection="1">
      <alignment horizontal="center" wrapText="1"/>
      <protection hidden="1"/>
    </xf>
    <xf numFmtId="0" fontId="18" fillId="0" borderId="46" xfId="0" applyFont="1" applyBorder="1" applyAlignment="1" applyProtection="1">
      <alignment horizontal="center" wrapText="1"/>
      <protection hidden="1"/>
    </xf>
    <xf numFmtId="164" fontId="4" fillId="0" borderId="53" xfId="1" applyNumberFormat="1" applyFont="1" applyFill="1" applyBorder="1" applyAlignment="1" applyProtection="1">
      <alignment horizontal="center" wrapText="1"/>
      <protection hidden="1"/>
    </xf>
    <xf numFmtId="164" fontId="4" fillId="0" borderId="46" xfId="1" applyNumberFormat="1" applyFont="1" applyFill="1" applyBorder="1" applyAlignment="1" applyProtection="1">
      <alignment horizontal="center" wrapText="1"/>
      <protection hidden="1"/>
    </xf>
    <xf numFmtId="164" fontId="15" fillId="0" borderId="53" xfId="2" applyNumberFormat="1" applyFont="1" applyFill="1" applyBorder="1" applyAlignment="1" applyProtection="1">
      <alignment horizontal="center" wrapText="1"/>
      <protection hidden="1"/>
    </xf>
    <xf numFmtId="164" fontId="15" fillId="0" borderId="46" xfId="2" applyNumberFormat="1" applyFont="1" applyFill="1" applyBorder="1" applyAlignment="1" applyProtection="1">
      <alignment horizontal="center" wrapText="1"/>
      <protection hidden="1"/>
    </xf>
    <xf numFmtId="43" fontId="15" fillId="0" borderId="54" xfId="2" applyNumberFormat="1" applyFont="1" applyFill="1" applyBorder="1" applyAlignment="1" applyProtection="1">
      <alignment horizontal="center" wrapText="1"/>
      <protection hidden="1"/>
    </xf>
    <xf numFmtId="43" fontId="15" fillId="0" borderId="46" xfId="2" applyNumberFormat="1" applyFont="1" applyFill="1" applyBorder="1" applyAlignment="1" applyProtection="1">
      <alignment horizontal="center" wrapText="1"/>
      <protection hidden="1"/>
    </xf>
    <xf numFmtId="43" fontId="4" fillId="0" borderId="53" xfId="1" applyFont="1" applyFill="1" applyBorder="1" applyAlignment="1" applyProtection="1">
      <alignment horizontal="center" wrapText="1"/>
      <protection hidden="1"/>
    </xf>
    <xf numFmtId="43" fontId="4" fillId="0" borderId="46" xfId="1" applyFont="1" applyFill="1" applyBorder="1" applyAlignment="1" applyProtection="1">
      <alignment horizontal="center" wrapText="1"/>
      <protection hidden="1"/>
    </xf>
    <xf numFmtId="0" fontId="30" fillId="0" borderId="48" xfId="0" applyFont="1" applyBorder="1" applyAlignment="1">
      <alignment horizontal="center" wrapText="1"/>
    </xf>
    <xf numFmtId="0" fontId="30" fillId="0" borderId="52" xfId="0" applyFont="1" applyBorder="1" applyAlignment="1">
      <alignment horizontal="center" wrapText="1"/>
    </xf>
    <xf numFmtId="0" fontId="30" fillId="0" borderId="52" xfId="0" applyFont="1" applyBorder="1" applyAlignment="1" applyProtection="1">
      <alignment horizontal="center" wrapText="1"/>
      <protection hidden="1"/>
    </xf>
    <xf numFmtId="0" fontId="5" fillId="4" borderId="56" xfId="0" applyFont="1" applyFill="1" applyBorder="1" applyAlignment="1">
      <alignment horizontal="left" vertical="center" wrapText="1"/>
    </xf>
    <xf numFmtId="0" fontId="5" fillId="4" borderId="57" xfId="0" applyFont="1" applyFill="1" applyBorder="1" applyAlignment="1">
      <alignment horizontal="left" vertical="center" wrapText="1"/>
    </xf>
    <xf numFmtId="4" fontId="5" fillId="4" borderId="56" xfId="1" applyNumberFormat="1" applyFont="1" applyFill="1" applyBorder="1" applyAlignment="1">
      <alignment horizontal="left" vertical="center" wrapText="1"/>
    </xf>
    <xf numFmtId="4" fontId="5" fillId="4" borderId="57" xfId="1" applyNumberFormat="1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6" xfId="0" applyFont="1" applyBorder="1" applyAlignment="1" applyProtection="1">
      <alignment horizontal="center" vertical="center" wrapText="1"/>
      <protection hidden="1"/>
    </xf>
    <xf numFmtId="0" fontId="30" fillId="0" borderId="52" xfId="0" applyFont="1" applyBorder="1" applyAlignment="1" applyProtection="1">
      <alignment horizontal="center" vertical="center" wrapText="1"/>
      <protection hidden="1"/>
    </xf>
    <xf numFmtId="0" fontId="18" fillId="0" borderId="47" xfId="0" applyFont="1" applyBorder="1" applyAlignment="1" applyProtection="1">
      <alignment horizontal="center" vertical="center" wrapText="1"/>
      <protection hidden="1"/>
    </xf>
    <xf numFmtId="0" fontId="30" fillId="0" borderId="0" xfId="0" applyFont="1" applyAlignment="1" applyProtection="1">
      <alignment horizontal="center" vertical="center" wrapText="1"/>
      <protection hidden="1"/>
    </xf>
    <xf numFmtId="0" fontId="5" fillId="4" borderId="58" xfId="0" applyFont="1" applyFill="1" applyBorder="1" applyAlignment="1">
      <alignment horizontal="left" vertical="center" wrapText="1"/>
    </xf>
    <xf numFmtId="164" fontId="31" fillId="0" borderId="0" xfId="1" applyNumberFormat="1" applyFont="1" applyFill="1" applyBorder="1" applyAlignment="1" applyProtection="1">
      <alignment horizontal="center" vertical="center" wrapText="1"/>
      <protection hidden="1"/>
    </xf>
    <xf numFmtId="43" fontId="32" fillId="0" borderId="0" xfId="2" applyNumberFormat="1" applyFont="1" applyFill="1" applyBorder="1" applyAlignment="1" applyProtection="1">
      <alignment horizontal="center" vertical="center" wrapText="1"/>
      <protection hidden="1"/>
    </xf>
    <xf numFmtId="43" fontId="31" fillId="0" borderId="0" xfId="1" applyFont="1" applyFill="1" applyBorder="1" applyAlignment="1" applyProtection="1">
      <alignment horizontal="center" vertical="center" wrapText="1"/>
      <protection hidden="1"/>
    </xf>
    <xf numFmtId="164" fontId="4" fillId="0" borderId="0" xfId="1" applyNumberFormat="1" applyFont="1" applyFill="1" applyAlignment="1" applyProtection="1">
      <alignment horizontal="center" vertical="center" wrapText="1"/>
      <protection hidden="1"/>
    </xf>
    <xf numFmtId="0" fontId="1" fillId="0" borderId="22" xfId="0" applyFont="1" applyBorder="1" applyAlignment="1">
      <alignment horizontal="center"/>
    </xf>
    <xf numFmtId="0" fontId="5" fillId="4" borderId="0" xfId="0" applyFont="1" applyFill="1" applyBorder="1" applyAlignment="1">
      <alignment horizontal="center" vertical="center" wrapText="1"/>
    </xf>
    <xf numFmtId="0" fontId="5" fillId="4" borderId="55" xfId="0" applyFont="1" applyFill="1" applyBorder="1" applyAlignment="1">
      <alignment horizontal="left" vertical="center" wrapText="1"/>
    </xf>
    <xf numFmtId="0" fontId="8" fillId="5" borderId="27" xfId="0" applyFont="1" applyFill="1" applyBorder="1" applyAlignment="1">
      <alignment horizontal="left" vertical="center" wrapText="1"/>
    </xf>
    <xf numFmtId="0" fontId="8" fillId="5" borderId="55" xfId="0" applyFont="1" applyFill="1" applyBorder="1" applyAlignment="1">
      <alignment horizontal="left" vertical="center" wrapText="1"/>
    </xf>
    <xf numFmtId="0" fontId="8" fillId="5" borderId="47" xfId="0" applyFont="1" applyFill="1" applyBorder="1" applyAlignment="1">
      <alignment horizontal="left" vertical="center" wrapText="1"/>
    </xf>
    <xf numFmtId="164" fontId="4" fillId="0" borderId="51" xfId="1" applyNumberFormat="1" applyFont="1" applyFill="1" applyBorder="1" applyAlignment="1">
      <alignment horizontal="center" vertical="center" wrapText="1"/>
    </xf>
    <xf numFmtId="164" fontId="4" fillId="0" borderId="54" xfId="1" applyNumberFormat="1" applyFont="1" applyFill="1" applyBorder="1" applyAlignment="1">
      <alignment horizontal="center" vertical="center" wrapText="1"/>
    </xf>
    <xf numFmtId="0" fontId="18" fillId="0" borderId="48" xfId="0" applyFont="1" applyFill="1" applyBorder="1" applyAlignment="1">
      <alignment horizontal="center" vertical="center" wrapText="1"/>
    </xf>
    <xf numFmtId="0" fontId="18" fillId="0" borderId="52" xfId="0" applyFont="1" applyFill="1" applyBorder="1" applyAlignment="1">
      <alignment horizontal="center" vertical="center" wrapText="1"/>
    </xf>
    <xf numFmtId="0" fontId="21" fillId="0" borderId="52" xfId="0" applyFont="1" applyFill="1" applyBorder="1" applyAlignment="1">
      <alignment horizontal="center" vertical="center" wrapText="1"/>
    </xf>
    <xf numFmtId="164" fontId="18" fillId="0" borderId="52" xfId="1" applyNumberFormat="1" applyFont="1" applyFill="1" applyBorder="1" applyAlignment="1">
      <alignment horizontal="center" vertical="center" wrapText="1"/>
    </xf>
    <xf numFmtId="9" fontId="0" fillId="0" borderId="1" xfId="3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31" borderId="0" xfId="0" applyFont="1" applyFill="1" applyAlignment="1" applyProtection="1">
      <alignment horizontal="left" vertical="center" wrapText="1"/>
      <protection hidden="1"/>
    </xf>
    <xf numFmtId="0" fontId="4" fillId="0" borderId="48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>
      <alignment horizontal="center" vertical="center" wrapText="1"/>
    </xf>
    <xf numFmtId="164" fontId="4" fillId="0" borderId="49" xfId="1" applyNumberFormat="1" applyFont="1" applyFill="1" applyBorder="1" applyAlignment="1" applyProtection="1">
      <alignment horizontal="center" vertical="center" wrapText="1"/>
      <protection hidden="1"/>
    </xf>
    <xf numFmtId="164" fontId="4" fillId="0" borderId="47" xfId="1" applyNumberFormat="1" applyFont="1" applyFill="1" applyBorder="1" applyAlignment="1">
      <alignment horizontal="center" vertical="center" wrapText="1"/>
    </xf>
    <xf numFmtId="164" fontId="4" fillId="0" borderId="50" xfId="1" applyNumberFormat="1" applyFont="1" applyFill="1" applyBorder="1" applyAlignment="1" applyProtection="1">
      <alignment horizontal="center" vertical="center" wrapText="1"/>
      <protection hidden="1"/>
    </xf>
    <xf numFmtId="164" fontId="4" fillId="0" borderId="27" xfId="1" applyNumberFormat="1" applyFont="1" applyFill="1" applyBorder="1" applyAlignment="1">
      <alignment horizontal="center" vertical="center" wrapText="1"/>
    </xf>
    <xf numFmtId="164" fontId="15" fillId="0" borderId="50" xfId="2" applyNumberFormat="1" applyFont="1" applyFill="1" applyBorder="1" applyAlignment="1" applyProtection="1">
      <alignment horizontal="center" vertical="center" wrapText="1"/>
      <protection hidden="1"/>
    </xf>
    <xf numFmtId="164" fontId="15" fillId="0" borderId="27" xfId="2" applyNumberFormat="1" applyFont="1" applyFill="1" applyBorder="1" applyAlignment="1">
      <alignment horizontal="center" vertical="center" wrapText="1"/>
    </xf>
    <xf numFmtId="164" fontId="15" fillId="0" borderId="49" xfId="2" applyNumberFormat="1" applyFont="1" applyFill="1" applyBorder="1" applyAlignment="1" applyProtection="1">
      <alignment horizontal="center" vertical="center" wrapText="1"/>
      <protection hidden="1"/>
    </xf>
    <xf numFmtId="164" fontId="15" fillId="0" borderId="47" xfId="2" applyNumberFormat="1" applyFont="1" applyFill="1" applyBorder="1" applyAlignment="1">
      <alignment horizontal="center" vertical="center" wrapText="1"/>
    </xf>
    <xf numFmtId="43" fontId="15" fillId="0" borderId="51" xfId="2" applyNumberFormat="1" applyFont="1" applyFill="1" applyBorder="1" applyAlignment="1" applyProtection="1">
      <alignment horizontal="center" vertical="center" wrapText="1"/>
      <protection hidden="1"/>
    </xf>
    <xf numFmtId="43" fontId="15" fillId="0" borderId="55" xfId="2" applyNumberFormat="1" applyFont="1" applyFill="1" applyBorder="1" applyAlignment="1">
      <alignment horizontal="center" vertical="center" wrapText="1"/>
    </xf>
    <xf numFmtId="43" fontId="15" fillId="0" borderId="49" xfId="2" applyNumberFormat="1" applyFont="1" applyFill="1" applyBorder="1" applyAlignment="1" applyProtection="1">
      <alignment horizontal="center" vertical="center" wrapText="1"/>
      <protection hidden="1"/>
    </xf>
    <xf numFmtId="43" fontId="15" fillId="0" borderId="47" xfId="2" applyNumberFormat="1" applyFont="1" applyFill="1" applyBorder="1" applyAlignment="1">
      <alignment horizontal="center" vertical="center" wrapText="1"/>
    </xf>
    <xf numFmtId="43" fontId="4" fillId="0" borderId="50" xfId="1" applyFont="1" applyFill="1" applyBorder="1" applyAlignment="1" applyProtection="1">
      <alignment horizontal="center" vertical="center" wrapText="1"/>
      <protection hidden="1"/>
    </xf>
    <xf numFmtId="43" fontId="4" fillId="0" borderId="27" xfId="1" applyFont="1" applyFill="1" applyBorder="1" applyAlignment="1">
      <alignment horizontal="center" vertical="center" wrapText="1"/>
    </xf>
    <xf numFmtId="43" fontId="4" fillId="0" borderId="49" xfId="1" applyFont="1" applyFill="1" applyBorder="1" applyAlignment="1" applyProtection="1">
      <alignment horizontal="center" vertical="center" wrapText="1"/>
      <protection hidden="1"/>
    </xf>
    <xf numFmtId="43" fontId="4" fillId="0" borderId="47" xfId="1" applyFont="1" applyFill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164" fontId="33" fillId="0" borderId="0" xfId="1" applyNumberFormat="1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8" fillId="4" borderId="0" xfId="0" applyFont="1" applyFill="1" applyBorder="1" applyAlignment="1">
      <alignment horizontal="left" vertical="center" wrapText="1"/>
    </xf>
    <xf numFmtId="0" fontId="36" fillId="13" borderId="6" xfId="0" applyFont="1" applyFill="1" applyBorder="1" applyAlignment="1" applyProtection="1">
      <alignment horizontal="center" vertical="center" wrapText="1"/>
      <protection hidden="1"/>
    </xf>
    <xf numFmtId="0" fontId="37" fillId="18" borderId="66" xfId="0" applyFont="1" applyFill="1" applyBorder="1" applyAlignment="1" applyProtection="1">
      <alignment horizontal="center" vertical="center" wrapText="1"/>
      <protection hidden="1"/>
    </xf>
    <xf numFmtId="0" fontId="37" fillId="15" borderId="67" xfId="0" applyFont="1" applyFill="1" applyBorder="1" applyAlignment="1" applyProtection="1">
      <alignment horizontal="center" vertical="center" wrapText="1"/>
      <protection hidden="1"/>
    </xf>
    <xf numFmtId="0" fontId="34" fillId="12" borderId="6" xfId="0" applyFont="1" applyFill="1" applyBorder="1" applyAlignment="1" applyProtection="1">
      <alignment horizontal="center" vertical="center" wrapText="1"/>
      <protection hidden="1"/>
    </xf>
    <xf numFmtId="0" fontId="36" fillId="13" borderId="68" xfId="0" applyFont="1" applyFill="1" applyBorder="1" applyAlignment="1" applyProtection="1">
      <alignment horizontal="center" vertical="center" wrapText="1"/>
      <protection hidden="1"/>
    </xf>
    <xf numFmtId="0" fontId="38" fillId="4" borderId="55" xfId="0" applyFont="1" applyFill="1" applyBorder="1" applyAlignment="1">
      <alignment horizontal="left" vertical="center" wrapText="1"/>
    </xf>
    <xf numFmtId="164" fontId="33" fillId="0" borderId="55" xfId="1" applyNumberFormat="1" applyFont="1" applyBorder="1" applyAlignment="1">
      <alignment horizontal="left" vertical="center"/>
    </xf>
    <xf numFmtId="0" fontId="37" fillId="18" borderId="70" xfId="0" applyFont="1" applyFill="1" applyBorder="1" applyAlignment="1" applyProtection="1">
      <alignment horizontal="center" vertical="center" wrapText="1"/>
      <protection hidden="1"/>
    </xf>
    <xf numFmtId="0" fontId="38" fillId="4" borderId="76" xfId="0" applyFont="1" applyFill="1" applyBorder="1" applyAlignment="1">
      <alignment horizontal="left" vertical="center" wrapText="1"/>
    </xf>
    <xf numFmtId="0" fontId="38" fillId="4" borderId="77" xfId="0" applyFont="1" applyFill="1" applyBorder="1" applyAlignment="1">
      <alignment horizontal="left" vertical="center" wrapText="1"/>
    </xf>
    <xf numFmtId="0" fontId="38" fillId="4" borderId="77" xfId="0" applyFont="1" applyFill="1" applyBorder="1" applyAlignment="1">
      <alignment horizontal="center" vertical="center" wrapText="1"/>
    </xf>
    <xf numFmtId="0" fontId="38" fillId="4" borderId="78" xfId="0" applyFont="1" applyFill="1" applyBorder="1" applyAlignment="1">
      <alignment horizontal="left" vertical="center" wrapText="1"/>
    </xf>
    <xf numFmtId="0" fontId="38" fillId="4" borderId="79" xfId="0" applyFont="1" applyFill="1" applyBorder="1" applyAlignment="1">
      <alignment horizontal="left" vertical="center" wrapText="1"/>
    </xf>
    <xf numFmtId="0" fontId="38" fillId="4" borderId="80" xfId="0" applyFont="1" applyFill="1" applyBorder="1" applyAlignment="1">
      <alignment horizontal="left" vertical="center" wrapText="1"/>
    </xf>
    <xf numFmtId="0" fontId="41" fillId="6" borderId="77" xfId="0" applyFont="1" applyFill="1" applyBorder="1" applyAlignment="1">
      <alignment horizontal="left" vertical="center"/>
    </xf>
    <xf numFmtId="0" fontId="33" fillId="6" borderId="80" xfId="0" applyFont="1" applyFill="1" applyBorder="1" applyAlignment="1">
      <alignment horizontal="center" vertical="center"/>
    </xf>
    <xf numFmtId="0" fontId="33" fillId="6" borderId="77" xfId="0" applyFont="1" applyFill="1" applyBorder="1" applyAlignment="1">
      <alignment horizontal="center" vertical="center"/>
    </xf>
    <xf numFmtId="0" fontId="33" fillId="6" borderId="76" xfId="0" applyFont="1" applyFill="1" applyBorder="1" applyAlignment="1">
      <alignment horizontal="center" vertical="center"/>
    </xf>
    <xf numFmtId="0" fontId="33" fillId="6" borderId="77" xfId="0" applyFont="1" applyFill="1" applyBorder="1" applyAlignment="1">
      <alignment horizontal="left" vertical="center"/>
    </xf>
    <xf numFmtId="164" fontId="33" fillId="6" borderId="76" xfId="1" applyNumberFormat="1" applyFont="1" applyFill="1" applyBorder="1" applyAlignment="1">
      <alignment horizontal="center" vertical="center"/>
    </xf>
    <xf numFmtId="164" fontId="33" fillId="6" borderId="76" xfId="1" applyNumberFormat="1" applyFont="1" applyFill="1" applyBorder="1" applyAlignment="1">
      <alignment horizontal="left" vertical="center"/>
    </xf>
    <xf numFmtId="164" fontId="33" fillId="6" borderId="77" xfId="1" applyNumberFormat="1" applyFont="1" applyFill="1" applyBorder="1" applyAlignment="1">
      <alignment horizontal="left" vertical="center"/>
    </xf>
    <xf numFmtId="164" fontId="33" fillId="6" borderId="80" xfId="1" applyNumberFormat="1" applyFont="1" applyFill="1" applyBorder="1" applyAlignment="1">
      <alignment horizontal="left" vertical="center"/>
    </xf>
    <xf numFmtId="0" fontId="33" fillId="0" borderId="82" xfId="0" applyFont="1" applyBorder="1" applyAlignment="1">
      <alignment horizontal="left" vertical="center"/>
    </xf>
    <xf numFmtId="0" fontId="33" fillId="0" borderId="83" xfId="0" applyFont="1" applyBorder="1" applyAlignment="1">
      <alignment horizontal="center" vertical="center"/>
    </xf>
    <xf numFmtId="0" fontId="33" fillId="0" borderId="82" xfId="0" applyFont="1" applyBorder="1" applyAlignment="1">
      <alignment horizontal="center" vertical="center"/>
    </xf>
    <xf numFmtId="0" fontId="33" fillId="0" borderId="81" xfId="0" applyFont="1" applyBorder="1" applyAlignment="1">
      <alignment horizontal="center" vertical="center"/>
    </xf>
    <xf numFmtId="164" fontId="33" fillId="0" borderId="81" xfId="1" applyNumberFormat="1" applyFont="1" applyBorder="1" applyAlignment="1">
      <alignment horizontal="center" vertical="center"/>
    </xf>
    <xf numFmtId="164" fontId="33" fillId="0" borderId="81" xfId="1" applyNumberFormat="1" applyFont="1" applyBorder="1" applyAlignment="1">
      <alignment horizontal="left" vertical="center"/>
    </xf>
    <xf numFmtId="164" fontId="33" fillId="0" borderId="82" xfId="1" applyNumberFormat="1" applyFont="1" applyBorder="1" applyAlignment="1">
      <alignment horizontal="left" vertical="center"/>
    </xf>
    <xf numFmtId="164" fontId="33" fillId="0" borderId="83" xfId="1" applyNumberFormat="1" applyFont="1" applyBorder="1" applyAlignment="1">
      <alignment horizontal="left" vertical="center"/>
    </xf>
    <xf numFmtId="0" fontId="41" fillId="6" borderId="82" xfId="0" applyFont="1" applyFill="1" applyBorder="1" applyAlignment="1">
      <alignment horizontal="left" vertical="center"/>
    </xf>
    <xf numFmtId="0" fontId="33" fillId="6" borderId="83" xfId="0" applyFont="1" applyFill="1" applyBorder="1" applyAlignment="1">
      <alignment horizontal="center" vertical="center"/>
    </xf>
    <xf numFmtId="0" fontId="33" fillId="6" borderId="82" xfId="0" applyFont="1" applyFill="1" applyBorder="1" applyAlignment="1">
      <alignment horizontal="center" vertical="center"/>
    </xf>
    <xf numFmtId="0" fontId="33" fillId="6" borderId="81" xfId="0" applyFont="1" applyFill="1" applyBorder="1" applyAlignment="1">
      <alignment horizontal="center" vertical="center"/>
    </xf>
    <xf numFmtId="0" fontId="33" fillId="6" borderId="82" xfId="0" applyFont="1" applyFill="1" applyBorder="1" applyAlignment="1">
      <alignment horizontal="left" vertical="center"/>
    </xf>
    <xf numFmtId="164" fontId="33" fillId="6" borderId="81" xfId="1" applyNumberFormat="1" applyFont="1" applyFill="1" applyBorder="1" applyAlignment="1">
      <alignment horizontal="center" vertical="center"/>
    </xf>
    <xf numFmtId="164" fontId="33" fillId="6" borderId="81" xfId="1" applyNumberFormat="1" applyFont="1" applyFill="1" applyBorder="1" applyAlignment="1">
      <alignment horizontal="left" vertical="center"/>
    </xf>
    <xf numFmtId="164" fontId="33" fillId="6" borderId="82" xfId="1" applyNumberFormat="1" applyFont="1" applyFill="1" applyBorder="1" applyAlignment="1">
      <alignment horizontal="left" vertical="center"/>
    </xf>
    <xf numFmtId="164" fontId="33" fillId="6" borderId="83" xfId="1" applyNumberFormat="1" applyFont="1" applyFill="1" applyBorder="1" applyAlignment="1">
      <alignment horizontal="left" vertical="center"/>
    </xf>
    <xf numFmtId="0" fontId="34" fillId="0" borderId="82" xfId="0" applyFont="1" applyBorder="1" applyAlignment="1">
      <alignment horizontal="left" vertical="center"/>
    </xf>
    <xf numFmtId="0" fontId="33" fillId="32" borderId="82" xfId="0" applyFont="1" applyFill="1" applyBorder="1" applyAlignment="1">
      <alignment horizontal="left" vertical="center"/>
    </xf>
    <xf numFmtId="0" fontId="33" fillId="2" borderId="82" xfId="0" applyFont="1" applyFill="1" applyBorder="1" applyAlignment="1">
      <alignment horizontal="left" vertical="center"/>
    </xf>
    <xf numFmtId="164" fontId="33" fillId="32" borderId="76" xfId="1" applyNumberFormat="1" applyFont="1" applyFill="1" applyBorder="1" applyAlignment="1">
      <alignment horizontal="center" vertical="center"/>
    </xf>
    <xf numFmtId="164" fontId="33" fillId="32" borderId="80" xfId="1" applyNumberFormat="1" applyFont="1" applyFill="1" applyBorder="1" applyAlignment="1">
      <alignment horizontal="left" vertical="center"/>
    </xf>
    <xf numFmtId="164" fontId="33" fillId="2" borderId="81" xfId="1" applyNumberFormat="1" applyFont="1" applyFill="1" applyBorder="1" applyAlignment="1">
      <alignment horizontal="center" vertical="center"/>
    </xf>
    <xf numFmtId="164" fontId="33" fillId="2" borderId="83" xfId="1" applyNumberFormat="1" applyFont="1" applyFill="1" applyBorder="1" applyAlignment="1">
      <alignment horizontal="left" vertical="center"/>
    </xf>
    <xf numFmtId="164" fontId="33" fillId="32" borderId="81" xfId="1" applyNumberFormat="1" applyFont="1" applyFill="1" applyBorder="1" applyAlignment="1">
      <alignment horizontal="center" vertical="center"/>
    </xf>
    <xf numFmtId="164" fontId="33" fillId="32" borderId="83" xfId="1" applyNumberFormat="1" applyFont="1" applyFill="1" applyBorder="1" applyAlignment="1">
      <alignment horizontal="left" vertical="center"/>
    </xf>
    <xf numFmtId="164" fontId="33" fillId="0" borderId="0" xfId="1" applyNumberFormat="1" applyFont="1" applyBorder="1" applyAlignment="1">
      <alignment horizontal="center" vertical="center"/>
    </xf>
    <xf numFmtId="0" fontId="38" fillId="4" borderId="84" xfId="0" applyFont="1" applyFill="1" applyBorder="1" applyAlignment="1">
      <alignment horizontal="left" vertical="center" wrapText="1"/>
    </xf>
    <xf numFmtId="0" fontId="33" fillId="6" borderId="84" xfId="0" applyFont="1" applyFill="1" applyBorder="1" applyAlignment="1">
      <alignment horizontal="left" vertical="center"/>
    </xf>
    <xf numFmtId="0" fontId="33" fillId="0" borderId="85" xfId="0" applyFont="1" applyBorder="1" applyAlignment="1">
      <alignment horizontal="left" vertical="center"/>
    </xf>
    <xf numFmtId="0" fontId="33" fillId="6" borderId="85" xfId="0" applyFont="1" applyFill="1" applyBorder="1" applyAlignment="1">
      <alignment horizontal="left" vertical="center"/>
    </xf>
    <xf numFmtId="0" fontId="38" fillId="4" borderId="86" xfId="0" applyFont="1" applyFill="1" applyBorder="1" applyAlignment="1">
      <alignment horizontal="center" vertical="center" wrapText="1"/>
    </xf>
    <xf numFmtId="0" fontId="38" fillId="4" borderId="86" xfId="0" applyFont="1" applyFill="1" applyBorder="1" applyAlignment="1">
      <alignment horizontal="left" vertical="center" wrapText="1"/>
    </xf>
    <xf numFmtId="0" fontId="38" fillId="4" borderId="27" xfId="0" applyFont="1" applyFill="1" applyBorder="1" applyAlignment="1">
      <alignment horizontal="left" vertical="center" wrapText="1"/>
    </xf>
    <xf numFmtId="0" fontId="33" fillId="0" borderId="86" xfId="0" applyFont="1" applyBorder="1" applyAlignment="1">
      <alignment horizontal="left" vertical="center"/>
    </xf>
    <xf numFmtId="0" fontId="33" fillId="0" borderId="27" xfId="0" applyFont="1" applyBorder="1" applyAlignment="1">
      <alignment horizontal="center" vertical="center"/>
    </xf>
    <xf numFmtId="0" fontId="33" fillId="0" borderId="86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164" fontId="33" fillId="2" borderId="55" xfId="1" applyNumberFormat="1" applyFont="1" applyFill="1" applyBorder="1" applyAlignment="1">
      <alignment horizontal="center" vertical="center"/>
    </xf>
    <xf numFmtId="164" fontId="33" fillId="0" borderId="86" xfId="1" applyNumberFormat="1" applyFont="1" applyBorder="1" applyAlignment="1">
      <alignment horizontal="left" vertical="center"/>
    </xf>
    <xf numFmtId="164" fontId="33" fillId="2" borderId="27" xfId="1" applyNumberFormat="1" applyFont="1" applyFill="1" applyBorder="1" applyAlignment="1">
      <alignment horizontal="left" vertical="center"/>
    </xf>
    <xf numFmtId="164" fontId="33" fillId="0" borderId="27" xfId="1" applyNumberFormat="1" applyFont="1" applyBorder="1" applyAlignment="1">
      <alignment horizontal="left" vertical="center"/>
    </xf>
    <xf numFmtId="166" fontId="9" fillId="0" borderId="50" xfId="1" applyNumberFormat="1" applyFont="1" applyFill="1" applyBorder="1" applyAlignment="1" applyProtection="1">
      <alignment horizontal="center" vertical="center" wrapText="1"/>
      <protection hidden="1"/>
    </xf>
    <xf numFmtId="166" fontId="9" fillId="0" borderId="53" xfId="1" applyNumberFormat="1" applyFont="1" applyFill="1" applyBorder="1" applyAlignment="1" applyProtection="1">
      <alignment horizontal="center" vertical="center" wrapText="1"/>
      <protection hidden="1"/>
    </xf>
    <xf numFmtId="166" fontId="9" fillId="0" borderId="53" xfId="1" applyNumberFormat="1" applyFont="1" applyFill="1" applyBorder="1" applyAlignment="1">
      <alignment horizontal="center" vertical="center" wrapText="1"/>
    </xf>
    <xf numFmtId="166" fontId="9" fillId="0" borderId="27" xfId="1" applyNumberFormat="1" applyFont="1" applyFill="1" applyBorder="1" applyAlignment="1">
      <alignment horizontal="center" vertical="center" wrapText="1"/>
    </xf>
    <xf numFmtId="166" fontId="9" fillId="0" borderId="27" xfId="1" applyNumberFormat="1" applyFont="1" applyFill="1" applyBorder="1" applyAlignment="1" applyProtection="1">
      <alignment horizontal="center" vertical="center" wrapText="1"/>
      <protection hidden="1"/>
    </xf>
    <xf numFmtId="166" fontId="9" fillId="0" borderId="50" xfId="1" applyNumberFormat="1" applyFont="1" applyFill="1" applyBorder="1" applyAlignment="1">
      <alignment horizontal="center" vertical="center" wrapText="1"/>
    </xf>
    <xf numFmtId="166" fontId="4" fillId="5" borderId="2" xfId="1" applyNumberFormat="1" applyFont="1" applyFill="1" applyBorder="1" applyAlignment="1" applyProtection="1">
      <alignment horizontal="center" vertical="center" wrapText="1"/>
      <protection hidden="1"/>
    </xf>
    <xf numFmtId="166" fontId="4" fillId="0" borderId="2" xfId="1" applyNumberFormat="1" applyFont="1" applyBorder="1" applyAlignment="1" applyProtection="1">
      <alignment horizontal="center" vertical="center" wrapText="1"/>
      <protection hidden="1"/>
    </xf>
    <xf numFmtId="166" fontId="5" fillId="4" borderId="0" xfId="0" applyNumberFormat="1" applyFont="1" applyFill="1" applyAlignment="1">
      <alignment horizontal="left" vertical="center" wrapText="1"/>
    </xf>
    <xf numFmtId="166" fontId="9" fillId="0" borderId="0" xfId="0" applyNumberFormat="1" applyFont="1" applyAlignment="1" applyProtection="1">
      <alignment horizontal="left" wrapText="1"/>
      <protection hidden="1"/>
    </xf>
    <xf numFmtId="166" fontId="5" fillId="4" borderId="27" xfId="0" applyNumberFormat="1" applyFont="1" applyFill="1" applyBorder="1" applyAlignment="1">
      <alignment horizontal="left" vertical="center" wrapText="1"/>
    </xf>
    <xf numFmtId="166" fontId="5" fillId="4" borderId="57" xfId="0" applyNumberFormat="1" applyFont="1" applyFill="1" applyBorder="1" applyAlignment="1">
      <alignment horizontal="left" vertical="center" wrapText="1"/>
    </xf>
    <xf numFmtId="166" fontId="9" fillId="0" borderId="0" xfId="0" applyNumberFormat="1" applyFont="1" applyAlignment="1" applyProtection="1">
      <alignment horizontal="left" vertical="center" wrapText="1"/>
      <protection hidden="1"/>
    </xf>
    <xf numFmtId="166" fontId="5" fillId="4" borderId="22" xfId="0" applyNumberFormat="1" applyFont="1" applyFill="1" applyBorder="1" applyAlignment="1" applyProtection="1">
      <alignment horizontal="left" vertical="center" wrapText="1"/>
      <protection hidden="1"/>
    </xf>
    <xf numFmtId="166" fontId="9" fillId="0" borderId="22" xfId="1" applyNumberFormat="1" applyFont="1" applyFill="1" applyBorder="1" applyAlignment="1">
      <alignment horizontal="center" vertical="center" wrapText="1"/>
    </xf>
    <xf numFmtId="166" fontId="9" fillId="0" borderId="22" xfId="1" applyNumberFormat="1" applyFont="1" applyFill="1" applyBorder="1" applyAlignment="1" applyProtection="1">
      <alignment horizontal="center" vertical="center" wrapText="1"/>
      <protection hidden="1"/>
    </xf>
    <xf numFmtId="166" fontId="5" fillId="4" borderId="25" xfId="0" applyNumberFormat="1" applyFont="1" applyFill="1" applyBorder="1" applyAlignment="1" applyProtection="1">
      <alignment horizontal="left" vertical="center" wrapText="1"/>
      <protection hidden="1"/>
    </xf>
    <xf numFmtId="166" fontId="9" fillId="0" borderId="25" xfId="1" applyNumberFormat="1" applyFont="1" applyFill="1" applyBorder="1" applyAlignment="1">
      <alignment horizontal="center" vertical="center" wrapText="1"/>
    </xf>
    <xf numFmtId="166" fontId="9" fillId="0" borderId="25" xfId="1" applyNumberFormat="1" applyFont="1" applyFill="1" applyBorder="1" applyAlignment="1" applyProtection="1">
      <alignment horizontal="center" vertical="center" wrapText="1"/>
      <protection hidden="1"/>
    </xf>
    <xf numFmtId="43" fontId="42" fillId="0" borderId="87" xfId="1" applyFont="1" applyBorder="1"/>
    <xf numFmtId="43" fontId="43" fillId="0" borderId="87" xfId="1" applyFont="1" applyBorder="1"/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88" xfId="0" applyFont="1" applyBorder="1"/>
    <xf numFmtId="0" fontId="16" fillId="0" borderId="89" xfId="0" applyFont="1" applyBorder="1"/>
    <xf numFmtId="0" fontId="16" fillId="0" borderId="90" xfId="0" applyFont="1" applyBorder="1"/>
    <xf numFmtId="0" fontId="0" fillId="0" borderId="91" xfId="0" applyBorder="1"/>
    <xf numFmtId="0" fontId="0" fillId="0" borderId="92" xfId="0" applyBorder="1"/>
    <xf numFmtId="0" fontId="16" fillId="0" borderId="88" xfId="0" applyFont="1" applyBorder="1" applyAlignment="1">
      <alignment horizontal="center"/>
    </xf>
    <xf numFmtId="0" fontId="16" fillId="0" borderId="92" xfId="0" applyFont="1" applyBorder="1" applyAlignment="1">
      <alignment horizontal="center"/>
    </xf>
    <xf numFmtId="0" fontId="16" fillId="0" borderId="93" xfId="0" applyFont="1" applyBorder="1"/>
    <xf numFmtId="0" fontId="16" fillId="0" borderId="1" xfId="0" applyFont="1" applyBorder="1"/>
    <xf numFmtId="0" fontId="16" fillId="0" borderId="4" xfId="0" applyFont="1" applyBorder="1"/>
    <xf numFmtId="0" fontId="0" fillId="0" borderId="3" xfId="0" applyBorder="1"/>
    <xf numFmtId="0" fontId="0" fillId="0" borderId="94" xfId="0" applyBorder="1"/>
    <xf numFmtId="0" fontId="21" fillId="0" borderId="93" xfId="0" applyFont="1" applyBorder="1" applyAlignment="1">
      <alignment horizontal="center" vertical="center" wrapText="1"/>
    </xf>
    <xf numFmtId="0" fontId="16" fillId="0" borderId="94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0" borderId="95" xfId="0" applyFont="1" applyBorder="1"/>
    <xf numFmtId="0" fontId="16" fillId="0" borderId="96" xfId="0" applyFont="1" applyBorder="1"/>
    <xf numFmtId="0" fontId="16" fillId="0" borderId="97" xfId="0" applyFont="1" applyBorder="1"/>
    <xf numFmtId="0" fontId="16" fillId="0" borderId="29" xfId="0" applyFont="1" applyBorder="1"/>
    <xf numFmtId="0" fontId="16" fillId="0" borderId="98" xfId="0" applyFont="1" applyBorder="1"/>
    <xf numFmtId="0" fontId="0" fillId="0" borderId="20" xfId="0" applyBorder="1"/>
    <xf numFmtId="0" fontId="0" fillId="0" borderId="99" xfId="0" applyBorder="1"/>
    <xf numFmtId="0" fontId="16" fillId="0" borderId="100" xfId="0" applyFont="1" applyBorder="1"/>
    <xf numFmtId="0" fontId="16" fillId="0" borderId="100" xfId="0" applyFont="1" applyBorder="1" applyAlignment="1">
      <alignment horizontal="center"/>
    </xf>
    <xf numFmtId="0" fontId="16" fillId="0" borderId="99" xfId="0" applyFont="1" applyBorder="1" applyAlignment="1">
      <alignment horizontal="center"/>
    </xf>
    <xf numFmtId="0" fontId="24" fillId="4" borderId="101" xfId="0" applyFont="1" applyFill="1" applyBorder="1" applyAlignment="1">
      <alignment horizontal="left" vertical="center" wrapText="1"/>
    </xf>
    <xf numFmtId="0" fontId="44" fillId="5" borderId="101" xfId="0" applyFont="1" applyFill="1" applyBorder="1" applyAlignment="1">
      <alignment horizontal="left" vertical="center" wrapText="1"/>
    </xf>
    <xf numFmtId="0" fontId="24" fillId="4" borderId="102" xfId="0" applyFont="1" applyFill="1" applyBorder="1" applyAlignment="1">
      <alignment horizontal="center" vertical="center" wrapText="1"/>
    </xf>
    <xf numFmtId="0" fontId="45" fillId="4" borderId="101" xfId="0" applyFont="1" applyFill="1" applyBorder="1" applyAlignment="1" applyProtection="1">
      <alignment horizontal="center" vertical="center" wrapText="1"/>
      <protection hidden="1"/>
    </xf>
    <xf numFmtId="0" fontId="16" fillId="0" borderId="22" xfId="0" applyFont="1" applyBorder="1" applyAlignment="1">
      <alignment horizontal="center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30" fillId="0" borderId="0" xfId="0" applyFont="1" applyBorder="1" applyAlignment="1">
      <alignment horizontal="center" vertical="center" wrapText="1"/>
    </xf>
    <xf numFmtId="0" fontId="1" fillId="7" borderId="98" xfId="0" applyFont="1" applyFill="1" applyBorder="1" applyAlignment="1" applyProtection="1">
      <alignment horizontal="center" vertical="center" wrapText="1"/>
      <protection hidden="1"/>
    </xf>
    <xf numFmtId="0" fontId="1" fillId="7" borderId="16" xfId="0" applyFont="1" applyFill="1" applyBorder="1" applyAlignment="1" applyProtection="1">
      <alignment horizontal="center" vertical="center" wrapText="1"/>
      <protection hidden="1"/>
    </xf>
    <xf numFmtId="0" fontId="1" fillId="7" borderId="17" xfId="0" applyFont="1" applyFill="1" applyBorder="1" applyAlignment="1" applyProtection="1">
      <alignment horizontal="center" vertical="center" wrapText="1"/>
      <protection hidden="1"/>
    </xf>
    <xf numFmtId="0" fontId="1" fillId="7" borderId="19" xfId="0" applyFont="1" applyFill="1" applyBorder="1" applyAlignment="1" applyProtection="1">
      <alignment horizontal="center" vertical="center" wrapText="1"/>
      <protection hidden="1"/>
    </xf>
    <xf numFmtId="0" fontId="1" fillId="7" borderId="33" xfId="0" applyFont="1" applyFill="1" applyBorder="1" applyAlignment="1" applyProtection="1">
      <alignment horizontal="center" vertical="center" wrapText="1"/>
      <protection hidden="1"/>
    </xf>
    <xf numFmtId="0" fontId="1" fillId="7" borderId="31" xfId="0" applyFont="1" applyFill="1" applyBorder="1" applyAlignment="1" applyProtection="1">
      <alignment horizontal="center" vertical="center" wrapText="1"/>
      <protection hidden="1"/>
    </xf>
    <xf numFmtId="0" fontId="1" fillId="7" borderId="35" xfId="0" applyFont="1" applyFill="1" applyBorder="1" applyAlignment="1" applyProtection="1">
      <alignment horizontal="center" vertical="center" wrapText="1"/>
      <protection hidden="1"/>
    </xf>
    <xf numFmtId="0" fontId="1" fillId="7" borderId="103" xfId="0" applyFont="1" applyFill="1" applyBorder="1" applyAlignment="1" applyProtection="1">
      <alignment horizontal="center" vertical="center" wrapText="1"/>
      <protection hidden="1"/>
    </xf>
    <xf numFmtId="0" fontId="1" fillId="7" borderId="104" xfId="0" applyFont="1" applyFill="1" applyBorder="1" applyAlignment="1" applyProtection="1">
      <alignment horizontal="center" vertical="center" wrapText="1"/>
      <protection hidden="1"/>
    </xf>
    <xf numFmtId="0" fontId="1" fillId="7" borderId="105" xfId="0" applyFont="1" applyFill="1" applyBorder="1" applyAlignment="1" applyProtection="1">
      <alignment horizontal="center" vertical="center" wrapText="1"/>
      <protection hidden="1"/>
    </xf>
    <xf numFmtId="0" fontId="46" fillId="0" borderId="98" xfId="0" applyFont="1" applyBorder="1" applyAlignment="1">
      <alignment horizontal="center" vertical="center"/>
    </xf>
    <xf numFmtId="0" fontId="46" fillId="0" borderId="36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wrapText="1"/>
      <protection hidden="1"/>
    </xf>
    <xf numFmtId="10" fontId="46" fillId="0" borderId="98" xfId="3" applyNumberFormat="1" applyFont="1" applyBorder="1" applyAlignment="1">
      <alignment horizontal="center" vertical="center"/>
    </xf>
    <xf numFmtId="10" fontId="46" fillId="0" borderId="17" xfId="3" applyNumberFormat="1" applyFont="1" applyBorder="1" applyAlignment="1">
      <alignment horizontal="center" vertical="center"/>
    </xf>
    <xf numFmtId="10" fontId="46" fillId="0" borderId="1" xfId="3" applyNumberFormat="1" applyFont="1" applyBorder="1" applyAlignment="1">
      <alignment horizontal="center" vertical="center"/>
    </xf>
    <xf numFmtId="10" fontId="46" fillId="0" borderId="31" xfId="3" applyNumberFormat="1" applyFont="1" applyBorder="1" applyAlignment="1">
      <alignment horizontal="center" vertical="center"/>
    </xf>
    <xf numFmtId="0" fontId="1" fillId="7" borderId="5" xfId="0" applyFont="1" applyFill="1" applyBorder="1" applyAlignment="1" applyProtection="1">
      <alignment horizontal="center" vertical="center" wrapText="1"/>
      <protection hidden="1"/>
    </xf>
    <xf numFmtId="43" fontId="42" fillId="0" borderId="107" xfId="1" applyFont="1" applyBorder="1"/>
    <xf numFmtId="43" fontId="43" fillId="0" borderId="107" xfId="1" applyFont="1" applyBorder="1"/>
    <xf numFmtId="0" fontId="30" fillId="0" borderId="0" xfId="0" applyFont="1" applyBorder="1" applyAlignment="1">
      <alignment horizontal="center" wrapText="1"/>
    </xf>
    <xf numFmtId="0" fontId="18" fillId="0" borderId="0" xfId="0" applyFont="1" applyBorder="1" applyAlignment="1" applyProtection="1">
      <alignment horizontal="center" vertical="center" wrapText="1"/>
      <protection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0" fontId="12" fillId="14" borderId="0" xfId="0" applyFont="1" applyFill="1" applyAlignment="1" applyProtection="1">
      <alignment horizontal="center" vertical="center" wrapText="1"/>
      <protection hidden="1"/>
    </xf>
    <xf numFmtId="164" fontId="48" fillId="6" borderId="0" xfId="1" applyNumberFormat="1" applyFont="1" applyFill="1" applyBorder="1" applyAlignment="1" applyProtection="1">
      <alignment horizontal="center" vertical="center" wrapText="1"/>
      <protection locked="0" hidden="1"/>
    </xf>
    <xf numFmtId="0" fontId="18" fillId="0" borderId="22" xfId="0" applyFont="1" applyFill="1" applyBorder="1" applyAlignment="1" applyProtection="1">
      <alignment horizontal="center" vertical="center" wrapText="1"/>
      <protection hidden="1"/>
    </xf>
    <xf numFmtId="0" fontId="4" fillId="0" borderId="52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164" fontId="4" fillId="0" borderId="52" xfId="1" applyNumberFormat="1" applyFont="1" applyFill="1" applyBorder="1" applyAlignment="1" applyProtection="1">
      <alignment horizontal="center" vertical="center" wrapText="1"/>
      <protection hidden="1"/>
    </xf>
    <xf numFmtId="0" fontId="5" fillId="4" borderId="0" xfId="0" applyFont="1" applyFill="1" applyAlignment="1">
      <alignment horizontal="center" vertical="center" wrapText="1"/>
    </xf>
    <xf numFmtId="0" fontId="31" fillId="0" borderId="0" xfId="0" applyFont="1" applyAlignment="1" applyProtection="1">
      <alignment horizontal="center" vertical="center" wrapText="1"/>
      <protection hidden="1"/>
    </xf>
    <xf numFmtId="0" fontId="30" fillId="0" borderId="0" xfId="0" applyNumberFormat="1" applyFont="1" applyFill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5" fillId="4" borderId="47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166" fontId="5" fillId="4" borderId="27" xfId="1" applyNumberFormat="1" applyFont="1" applyFill="1" applyBorder="1" applyAlignment="1">
      <alignment horizontal="center" vertical="center" wrapText="1"/>
    </xf>
    <xf numFmtId="164" fontId="5" fillId="4" borderId="47" xfId="1" applyNumberFormat="1" applyFont="1" applyFill="1" applyBorder="1" applyAlignment="1">
      <alignment horizontal="center" vertical="center" wrapText="1"/>
    </xf>
    <xf numFmtId="4" fontId="5" fillId="4" borderId="47" xfId="1" applyNumberFormat="1" applyFont="1" applyFill="1" applyBorder="1" applyAlignment="1">
      <alignment horizontal="center" vertical="center" wrapText="1"/>
    </xf>
    <xf numFmtId="164" fontId="4" fillId="9" borderId="0" xfId="1" applyNumberFormat="1" applyFont="1" applyFill="1" applyBorder="1" applyAlignment="1" applyProtection="1">
      <alignment horizontal="center" vertical="center" wrapText="1"/>
      <protection hidden="1"/>
    </xf>
    <xf numFmtId="164" fontId="4" fillId="6" borderId="0" xfId="1" applyNumberFormat="1" applyFont="1" applyFill="1" applyBorder="1" applyAlignment="1" applyProtection="1">
      <alignment horizontal="center" vertical="center" wrapText="1"/>
      <protection locked="0" hidden="1"/>
    </xf>
    <xf numFmtId="0" fontId="6" fillId="0" borderId="0" xfId="0" applyFont="1" applyAlignment="1" applyProtection="1">
      <alignment horizontal="center" vertical="center" wrapText="1"/>
      <protection hidden="1"/>
    </xf>
    <xf numFmtId="43" fontId="4" fillId="0" borderId="0" xfId="1" applyFont="1" applyAlignment="1" applyProtection="1">
      <alignment horizontal="center" vertical="center" wrapText="1"/>
      <protection hidden="1"/>
    </xf>
    <xf numFmtId="166" fontId="31" fillId="0" borderId="0" xfId="0" applyNumberFormat="1" applyFont="1" applyAlignment="1" applyProtection="1">
      <alignment horizontal="center" vertical="center" wrapText="1"/>
      <protection hidden="1"/>
    </xf>
    <xf numFmtId="43" fontId="4" fillId="0" borderId="0" xfId="1" applyFont="1" applyBorder="1" applyAlignment="1" applyProtection="1">
      <alignment horizontal="center" vertical="center" wrapText="1"/>
      <protection hidden="1"/>
    </xf>
    <xf numFmtId="4" fontId="4" fillId="0" borderId="0" xfId="1" applyNumberFormat="1" applyFont="1" applyBorder="1" applyAlignment="1" applyProtection="1">
      <alignment horizontal="center" vertical="center" wrapText="1"/>
      <protection hidden="1"/>
    </xf>
    <xf numFmtId="4" fontId="4" fillId="0" borderId="0" xfId="1" applyNumberFormat="1" applyFont="1" applyFill="1" applyBorder="1" applyAlignment="1" applyProtection="1">
      <alignment horizontal="center" vertical="center" wrapText="1"/>
      <protection hidden="1"/>
    </xf>
    <xf numFmtId="0" fontId="16" fillId="0" borderId="0" xfId="0" applyFont="1" applyFill="1" applyAlignment="1" applyProtection="1">
      <alignment horizontal="center" vertical="center" wrapText="1"/>
      <protection hidden="1"/>
    </xf>
    <xf numFmtId="166" fontId="9" fillId="0" borderId="0" xfId="1" applyNumberFormat="1" applyFont="1" applyBorder="1" applyAlignment="1" applyProtection="1">
      <alignment horizontal="center" vertical="center" wrapText="1"/>
      <protection hidden="1"/>
    </xf>
    <xf numFmtId="0" fontId="4" fillId="0" borderId="52" xfId="0" applyFont="1" applyFill="1" applyBorder="1" applyAlignment="1" applyProtection="1">
      <alignment horizontal="center" wrapText="1"/>
      <protection hidden="1"/>
    </xf>
    <xf numFmtId="0" fontId="18" fillId="0" borderId="46" xfId="0" applyFont="1" applyFill="1" applyBorder="1" applyAlignment="1" applyProtection="1">
      <alignment horizontal="center" wrapText="1"/>
      <protection hidden="1"/>
    </xf>
    <xf numFmtId="0" fontId="30" fillId="0" borderId="52" xfId="0" applyNumberFormat="1" applyFont="1" applyFill="1" applyBorder="1" applyAlignment="1" applyProtection="1">
      <alignment horizontal="center" wrapText="1"/>
      <protection hidden="1"/>
    </xf>
    <xf numFmtId="43" fontId="15" fillId="0" borderId="55" xfId="2" applyNumberFormat="1" applyFont="1" applyFill="1" applyBorder="1" applyAlignment="1" applyProtection="1">
      <alignment horizontal="center" wrapText="1"/>
      <protection hidden="1"/>
    </xf>
    <xf numFmtId="43" fontId="15" fillId="0" borderId="47" xfId="2" applyNumberFormat="1" applyFont="1" applyFill="1" applyBorder="1" applyAlignment="1" applyProtection="1">
      <alignment horizontal="center" wrapText="1"/>
      <protection hidden="1"/>
    </xf>
    <xf numFmtId="0" fontId="18" fillId="0" borderId="46" xfId="0" applyFont="1" applyFill="1" applyBorder="1" applyAlignment="1" applyProtection="1">
      <alignment horizontal="center" vertical="center" wrapText="1"/>
      <protection hidden="1"/>
    </xf>
    <xf numFmtId="0" fontId="30" fillId="0" borderId="52" xfId="0" applyNumberFormat="1" applyFont="1" applyFill="1" applyBorder="1" applyAlignment="1" applyProtection="1">
      <alignment horizontal="center" vertical="center" wrapText="1"/>
      <protection hidden="1"/>
    </xf>
    <xf numFmtId="0" fontId="30" fillId="0" borderId="52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49" xfId="0" applyFont="1" applyBorder="1" applyAlignment="1" applyProtection="1">
      <alignment horizontal="center" vertical="center" wrapText="1"/>
      <protection hidden="1"/>
    </xf>
    <xf numFmtId="0" fontId="30" fillId="0" borderId="48" xfId="0" applyFont="1" applyBorder="1" applyAlignment="1" applyProtection="1">
      <alignment horizontal="center" vertical="center" wrapText="1"/>
      <protection hidden="1"/>
    </xf>
    <xf numFmtId="0" fontId="21" fillId="0" borderId="49" xfId="0" applyFont="1" applyBorder="1" applyAlignment="1">
      <alignment horizontal="center" vertical="center" wrapText="1"/>
    </xf>
    <xf numFmtId="0" fontId="7" fillId="3" borderId="19" xfId="0" applyFont="1" applyFill="1" applyBorder="1" applyAlignment="1" applyProtection="1">
      <alignment horizontal="center" vertical="center" wrapText="1"/>
      <protection hidden="1"/>
    </xf>
    <xf numFmtId="0" fontId="7" fillId="3" borderId="15" xfId="0" applyFont="1" applyFill="1" applyBorder="1" applyAlignment="1" applyProtection="1">
      <alignment horizontal="center" vertical="center" wrapText="1"/>
      <protection hidden="1"/>
    </xf>
    <xf numFmtId="0" fontId="5" fillId="8" borderId="19" xfId="0" applyFont="1" applyFill="1" applyBorder="1" applyAlignment="1" applyProtection="1">
      <alignment horizontal="center" vertical="center" wrapText="1"/>
      <protection hidden="1"/>
    </xf>
    <xf numFmtId="0" fontId="5" fillId="8" borderId="15" xfId="0" applyFont="1" applyFill="1" applyBorder="1" applyAlignment="1" applyProtection="1">
      <alignment horizontal="center" vertical="center" wrapText="1"/>
      <protection hidden="1"/>
    </xf>
    <xf numFmtId="0" fontId="13" fillId="2" borderId="10" xfId="0" applyFont="1" applyFill="1" applyBorder="1" applyAlignment="1" applyProtection="1">
      <alignment horizontal="center" vertical="center" wrapText="1"/>
      <protection hidden="1"/>
    </xf>
    <xf numFmtId="0" fontId="13" fillId="2" borderId="0" xfId="0" applyFont="1" applyFill="1" applyAlignment="1" applyProtection="1">
      <alignment horizontal="center" vertical="center" wrapText="1"/>
      <protection hidden="1"/>
    </xf>
    <xf numFmtId="0" fontId="13" fillId="2" borderId="11" xfId="0" applyFont="1" applyFill="1" applyBorder="1" applyAlignment="1" applyProtection="1">
      <alignment horizontal="center" vertical="center" wrapText="1"/>
      <protection hidden="1"/>
    </xf>
    <xf numFmtId="0" fontId="6" fillId="4" borderId="75" xfId="0" applyFont="1" applyFill="1" applyBorder="1" applyAlignment="1" applyProtection="1">
      <alignment horizontal="center" vertical="center" wrapText="1"/>
      <protection hidden="1"/>
    </xf>
    <xf numFmtId="0" fontId="6" fillId="4" borderId="11" xfId="0" applyFont="1" applyFill="1" applyBorder="1" applyAlignment="1" applyProtection="1">
      <alignment horizontal="center" vertical="center" wrapText="1"/>
      <protection hidden="1"/>
    </xf>
    <xf numFmtId="0" fontId="5" fillId="4" borderId="75" xfId="0" applyFont="1" applyFill="1" applyBorder="1" applyAlignment="1" applyProtection="1">
      <alignment horizontal="center" vertical="center" wrapText="1"/>
      <protection hidden="1"/>
    </xf>
    <xf numFmtId="0" fontId="5" fillId="4" borderId="11" xfId="0" applyFont="1" applyFill="1" applyBorder="1" applyAlignment="1" applyProtection="1">
      <alignment horizontal="center" vertical="center" wrapText="1"/>
      <protection hidden="1"/>
    </xf>
    <xf numFmtId="0" fontId="7" fillId="10" borderId="55" xfId="0" applyFont="1" applyFill="1" applyBorder="1" applyAlignment="1" applyProtection="1">
      <alignment horizontal="center" vertical="center" wrapText="1"/>
      <protection locked="0" hidden="1"/>
    </xf>
    <xf numFmtId="0" fontId="7" fillId="10" borderId="11" xfId="0" applyFont="1" applyFill="1" applyBorder="1" applyAlignment="1" applyProtection="1">
      <alignment horizontal="center" vertical="center" wrapText="1"/>
      <protection locked="0" hidden="1"/>
    </xf>
    <xf numFmtId="0" fontId="7" fillId="3" borderId="10" xfId="0" applyFont="1" applyFill="1" applyBorder="1" applyAlignment="1" applyProtection="1">
      <alignment horizontal="center" vertical="center" wrapText="1"/>
      <protection hidden="1"/>
    </xf>
    <xf numFmtId="0" fontId="7" fillId="3" borderId="11" xfId="0" applyFont="1" applyFill="1" applyBorder="1" applyAlignment="1" applyProtection="1">
      <alignment horizontal="center" vertical="center" wrapText="1"/>
      <protection hidden="1"/>
    </xf>
    <xf numFmtId="0" fontId="7" fillId="3" borderId="12" xfId="0" applyFont="1" applyFill="1" applyBorder="1" applyAlignment="1" applyProtection="1">
      <alignment horizontal="center" vertical="center" wrapText="1"/>
      <protection hidden="1"/>
    </xf>
    <xf numFmtId="0" fontId="7" fillId="3" borderId="13" xfId="0" applyFont="1" applyFill="1" applyBorder="1" applyAlignment="1" applyProtection="1">
      <alignment horizontal="center" vertical="center" wrapText="1"/>
      <protection hidden="1"/>
    </xf>
    <xf numFmtId="0" fontId="13" fillId="2" borderId="12" xfId="0" applyFont="1" applyFill="1" applyBorder="1" applyAlignment="1" applyProtection="1">
      <alignment horizontal="center" vertical="center" wrapText="1"/>
      <protection hidden="1"/>
    </xf>
    <xf numFmtId="0" fontId="13" fillId="2" borderId="30" xfId="0" applyFont="1" applyFill="1" applyBorder="1" applyAlignment="1" applyProtection="1">
      <alignment horizontal="center" vertical="center" wrapText="1"/>
      <protection hidden="1"/>
    </xf>
    <xf numFmtId="0" fontId="13" fillId="2" borderId="13" xfId="0" applyFont="1" applyFill="1" applyBorder="1" applyAlignment="1" applyProtection="1">
      <alignment horizontal="center" vertical="center" wrapText="1"/>
      <protection hidden="1"/>
    </xf>
    <xf numFmtId="0" fontId="22" fillId="22" borderId="16" xfId="0" applyFont="1" applyFill="1" applyBorder="1" applyAlignment="1" applyProtection="1">
      <alignment horizontal="center" vertical="center" wrapText="1"/>
      <protection hidden="1"/>
    </xf>
    <xf numFmtId="0" fontId="22" fillId="22" borderId="17" xfId="0" applyFont="1" applyFill="1" applyBorder="1" applyAlignment="1" applyProtection="1">
      <alignment horizontal="center" vertical="center" wrapText="1"/>
      <protection hidden="1"/>
    </xf>
    <xf numFmtId="0" fontId="22" fillId="22" borderId="18" xfId="0" applyFont="1" applyFill="1" applyBorder="1" applyAlignment="1" applyProtection="1">
      <alignment horizontal="center" vertical="center" wrapText="1"/>
      <protection hidden="1"/>
    </xf>
    <xf numFmtId="0" fontId="22" fillId="22" borderId="19" xfId="0" applyFont="1" applyFill="1" applyBorder="1" applyAlignment="1" applyProtection="1">
      <alignment horizontal="center" vertical="center" wrapText="1"/>
      <protection hidden="1"/>
    </xf>
    <xf numFmtId="0" fontId="22" fillId="22" borderId="1" xfId="0" applyFont="1" applyFill="1" applyBorder="1" applyAlignment="1" applyProtection="1">
      <alignment horizontal="center" vertical="center" wrapText="1"/>
      <protection hidden="1"/>
    </xf>
    <xf numFmtId="0" fontId="22" fillId="22" borderId="2" xfId="0" applyFont="1" applyFill="1" applyBorder="1" applyAlignment="1" applyProtection="1">
      <alignment horizontal="center" vertical="center" wrapText="1"/>
      <protection hidden="1"/>
    </xf>
    <xf numFmtId="0" fontId="22" fillId="25" borderId="16" xfId="0" applyFont="1" applyFill="1" applyBorder="1" applyAlignment="1" applyProtection="1">
      <alignment horizontal="center" vertical="center" wrapText="1"/>
      <protection hidden="1"/>
    </xf>
    <xf numFmtId="0" fontId="22" fillId="25" borderId="17" xfId="0" applyFont="1" applyFill="1" applyBorder="1" applyAlignment="1" applyProtection="1">
      <alignment horizontal="center" vertical="center" wrapText="1"/>
      <protection hidden="1"/>
    </xf>
    <xf numFmtId="0" fontId="22" fillId="25" borderId="18" xfId="0" applyFont="1" applyFill="1" applyBorder="1" applyAlignment="1" applyProtection="1">
      <alignment horizontal="center" vertical="center" wrapText="1"/>
      <protection hidden="1"/>
    </xf>
    <xf numFmtId="0" fontId="22" fillId="25" borderId="19" xfId="0" applyFont="1" applyFill="1" applyBorder="1" applyAlignment="1" applyProtection="1">
      <alignment horizontal="center" vertical="center" wrapText="1"/>
      <protection hidden="1"/>
    </xf>
    <xf numFmtId="0" fontId="22" fillId="25" borderId="1" xfId="0" applyFont="1" applyFill="1" applyBorder="1" applyAlignment="1" applyProtection="1">
      <alignment horizontal="center" vertical="center" wrapText="1"/>
      <protection hidden="1"/>
    </xf>
    <xf numFmtId="0" fontId="22" fillId="25" borderId="2" xfId="0" applyFont="1" applyFill="1" applyBorder="1" applyAlignment="1" applyProtection="1">
      <alignment horizontal="center" vertical="center" wrapText="1"/>
      <protection hidden="1"/>
    </xf>
    <xf numFmtId="0" fontId="22" fillId="24" borderId="16" xfId="0" applyFont="1" applyFill="1" applyBorder="1" applyAlignment="1" applyProtection="1">
      <alignment horizontal="center" vertical="center" wrapText="1"/>
      <protection hidden="1"/>
    </xf>
    <xf numFmtId="0" fontId="22" fillId="24" borderId="17" xfId="0" applyFont="1" applyFill="1" applyBorder="1" applyAlignment="1" applyProtection="1">
      <alignment horizontal="center" vertical="center" wrapText="1"/>
      <protection hidden="1"/>
    </xf>
    <xf numFmtId="0" fontId="22" fillId="24" borderId="18" xfId="0" applyFont="1" applyFill="1" applyBorder="1" applyAlignment="1" applyProtection="1">
      <alignment horizontal="center" vertical="center" wrapText="1"/>
      <protection hidden="1"/>
    </xf>
    <xf numFmtId="0" fontId="22" fillId="24" borderId="19" xfId="0" applyFont="1" applyFill="1" applyBorder="1" applyAlignment="1" applyProtection="1">
      <alignment horizontal="center" vertical="center" wrapText="1"/>
      <protection hidden="1"/>
    </xf>
    <xf numFmtId="0" fontId="22" fillId="24" borderId="1" xfId="0" applyFont="1" applyFill="1" applyBorder="1" applyAlignment="1" applyProtection="1">
      <alignment horizontal="center" vertical="center" wrapText="1"/>
      <protection hidden="1"/>
    </xf>
    <xf numFmtId="0" fontId="22" fillId="24" borderId="2" xfId="0" applyFont="1" applyFill="1" applyBorder="1" applyAlignment="1" applyProtection="1">
      <alignment horizontal="center" vertical="center" wrapText="1"/>
      <protection hidden="1"/>
    </xf>
    <xf numFmtId="0" fontId="22" fillId="26" borderId="16" xfId="0" applyFont="1" applyFill="1" applyBorder="1" applyAlignment="1" applyProtection="1">
      <alignment horizontal="center" vertical="center" wrapText="1"/>
      <protection hidden="1"/>
    </xf>
    <xf numFmtId="0" fontId="22" fillId="26" borderId="17" xfId="0" applyFont="1" applyFill="1" applyBorder="1" applyAlignment="1" applyProtection="1">
      <alignment horizontal="center" vertical="center" wrapText="1"/>
      <protection hidden="1"/>
    </xf>
    <xf numFmtId="0" fontId="22" fillId="26" borderId="18" xfId="0" applyFont="1" applyFill="1" applyBorder="1" applyAlignment="1" applyProtection="1">
      <alignment horizontal="center" vertical="center" wrapText="1"/>
      <protection hidden="1"/>
    </xf>
    <xf numFmtId="0" fontId="22" fillId="26" borderId="19" xfId="0" applyFont="1" applyFill="1" applyBorder="1" applyAlignment="1" applyProtection="1">
      <alignment horizontal="center" vertical="center" wrapText="1"/>
      <protection hidden="1"/>
    </xf>
    <xf numFmtId="0" fontId="22" fillId="26" borderId="1" xfId="0" applyFont="1" applyFill="1" applyBorder="1" applyAlignment="1" applyProtection="1">
      <alignment horizontal="center" vertical="center" wrapText="1"/>
      <protection hidden="1"/>
    </xf>
    <xf numFmtId="0" fontId="22" fillId="26" borderId="2" xfId="0" applyFont="1" applyFill="1" applyBorder="1" applyAlignment="1" applyProtection="1">
      <alignment horizontal="center" vertical="center" wrapText="1"/>
      <protection hidden="1"/>
    </xf>
    <xf numFmtId="0" fontId="17" fillId="22" borderId="16" xfId="0" applyFont="1" applyFill="1" applyBorder="1" applyAlignment="1" applyProtection="1">
      <alignment horizontal="center" vertical="center" wrapText="1"/>
      <protection hidden="1"/>
    </xf>
    <xf numFmtId="0" fontId="17" fillId="22" borderId="19" xfId="0" applyFont="1" applyFill="1" applyBorder="1" applyAlignment="1" applyProtection="1">
      <alignment horizontal="center" vertical="center" wrapText="1"/>
      <protection hidden="1"/>
    </xf>
    <xf numFmtId="0" fontId="17" fillId="22" borderId="33" xfId="0" applyFont="1" applyFill="1" applyBorder="1" applyAlignment="1" applyProtection="1">
      <alignment horizontal="center" vertical="center" wrapText="1"/>
      <protection hidden="1"/>
    </xf>
    <xf numFmtId="0" fontId="17" fillId="26" borderId="16" xfId="0" applyFont="1" applyFill="1" applyBorder="1" applyAlignment="1" applyProtection="1">
      <alignment horizontal="center" vertical="center" wrapText="1"/>
      <protection hidden="1"/>
    </xf>
    <xf numFmtId="0" fontId="17" fillId="26" borderId="19" xfId="0" applyFont="1" applyFill="1" applyBorder="1" applyAlignment="1" applyProtection="1">
      <alignment horizontal="center" vertical="center" wrapText="1"/>
      <protection hidden="1"/>
    </xf>
    <xf numFmtId="0" fontId="17" fillId="26" borderId="33" xfId="0" applyFont="1" applyFill="1" applyBorder="1" applyAlignment="1" applyProtection="1">
      <alignment horizontal="center" vertical="center" wrapText="1"/>
      <protection hidden="1"/>
    </xf>
    <xf numFmtId="0" fontId="17" fillId="26" borderId="18" xfId="0" applyFont="1" applyFill="1" applyBorder="1" applyAlignment="1" applyProtection="1">
      <alignment horizontal="center" vertical="center" wrapText="1"/>
      <protection hidden="1"/>
    </xf>
    <xf numFmtId="0" fontId="17" fillId="26" borderId="2" xfId="0" applyFont="1" applyFill="1" applyBorder="1" applyAlignment="1" applyProtection="1">
      <alignment horizontal="center" vertical="center" wrapText="1"/>
      <protection hidden="1"/>
    </xf>
    <xf numFmtId="0" fontId="17" fillId="26" borderId="32" xfId="0" applyFont="1" applyFill="1" applyBorder="1" applyAlignment="1" applyProtection="1">
      <alignment horizontal="center" vertical="center" wrapText="1"/>
      <protection hidden="1"/>
    </xf>
    <xf numFmtId="0" fontId="5" fillId="8" borderId="8" xfId="0" applyFont="1" applyFill="1" applyBorder="1" applyAlignment="1" applyProtection="1">
      <alignment horizontal="center" vertical="center" wrapText="1"/>
      <protection hidden="1"/>
    </xf>
    <xf numFmtId="0" fontId="5" fillId="8" borderId="43" xfId="0" applyFont="1" applyFill="1" applyBorder="1" applyAlignment="1" applyProtection="1">
      <alignment horizontal="center" vertical="center" wrapText="1"/>
      <protection hidden="1"/>
    </xf>
    <xf numFmtId="0" fontId="5" fillId="8" borderId="10" xfId="0" applyFont="1" applyFill="1" applyBorder="1" applyAlignment="1" applyProtection="1">
      <alignment horizontal="center" vertical="center" wrapText="1"/>
      <protection hidden="1"/>
    </xf>
    <xf numFmtId="0" fontId="5" fillId="8" borderId="11" xfId="0" applyFont="1" applyFill="1" applyBorder="1" applyAlignment="1" applyProtection="1">
      <alignment horizontal="center" vertical="center" wrapText="1"/>
      <protection hidden="1"/>
    </xf>
    <xf numFmtId="0" fontId="5" fillId="8" borderId="12" xfId="0" applyFont="1" applyFill="1" applyBorder="1" applyAlignment="1" applyProtection="1">
      <alignment horizontal="center" vertical="center" wrapText="1"/>
      <protection hidden="1"/>
    </xf>
    <xf numFmtId="0" fontId="5" fillId="8" borderId="13" xfId="0" applyFont="1" applyFill="1" applyBorder="1" applyAlignment="1" applyProtection="1">
      <alignment horizontal="center" vertical="center" wrapText="1"/>
      <protection hidden="1"/>
    </xf>
    <xf numFmtId="0" fontId="7" fillId="10" borderId="34" xfId="0" applyFont="1" applyFill="1" applyBorder="1" applyAlignment="1" applyProtection="1">
      <alignment horizontal="center" vertical="center" wrapText="1"/>
      <protection locked="0" hidden="1"/>
    </xf>
    <xf numFmtId="0" fontId="7" fillId="10" borderId="38" xfId="0" applyFont="1" applyFill="1" applyBorder="1" applyAlignment="1" applyProtection="1">
      <alignment horizontal="center" vertical="center" wrapText="1"/>
      <protection locked="0" hidden="1"/>
    </xf>
    <xf numFmtId="0" fontId="7" fillId="10" borderId="39" xfId="0" applyFont="1" applyFill="1" applyBorder="1" applyAlignment="1" applyProtection="1">
      <alignment horizontal="center" vertical="center" wrapText="1"/>
      <protection locked="0" hidden="1"/>
    </xf>
    <xf numFmtId="0" fontId="23" fillId="28" borderId="16" xfId="0" applyFont="1" applyFill="1" applyBorder="1" applyAlignment="1" applyProtection="1">
      <alignment horizontal="center" vertical="center" wrapText="1"/>
      <protection hidden="1"/>
    </xf>
    <xf numFmtId="0" fontId="23" fillId="28" borderId="17" xfId="0" applyFont="1" applyFill="1" applyBorder="1" applyAlignment="1" applyProtection="1">
      <alignment horizontal="center" vertical="center" wrapText="1"/>
      <protection hidden="1"/>
    </xf>
    <xf numFmtId="0" fontId="23" fillId="28" borderId="18" xfId="0" applyFont="1" applyFill="1" applyBorder="1" applyAlignment="1" applyProtection="1">
      <alignment horizontal="center" vertical="center" wrapText="1"/>
      <protection hidden="1"/>
    </xf>
    <xf numFmtId="0" fontId="23" fillId="28" borderId="19" xfId="0" applyFont="1" applyFill="1" applyBorder="1" applyAlignment="1" applyProtection="1">
      <alignment horizontal="center" vertical="center" wrapText="1"/>
      <protection hidden="1"/>
    </xf>
    <xf numFmtId="0" fontId="23" fillId="28" borderId="1" xfId="0" applyFont="1" applyFill="1" applyBorder="1" applyAlignment="1" applyProtection="1">
      <alignment horizontal="center" vertical="center" wrapText="1"/>
      <protection hidden="1"/>
    </xf>
    <xf numFmtId="0" fontId="23" fillId="28" borderId="5" xfId="0" applyFont="1" applyFill="1" applyBorder="1" applyAlignment="1" applyProtection="1">
      <alignment horizontal="center" vertical="center" wrapText="1"/>
      <protection hidden="1"/>
    </xf>
    <xf numFmtId="0" fontId="23" fillId="28" borderId="2" xfId="0" applyFont="1" applyFill="1" applyBorder="1" applyAlignment="1" applyProtection="1">
      <alignment horizontal="center" vertical="center" wrapText="1"/>
      <protection hidden="1"/>
    </xf>
    <xf numFmtId="0" fontId="17" fillId="25" borderId="16" xfId="0" applyFont="1" applyFill="1" applyBorder="1" applyAlignment="1" applyProtection="1">
      <alignment horizontal="center" vertical="center" wrapText="1"/>
      <protection hidden="1"/>
    </xf>
    <xf numFmtId="0" fontId="17" fillId="25" borderId="19" xfId="0" applyFont="1" applyFill="1" applyBorder="1" applyAlignment="1" applyProtection="1">
      <alignment horizontal="center" vertical="center" wrapText="1"/>
      <protection hidden="1"/>
    </xf>
    <xf numFmtId="0" fontId="17" fillId="25" borderId="33" xfId="0" applyFont="1" applyFill="1" applyBorder="1" applyAlignment="1" applyProtection="1">
      <alignment horizontal="center" vertical="center" wrapText="1"/>
      <protection hidden="1"/>
    </xf>
    <xf numFmtId="0" fontId="17" fillId="24" borderId="16" xfId="0" applyFont="1" applyFill="1" applyBorder="1" applyAlignment="1" applyProtection="1">
      <alignment horizontal="center" vertical="center" wrapText="1"/>
      <protection hidden="1"/>
    </xf>
    <xf numFmtId="0" fontId="17" fillId="24" borderId="19" xfId="0" applyFont="1" applyFill="1" applyBorder="1" applyAlignment="1" applyProtection="1">
      <alignment horizontal="center" vertical="center" wrapText="1"/>
      <protection hidden="1"/>
    </xf>
    <xf numFmtId="0" fontId="17" fillId="24" borderId="33" xfId="0" applyFont="1" applyFill="1" applyBorder="1" applyAlignment="1" applyProtection="1">
      <alignment horizontal="center" vertical="center" wrapText="1"/>
      <protection hidden="1"/>
    </xf>
    <xf numFmtId="0" fontId="5" fillId="4" borderId="19" xfId="0" applyFont="1" applyFill="1" applyBorder="1" applyAlignment="1" applyProtection="1">
      <alignment horizontal="center" vertical="center" wrapText="1"/>
      <protection hidden="1"/>
    </xf>
    <xf numFmtId="0" fontId="5" fillId="4" borderId="3" xfId="0" applyFont="1" applyFill="1" applyBorder="1" applyAlignment="1" applyProtection="1">
      <alignment horizontal="center" vertical="center" wrapText="1"/>
      <protection hidden="1"/>
    </xf>
    <xf numFmtId="0" fontId="5" fillId="4" borderId="4" xfId="0" applyFont="1" applyFill="1" applyBorder="1" applyAlignment="1" applyProtection="1">
      <alignment horizontal="center" vertical="center" wrapText="1"/>
      <protection hidden="1"/>
    </xf>
    <xf numFmtId="0" fontId="5" fillId="4" borderId="2" xfId="0" applyFont="1" applyFill="1" applyBorder="1" applyAlignment="1" applyProtection="1">
      <alignment horizontal="center" vertical="center" wrapText="1"/>
      <protection hidden="1"/>
    </xf>
    <xf numFmtId="0" fontId="7" fillId="10" borderId="44" xfId="0" applyFont="1" applyFill="1" applyBorder="1" applyAlignment="1" applyProtection="1">
      <alignment horizontal="center" vertical="center" wrapText="1"/>
      <protection locked="0" hidden="1"/>
    </xf>
    <xf numFmtId="0" fontId="7" fillId="10" borderId="40" xfId="0" applyFont="1" applyFill="1" applyBorder="1" applyAlignment="1" applyProtection="1">
      <alignment horizontal="center" vertical="center" wrapText="1"/>
      <protection locked="0" hidden="1"/>
    </xf>
    <xf numFmtId="0" fontId="5" fillId="4" borderId="29" xfId="0" applyFont="1" applyFill="1" applyBorder="1" applyAlignment="1" applyProtection="1">
      <alignment horizontal="center" vertical="center" wrapText="1"/>
      <protection hidden="1"/>
    </xf>
    <xf numFmtId="0" fontId="5" fillId="4" borderId="36" xfId="0" applyFont="1" applyFill="1" applyBorder="1" applyAlignment="1" applyProtection="1">
      <alignment horizontal="center" vertical="center" wrapText="1"/>
      <protection hidden="1"/>
    </xf>
    <xf numFmtId="0" fontId="7" fillId="10" borderId="4" xfId="0" applyFont="1" applyFill="1" applyBorder="1" applyAlignment="1" applyProtection="1">
      <alignment horizontal="center" vertical="center" wrapText="1"/>
      <protection locked="0" hidden="1"/>
    </xf>
    <xf numFmtId="0" fontId="7" fillId="10" borderId="2" xfId="0" applyFont="1" applyFill="1" applyBorder="1" applyAlignment="1" applyProtection="1">
      <alignment horizontal="center" vertical="center" wrapText="1"/>
      <protection locked="0"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0" fontId="7" fillId="10" borderId="41" xfId="0" applyFont="1" applyFill="1" applyBorder="1" applyAlignment="1" applyProtection="1">
      <alignment horizontal="center" vertical="center" wrapText="1"/>
      <protection locked="0" hidden="1"/>
    </xf>
    <xf numFmtId="0" fontId="7" fillId="10" borderId="42" xfId="0" applyFont="1" applyFill="1" applyBorder="1" applyAlignment="1" applyProtection="1">
      <alignment horizontal="center" vertical="center" wrapText="1"/>
      <protection locked="0" hidden="1"/>
    </xf>
    <xf numFmtId="0" fontId="17" fillId="22" borderId="18" xfId="0" applyFont="1" applyFill="1" applyBorder="1" applyAlignment="1" applyProtection="1">
      <alignment horizontal="center" vertical="center" wrapText="1"/>
      <protection hidden="1"/>
    </xf>
    <xf numFmtId="0" fontId="17" fillId="22" borderId="2" xfId="0" applyFont="1" applyFill="1" applyBorder="1" applyAlignment="1" applyProtection="1">
      <alignment horizontal="center" vertical="center" wrapText="1"/>
      <protection hidden="1"/>
    </xf>
    <xf numFmtId="0" fontId="17" fillId="22" borderId="32" xfId="0" applyFont="1" applyFill="1" applyBorder="1" applyAlignment="1" applyProtection="1">
      <alignment horizontal="center" vertical="center" wrapText="1"/>
      <protection hidden="1"/>
    </xf>
    <xf numFmtId="0" fontId="17" fillId="25" borderId="18" xfId="0" applyFont="1" applyFill="1" applyBorder="1" applyAlignment="1" applyProtection="1">
      <alignment horizontal="center" vertical="center" wrapText="1"/>
      <protection hidden="1"/>
    </xf>
    <xf numFmtId="0" fontId="17" fillId="25" borderId="2" xfId="0" applyFont="1" applyFill="1" applyBorder="1" applyAlignment="1" applyProtection="1">
      <alignment horizontal="center" vertical="center" wrapText="1"/>
      <protection hidden="1"/>
    </xf>
    <xf numFmtId="0" fontId="17" fillId="25" borderId="32" xfId="0" applyFont="1" applyFill="1" applyBorder="1" applyAlignment="1" applyProtection="1">
      <alignment horizontal="center" vertical="center" wrapText="1"/>
      <protection hidden="1"/>
    </xf>
    <xf numFmtId="0" fontId="17" fillId="24" borderId="18" xfId="0" applyFont="1" applyFill="1" applyBorder="1" applyAlignment="1" applyProtection="1">
      <alignment horizontal="center" vertical="center" wrapText="1"/>
      <protection hidden="1"/>
    </xf>
    <xf numFmtId="0" fontId="17" fillId="24" borderId="2" xfId="0" applyFont="1" applyFill="1" applyBorder="1" applyAlignment="1" applyProtection="1">
      <alignment horizontal="center" vertical="center" wrapText="1"/>
      <protection hidden="1"/>
    </xf>
    <xf numFmtId="0" fontId="17" fillId="24" borderId="32" xfId="0" applyFont="1" applyFill="1" applyBorder="1" applyAlignment="1" applyProtection="1">
      <alignment horizontal="center" vertical="center" wrapText="1"/>
      <protection hidden="1"/>
    </xf>
    <xf numFmtId="0" fontId="5" fillId="4" borderId="35" xfId="0" applyFont="1" applyFill="1" applyBorder="1" applyAlignment="1" applyProtection="1">
      <alignment horizontal="center" vertical="center" wrapText="1"/>
      <protection hidden="1"/>
    </xf>
    <xf numFmtId="0" fontId="5" fillId="4" borderId="20" xfId="0" applyFont="1" applyFill="1" applyBorder="1" applyAlignment="1" applyProtection="1">
      <alignment horizontal="center" vertical="center" wrapText="1"/>
      <protection hidden="1"/>
    </xf>
    <xf numFmtId="0" fontId="7" fillId="10" borderId="19" xfId="0" applyFont="1" applyFill="1" applyBorder="1" applyAlignment="1" applyProtection="1">
      <alignment horizontal="center" vertical="center" wrapText="1"/>
      <protection locked="0" hidden="1"/>
    </xf>
    <xf numFmtId="0" fontId="7" fillId="10" borderId="3" xfId="0" applyFont="1" applyFill="1" applyBorder="1" applyAlignment="1" applyProtection="1">
      <alignment horizontal="center" vertical="center" wrapText="1"/>
      <protection locked="0" hidden="1"/>
    </xf>
    <xf numFmtId="0" fontId="6" fillId="4" borderId="10" xfId="0" applyFont="1" applyFill="1" applyBorder="1" applyAlignment="1" applyProtection="1">
      <alignment horizontal="center" vertical="center" wrapText="1"/>
      <protection hidden="1"/>
    </xf>
    <xf numFmtId="0" fontId="12" fillId="14" borderId="0" xfId="0" applyFont="1" applyFill="1" applyAlignment="1" applyProtection="1">
      <alignment horizontal="center" vertical="center" wrapText="1"/>
      <protection hidden="1"/>
    </xf>
    <xf numFmtId="0" fontId="12" fillId="14" borderId="22" xfId="0" applyFont="1" applyFill="1" applyBorder="1" applyAlignment="1" applyProtection="1">
      <alignment horizontal="center" vertical="center" wrapText="1"/>
      <protection hidden="1"/>
    </xf>
    <xf numFmtId="0" fontId="20" fillId="14" borderId="22" xfId="0" applyFont="1" applyFill="1" applyBorder="1" applyAlignment="1" applyProtection="1">
      <alignment horizontal="center" vertical="center" wrapText="1"/>
      <protection hidden="1"/>
    </xf>
    <xf numFmtId="0" fontId="12" fillId="14" borderId="26" xfId="0" applyFont="1" applyFill="1" applyBorder="1" applyAlignment="1" applyProtection="1">
      <alignment horizontal="center" vertical="center" wrapText="1"/>
      <protection hidden="1"/>
    </xf>
    <xf numFmtId="0" fontId="12" fillId="14" borderId="9" xfId="0" applyFont="1" applyFill="1" applyBorder="1" applyAlignment="1" applyProtection="1">
      <alignment horizontal="center" vertical="center" wrapText="1"/>
      <protection hidden="1"/>
    </xf>
    <xf numFmtId="0" fontId="20" fillId="14" borderId="23" xfId="0" applyFont="1" applyFill="1" applyBorder="1" applyAlignment="1" applyProtection="1">
      <alignment horizontal="center" vertical="center" wrapText="1"/>
      <protection hidden="1"/>
    </xf>
    <xf numFmtId="0" fontId="13" fillId="12" borderId="9" xfId="0" applyFont="1" applyFill="1" applyBorder="1" applyAlignment="1" applyProtection="1">
      <alignment horizontal="center" vertical="center" wrapText="1"/>
      <protection hidden="1"/>
    </xf>
    <xf numFmtId="0" fontId="13" fillId="12" borderId="23" xfId="0" applyFont="1" applyFill="1" applyBorder="1" applyAlignment="1" applyProtection="1">
      <alignment horizontal="center" vertical="center" wrapText="1"/>
      <protection hidden="1"/>
    </xf>
    <xf numFmtId="0" fontId="12" fillId="13" borderId="0" xfId="0" applyFont="1" applyFill="1" applyAlignment="1" applyProtection="1">
      <alignment horizontal="center" vertical="center" wrapText="1"/>
      <protection hidden="1"/>
    </xf>
    <xf numFmtId="0" fontId="12" fillId="13" borderId="22" xfId="0" applyFont="1" applyFill="1" applyBorder="1" applyAlignment="1" applyProtection="1">
      <alignment horizontal="center" vertical="center" wrapText="1"/>
      <protection hidden="1"/>
    </xf>
    <xf numFmtId="0" fontId="12" fillId="13" borderId="8" xfId="0" applyFont="1" applyFill="1" applyBorder="1" applyAlignment="1" applyProtection="1">
      <alignment horizontal="center" vertical="center" wrapText="1"/>
      <protection hidden="1"/>
    </xf>
    <xf numFmtId="0" fontId="12" fillId="13" borderId="9" xfId="0" applyFont="1" applyFill="1" applyBorder="1" applyAlignment="1" applyProtection="1">
      <alignment horizontal="center" vertical="center" wrapText="1"/>
      <protection hidden="1"/>
    </xf>
    <xf numFmtId="0" fontId="12" fillId="13" borderId="23" xfId="0" applyFont="1" applyFill="1" applyBorder="1" applyAlignment="1" applyProtection="1">
      <alignment horizontal="center" vertical="center" wrapText="1"/>
      <protection hidden="1"/>
    </xf>
    <xf numFmtId="0" fontId="13" fillId="21" borderId="9" xfId="0" applyFont="1" applyFill="1" applyBorder="1" applyAlignment="1" applyProtection="1">
      <alignment horizontal="center" vertical="center" wrapText="1"/>
      <protection hidden="1"/>
    </xf>
    <xf numFmtId="0" fontId="13" fillId="21" borderId="23" xfId="0" applyFont="1" applyFill="1" applyBorder="1" applyAlignment="1" applyProtection="1">
      <alignment horizontal="center" vertical="center" wrapText="1"/>
      <protection hidden="1"/>
    </xf>
    <xf numFmtId="0" fontId="13" fillId="17" borderId="9" xfId="0" applyFont="1" applyFill="1" applyBorder="1" applyAlignment="1" applyProtection="1">
      <alignment horizontal="center" wrapText="1"/>
      <protection hidden="1"/>
    </xf>
    <xf numFmtId="0" fontId="13" fillId="17" borderId="23" xfId="0" applyFont="1" applyFill="1" applyBorder="1" applyAlignment="1" applyProtection="1">
      <alignment horizontal="center" wrapText="1"/>
      <protection hidden="1"/>
    </xf>
    <xf numFmtId="0" fontId="13" fillId="22" borderId="9" xfId="0" applyFont="1" applyFill="1" applyBorder="1" applyAlignment="1" applyProtection="1">
      <alignment horizontal="center" vertical="center" wrapText="1"/>
      <protection hidden="1"/>
    </xf>
    <xf numFmtId="0" fontId="13" fillId="22" borderId="23" xfId="0" applyFont="1" applyFill="1" applyBorder="1" applyAlignment="1" applyProtection="1">
      <alignment horizontal="center" vertical="center" wrapText="1"/>
      <protection hidden="1"/>
    </xf>
    <xf numFmtId="0" fontId="13" fillId="21" borderId="0" xfId="0" applyFont="1" applyFill="1" applyAlignment="1" applyProtection="1">
      <alignment horizontal="center" vertical="center" wrapText="1"/>
      <protection hidden="1"/>
    </xf>
    <xf numFmtId="0" fontId="13" fillId="21" borderId="22" xfId="0" applyFont="1" applyFill="1" applyBorder="1" applyAlignment="1" applyProtection="1">
      <alignment horizontal="center" vertical="center" wrapText="1"/>
      <protection hidden="1"/>
    </xf>
    <xf numFmtId="0" fontId="17" fillId="15" borderId="0" xfId="0" applyFont="1" applyFill="1" applyAlignment="1" applyProtection="1">
      <alignment horizontal="center" vertical="center" wrapText="1"/>
      <protection hidden="1"/>
    </xf>
    <xf numFmtId="0" fontId="17" fillId="15" borderId="22" xfId="0" applyFont="1" applyFill="1" applyBorder="1" applyAlignment="1" applyProtection="1">
      <alignment horizontal="center" vertical="center" wrapText="1"/>
      <protection hidden="1"/>
    </xf>
    <xf numFmtId="0" fontId="17" fillId="15" borderId="14" xfId="0" applyFont="1" applyFill="1" applyBorder="1" applyAlignment="1" applyProtection="1">
      <alignment horizontal="center" vertical="center" wrapText="1"/>
      <protection hidden="1"/>
    </xf>
    <xf numFmtId="0" fontId="17" fillId="15" borderId="24" xfId="0" applyFont="1" applyFill="1" applyBorder="1" applyAlignment="1" applyProtection="1">
      <alignment horizontal="center" vertical="center" wrapText="1"/>
      <protection hidden="1"/>
    </xf>
    <xf numFmtId="0" fontId="12" fillId="13" borderId="27" xfId="0" applyFont="1" applyFill="1" applyBorder="1" applyAlignment="1" applyProtection="1">
      <alignment horizontal="center" vertical="center" wrapText="1"/>
      <protection hidden="1"/>
    </xf>
    <xf numFmtId="0" fontId="12" fillId="23" borderId="9" xfId="0" applyFont="1" applyFill="1" applyBorder="1" applyAlignment="1" applyProtection="1">
      <alignment horizontal="center" vertical="center" wrapText="1"/>
      <protection hidden="1"/>
    </xf>
    <xf numFmtId="0" fontId="12" fillId="23" borderId="23" xfId="0" applyFont="1" applyFill="1" applyBorder="1" applyAlignment="1" applyProtection="1">
      <alignment horizontal="center" vertical="center" wrapText="1"/>
      <protection hidden="1"/>
    </xf>
    <xf numFmtId="0" fontId="13" fillId="17" borderId="0" xfId="0" applyFont="1" applyFill="1" applyAlignment="1" applyProtection="1">
      <alignment horizontal="center" wrapText="1"/>
      <protection hidden="1"/>
    </xf>
    <xf numFmtId="0" fontId="13" fillId="17" borderId="22" xfId="0" applyFont="1" applyFill="1" applyBorder="1" applyAlignment="1" applyProtection="1">
      <alignment horizontal="center" wrapText="1"/>
      <protection hidden="1"/>
    </xf>
    <xf numFmtId="0" fontId="13" fillId="22" borderId="0" xfId="0" applyFont="1" applyFill="1" applyAlignment="1" applyProtection="1">
      <alignment horizontal="center" vertical="center" wrapText="1"/>
      <protection hidden="1"/>
    </xf>
    <xf numFmtId="0" fontId="13" fillId="22" borderId="22" xfId="0" applyFont="1" applyFill="1" applyBorder="1" applyAlignment="1" applyProtection="1">
      <alignment horizontal="center" vertical="center" wrapText="1"/>
      <protection hidden="1"/>
    </xf>
    <xf numFmtId="0" fontId="12" fillId="23" borderId="0" xfId="0" applyFont="1" applyFill="1" applyAlignment="1" applyProtection="1">
      <alignment horizontal="center" vertical="center" wrapText="1"/>
      <protection hidden="1"/>
    </xf>
    <xf numFmtId="0" fontId="12" fillId="23" borderId="22" xfId="0" applyFont="1" applyFill="1" applyBorder="1" applyAlignment="1" applyProtection="1">
      <alignment horizontal="center" vertical="center" wrapText="1"/>
      <protection hidden="1"/>
    </xf>
    <xf numFmtId="0" fontId="13" fillId="12" borderId="0" xfId="0" applyFont="1" applyFill="1" applyAlignment="1" applyProtection="1">
      <alignment horizontal="center" vertical="center" wrapText="1"/>
      <protection hidden="1"/>
    </xf>
    <xf numFmtId="0" fontId="13" fillId="12" borderId="22" xfId="0" applyFont="1" applyFill="1" applyBorder="1" applyAlignment="1" applyProtection="1">
      <alignment horizontal="center" vertical="center" wrapText="1"/>
      <protection hidden="1"/>
    </xf>
    <xf numFmtId="0" fontId="12" fillId="14" borderId="27" xfId="0" applyFont="1" applyFill="1" applyBorder="1" applyAlignment="1" applyProtection="1">
      <alignment horizontal="center" vertical="center" wrapText="1"/>
      <protection hidden="1"/>
    </xf>
    <xf numFmtId="0" fontId="12" fillId="23" borderId="59" xfId="0" applyFont="1" applyFill="1" applyBorder="1" applyAlignment="1" applyProtection="1">
      <alignment horizontal="center" vertical="center" wrapText="1"/>
      <protection hidden="1"/>
    </xf>
    <xf numFmtId="0" fontId="12" fillId="23" borderId="60" xfId="0" applyFont="1" applyFill="1" applyBorder="1" applyAlignment="1" applyProtection="1">
      <alignment horizontal="center" vertical="center" wrapText="1"/>
      <protection hidden="1"/>
    </xf>
    <xf numFmtId="0" fontId="12" fillId="23" borderId="61" xfId="0" applyFont="1" applyFill="1" applyBorder="1" applyAlignment="1" applyProtection="1">
      <alignment horizontal="center" vertical="center" wrapText="1"/>
      <protection hidden="1"/>
    </xf>
    <xf numFmtId="0" fontId="19" fillId="15" borderId="59" xfId="0" applyFont="1" applyFill="1" applyBorder="1" applyAlignment="1" applyProtection="1">
      <alignment horizontal="center" vertical="center" wrapText="1"/>
      <protection hidden="1"/>
    </xf>
    <xf numFmtId="0" fontId="19" fillId="15" borderId="60" xfId="0" applyFont="1" applyFill="1" applyBorder="1" applyAlignment="1" applyProtection="1">
      <alignment horizontal="center" vertical="center" wrapText="1"/>
      <protection hidden="1"/>
    </xf>
    <xf numFmtId="0" fontId="19" fillId="20" borderId="62" xfId="0" applyFont="1" applyFill="1" applyBorder="1" applyAlignment="1" applyProtection="1">
      <alignment horizontal="center" vertical="center" wrapText="1"/>
      <protection hidden="1"/>
    </xf>
    <xf numFmtId="0" fontId="19" fillId="20" borderId="63" xfId="0" applyFont="1" applyFill="1" applyBorder="1" applyAlignment="1" applyProtection="1">
      <alignment horizontal="center" vertical="center" wrapText="1"/>
      <protection hidden="1"/>
    </xf>
    <xf numFmtId="0" fontId="19" fillId="20" borderId="8" xfId="0" applyFont="1" applyFill="1" applyBorder="1" applyAlignment="1" applyProtection="1">
      <alignment horizontal="center" vertical="center" wrapText="1"/>
      <protection hidden="1"/>
    </xf>
    <xf numFmtId="0" fontId="19" fillId="20" borderId="9" xfId="0" applyFont="1" applyFill="1" applyBorder="1" applyAlignment="1" applyProtection="1">
      <alignment horizontal="center" vertical="center" wrapText="1"/>
      <protection hidden="1"/>
    </xf>
    <xf numFmtId="0" fontId="19" fillId="20" borderId="43" xfId="0" applyFont="1" applyFill="1" applyBorder="1" applyAlignment="1" applyProtection="1">
      <alignment horizontal="center" vertical="center" wrapText="1"/>
      <protection hidden="1"/>
    </xf>
    <xf numFmtId="0" fontId="19" fillId="20" borderId="12" xfId="0" applyFont="1" applyFill="1" applyBorder="1" applyAlignment="1" applyProtection="1">
      <alignment horizontal="center" vertical="center" wrapText="1"/>
      <protection hidden="1"/>
    </xf>
    <xf numFmtId="0" fontId="19" fillId="20" borderId="30" xfId="0" applyFont="1" applyFill="1" applyBorder="1" applyAlignment="1" applyProtection="1">
      <alignment horizontal="center" vertical="center" wrapText="1"/>
      <protection hidden="1"/>
    </xf>
    <xf numFmtId="0" fontId="19" fillId="20" borderId="13" xfId="0" applyFont="1" applyFill="1" applyBorder="1" applyAlignment="1" applyProtection="1">
      <alignment horizontal="center" vertical="center" wrapText="1"/>
      <protection hidden="1"/>
    </xf>
    <xf numFmtId="0" fontId="13" fillId="21" borderId="59" xfId="0" applyFont="1" applyFill="1" applyBorder="1" applyAlignment="1" applyProtection="1">
      <alignment horizontal="center" vertical="center" wrapText="1"/>
      <protection hidden="1"/>
    </xf>
    <xf numFmtId="0" fontId="13" fillId="21" borderId="60" xfId="0" applyFont="1" applyFill="1" applyBorder="1" applyAlignment="1" applyProtection="1">
      <alignment horizontal="center" vertical="center" wrapText="1"/>
      <protection hidden="1"/>
    </xf>
    <xf numFmtId="0" fontId="13" fillId="21" borderId="61" xfId="0" applyFont="1" applyFill="1" applyBorder="1" applyAlignment="1" applyProtection="1">
      <alignment horizontal="center" vertical="center" wrapText="1"/>
      <protection hidden="1"/>
    </xf>
    <xf numFmtId="0" fontId="13" fillId="17" borderId="59" xfId="0" applyFont="1" applyFill="1" applyBorder="1" applyAlignment="1" applyProtection="1">
      <alignment horizontal="center" wrapText="1"/>
      <protection hidden="1"/>
    </xf>
    <xf numFmtId="0" fontId="13" fillId="17" borderId="60" xfId="0" applyFont="1" applyFill="1" applyBorder="1" applyAlignment="1" applyProtection="1">
      <alignment horizontal="center" wrapText="1"/>
      <protection hidden="1"/>
    </xf>
    <xf numFmtId="0" fontId="13" fillId="17" borderId="61" xfId="0" applyFont="1" applyFill="1" applyBorder="1" applyAlignment="1" applyProtection="1">
      <alignment horizontal="center" wrapText="1"/>
      <protection hidden="1"/>
    </xf>
    <xf numFmtId="0" fontId="13" fillId="22" borderId="59" xfId="0" applyFont="1" applyFill="1" applyBorder="1" applyAlignment="1" applyProtection="1">
      <alignment horizontal="center" vertical="center" wrapText="1"/>
      <protection hidden="1"/>
    </xf>
    <xf numFmtId="0" fontId="13" fillId="22" borderId="60" xfId="0" applyFont="1" applyFill="1" applyBorder="1" applyAlignment="1" applyProtection="1">
      <alignment horizontal="center" vertical="center" wrapText="1"/>
      <protection hidden="1"/>
    </xf>
    <xf numFmtId="0" fontId="13" fillId="22" borderId="61" xfId="0" applyFont="1" applyFill="1" applyBorder="1" applyAlignment="1" applyProtection="1">
      <alignment horizontal="center" vertical="center" wrapText="1"/>
      <protection hidden="1"/>
    </xf>
    <xf numFmtId="0" fontId="19" fillId="18" borderId="0" xfId="0" applyFont="1" applyFill="1" applyAlignment="1" applyProtection="1">
      <alignment horizontal="center" vertical="center" wrapText="1"/>
      <protection hidden="1"/>
    </xf>
    <xf numFmtId="0" fontId="19" fillId="18" borderId="22" xfId="0" applyFont="1" applyFill="1" applyBorder="1" applyAlignment="1" applyProtection="1">
      <alignment horizontal="center" vertical="center" wrapText="1"/>
      <protection hidden="1"/>
    </xf>
    <xf numFmtId="0" fontId="19" fillId="15" borderId="0" xfId="0" applyFont="1" applyFill="1" applyAlignment="1" applyProtection="1">
      <alignment horizontal="center" vertical="center" wrapText="1"/>
      <protection hidden="1"/>
    </xf>
    <xf numFmtId="0" fontId="19" fillId="15" borderId="22" xfId="0" applyFont="1" applyFill="1" applyBorder="1" applyAlignment="1" applyProtection="1">
      <alignment horizontal="center" vertical="center" wrapText="1"/>
      <protection hidden="1"/>
    </xf>
    <xf numFmtId="0" fontId="19" fillId="15" borderId="0" xfId="0" applyFont="1" applyFill="1" applyBorder="1" applyAlignment="1" applyProtection="1">
      <alignment horizontal="center" vertical="center" wrapText="1"/>
      <protection hidden="1"/>
    </xf>
    <xf numFmtId="0" fontId="19" fillId="21" borderId="0" xfId="0" applyFont="1" applyFill="1" applyAlignment="1" applyProtection="1">
      <alignment horizontal="center" vertical="center" wrapText="1"/>
      <protection hidden="1"/>
    </xf>
    <xf numFmtId="0" fontId="19" fillId="21" borderId="22" xfId="0" applyFont="1" applyFill="1" applyBorder="1" applyAlignment="1" applyProtection="1">
      <alignment horizontal="center" vertical="center" wrapText="1"/>
      <protection hidden="1"/>
    </xf>
    <xf numFmtId="0" fontId="19" fillId="26" borderId="0" xfId="0" applyFont="1" applyFill="1" applyAlignment="1" applyProtection="1">
      <alignment horizontal="center" vertical="center" wrapText="1"/>
      <protection hidden="1"/>
    </xf>
    <xf numFmtId="0" fontId="19" fillId="26" borderId="22" xfId="0" applyFont="1" applyFill="1" applyBorder="1" applyAlignment="1" applyProtection="1">
      <alignment horizontal="center" vertical="center" wrapText="1"/>
      <protection hidden="1"/>
    </xf>
    <xf numFmtId="0" fontId="18" fillId="22" borderId="101" xfId="0" applyFont="1" applyFill="1" applyBorder="1" applyAlignment="1" applyProtection="1">
      <alignment horizontal="center" vertical="center" wrapText="1"/>
      <protection hidden="1"/>
    </xf>
    <xf numFmtId="0" fontId="17" fillId="26" borderId="101" xfId="0" applyFont="1" applyFill="1" applyBorder="1" applyAlignment="1" applyProtection="1">
      <alignment horizontal="center" vertical="center" wrapText="1"/>
      <protection hidden="1"/>
    </xf>
    <xf numFmtId="0" fontId="17" fillId="18" borderId="101" xfId="0" applyFont="1" applyFill="1" applyBorder="1" applyAlignment="1" applyProtection="1">
      <alignment horizontal="center" vertical="center" wrapText="1"/>
      <protection hidden="1"/>
    </xf>
    <xf numFmtId="0" fontId="24" fillId="23" borderId="101" xfId="0" applyFont="1" applyFill="1" applyBorder="1" applyAlignment="1" applyProtection="1">
      <alignment horizontal="center" vertical="center" wrapText="1"/>
      <protection hidden="1"/>
    </xf>
    <xf numFmtId="0" fontId="17" fillId="15" borderId="101" xfId="0" applyFont="1" applyFill="1" applyBorder="1" applyAlignment="1" applyProtection="1">
      <alignment horizontal="center" vertical="center" wrapText="1"/>
      <protection hidden="1"/>
    </xf>
    <xf numFmtId="0" fontId="17" fillId="21" borderId="101" xfId="0" applyFont="1" applyFill="1" applyBorder="1" applyAlignment="1" applyProtection="1">
      <alignment horizontal="center" vertical="center" wrapText="1"/>
      <protection hidden="1"/>
    </xf>
    <xf numFmtId="0" fontId="17" fillId="20" borderId="101" xfId="0" applyFont="1" applyFill="1" applyBorder="1" applyAlignment="1" applyProtection="1">
      <alignment horizontal="center" vertical="center" wrapText="1"/>
      <protection hidden="1"/>
    </xf>
    <xf numFmtId="0" fontId="18" fillId="21" borderId="101" xfId="0" applyFont="1" applyFill="1" applyBorder="1" applyAlignment="1" applyProtection="1">
      <alignment horizontal="center" vertical="center" wrapText="1"/>
      <protection hidden="1"/>
    </xf>
    <xf numFmtId="0" fontId="18" fillId="17" borderId="101" xfId="0" applyFont="1" applyFill="1" applyBorder="1" applyAlignment="1" applyProtection="1">
      <alignment horizontal="center" wrapText="1"/>
      <protection hidden="1"/>
    </xf>
    <xf numFmtId="0" fontId="19" fillId="15" borderId="21" xfId="0" applyFont="1" applyFill="1" applyBorder="1" applyAlignment="1" applyProtection="1">
      <alignment horizontal="center" vertical="center" wrapText="1"/>
      <protection hidden="1"/>
    </xf>
    <xf numFmtId="0" fontId="20" fillId="20" borderId="0" xfId="0" applyFont="1" applyFill="1" applyAlignment="1" applyProtection="1">
      <alignment horizontal="center" vertical="center" wrapText="1"/>
      <protection hidden="1"/>
    </xf>
    <xf numFmtId="0" fontId="13" fillId="20" borderId="0" xfId="0" applyFont="1" applyFill="1" applyAlignment="1" applyProtection="1">
      <alignment horizontal="center" vertical="center" wrapText="1"/>
      <protection hidden="1"/>
    </xf>
    <xf numFmtId="0" fontId="12" fillId="27" borderId="0" xfId="0" applyFont="1" applyFill="1" applyAlignment="1" applyProtection="1">
      <alignment horizontal="center" vertical="center" wrapText="1"/>
      <protection hidden="1"/>
    </xf>
    <xf numFmtId="0" fontId="12" fillId="27" borderId="22" xfId="0" applyFont="1" applyFill="1" applyBorder="1" applyAlignment="1" applyProtection="1">
      <alignment horizontal="center" vertical="center" wrapText="1"/>
      <protection hidden="1"/>
    </xf>
    <xf numFmtId="0" fontId="19" fillId="26" borderId="21" xfId="0" applyFont="1" applyFill="1" applyBorder="1" applyAlignment="1" applyProtection="1">
      <alignment horizontal="center" vertical="center" wrapText="1"/>
      <protection hidden="1"/>
    </xf>
    <xf numFmtId="0" fontId="19" fillId="18" borderId="21" xfId="0" applyFont="1" applyFill="1" applyBorder="1" applyAlignment="1" applyProtection="1">
      <alignment horizontal="center" vertical="center" wrapText="1"/>
      <protection hidden="1"/>
    </xf>
    <xf numFmtId="0" fontId="12" fillId="27" borderId="21" xfId="0" applyFont="1" applyFill="1" applyBorder="1" applyAlignment="1" applyProtection="1">
      <alignment horizontal="center" vertical="center" wrapText="1"/>
      <protection hidden="1"/>
    </xf>
    <xf numFmtId="0" fontId="19" fillId="21" borderId="21" xfId="0" applyFont="1" applyFill="1" applyBorder="1" applyAlignment="1" applyProtection="1">
      <alignment horizontal="center" vertical="center" wrapText="1"/>
      <protection hidden="1"/>
    </xf>
    <xf numFmtId="0" fontId="19" fillId="20" borderId="0" xfId="0" applyFont="1" applyFill="1" applyAlignment="1" applyProtection="1">
      <alignment horizontal="center" vertical="center" wrapText="1"/>
      <protection hidden="1"/>
    </xf>
    <xf numFmtId="0" fontId="19" fillId="20" borderId="22" xfId="0" applyFont="1" applyFill="1" applyBorder="1" applyAlignment="1" applyProtection="1">
      <alignment horizontal="center" vertical="center" wrapText="1"/>
      <protection hidden="1"/>
    </xf>
    <xf numFmtId="0" fontId="13" fillId="16" borderId="0" xfId="0" applyFont="1" applyFill="1" applyAlignment="1" applyProtection="1">
      <alignment horizontal="center" vertical="center" wrapText="1"/>
      <protection hidden="1"/>
    </xf>
    <xf numFmtId="0" fontId="13" fillId="16" borderId="22" xfId="0" applyFont="1" applyFill="1" applyBorder="1" applyAlignment="1" applyProtection="1">
      <alignment horizontal="center" vertical="center" wrapText="1"/>
      <protection hidden="1"/>
    </xf>
    <xf numFmtId="0" fontId="13" fillId="20" borderId="22" xfId="0" applyFont="1" applyFill="1" applyBorder="1" applyAlignment="1" applyProtection="1">
      <alignment horizontal="center" vertical="center" wrapText="1"/>
      <protection hidden="1"/>
    </xf>
    <xf numFmtId="0" fontId="13" fillId="18" borderId="0" xfId="0" applyFont="1" applyFill="1" applyAlignment="1" applyProtection="1">
      <alignment horizontal="center" vertical="center" wrapText="1"/>
      <protection hidden="1"/>
    </xf>
    <xf numFmtId="0" fontId="13" fillId="18" borderId="22" xfId="0" applyFont="1" applyFill="1" applyBorder="1" applyAlignment="1" applyProtection="1">
      <alignment horizontal="center" vertical="center" wrapText="1"/>
      <protection hidden="1"/>
    </xf>
    <xf numFmtId="0" fontId="12" fillId="19" borderId="0" xfId="0" applyFont="1" applyFill="1" applyAlignment="1" applyProtection="1">
      <alignment horizontal="center" vertical="center" wrapText="1"/>
      <protection hidden="1"/>
    </xf>
    <xf numFmtId="0" fontId="12" fillId="19" borderId="22" xfId="0" applyFont="1" applyFill="1" applyBorder="1" applyAlignment="1" applyProtection="1">
      <alignment horizontal="center" vertical="center" wrapText="1"/>
      <protection hidden="1"/>
    </xf>
    <xf numFmtId="0" fontId="26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8" fillId="30" borderId="1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36" fillId="13" borderId="64" xfId="0" applyFont="1" applyFill="1" applyBorder="1" applyAlignment="1" applyProtection="1">
      <alignment horizontal="center" vertical="center" wrapText="1"/>
      <protection hidden="1"/>
    </xf>
    <xf numFmtId="0" fontId="36" fillId="13" borderId="66" xfId="0" applyFont="1" applyFill="1" applyBorder="1" applyAlignment="1" applyProtection="1">
      <alignment horizontal="center" vertical="center" wrapText="1"/>
      <protection hidden="1"/>
    </xf>
    <xf numFmtId="0" fontId="36" fillId="27" borderId="64" xfId="0" applyFont="1" applyFill="1" applyBorder="1" applyAlignment="1" applyProtection="1">
      <alignment horizontal="center" vertical="center" wrapText="1"/>
      <protection hidden="1"/>
    </xf>
    <xf numFmtId="0" fontId="36" fillId="27" borderId="65" xfId="0" applyFont="1" applyFill="1" applyBorder="1" applyAlignment="1" applyProtection="1">
      <alignment horizontal="center" vertical="center" wrapText="1"/>
      <protection hidden="1"/>
    </xf>
    <xf numFmtId="0" fontId="36" fillId="27" borderId="66" xfId="0" applyFont="1" applyFill="1" applyBorder="1" applyAlignment="1" applyProtection="1">
      <alignment horizontal="center" vertical="center" wrapText="1"/>
      <protection hidden="1"/>
    </xf>
    <xf numFmtId="0" fontId="36" fillId="27" borderId="71" xfId="0" applyFont="1" applyFill="1" applyBorder="1" applyAlignment="1" applyProtection="1">
      <alignment horizontal="center" vertical="center" wrapText="1"/>
      <protection hidden="1"/>
    </xf>
    <xf numFmtId="0" fontId="34" fillId="12" borderId="64" xfId="0" applyFont="1" applyFill="1" applyBorder="1" applyAlignment="1" applyProtection="1">
      <alignment horizontal="center" vertical="center" wrapText="1"/>
      <protection hidden="1"/>
    </xf>
    <xf numFmtId="0" fontId="34" fillId="12" borderId="65" xfId="0" applyFont="1" applyFill="1" applyBorder="1" applyAlignment="1" applyProtection="1">
      <alignment horizontal="center" vertical="center" wrapText="1"/>
      <protection hidden="1"/>
    </xf>
    <xf numFmtId="0" fontId="36" fillId="27" borderId="72" xfId="0" applyFont="1" applyFill="1" applyBorder="1" applyAlignment="1" applyProtection="1">
      <alignment horizontal="center" vertical="center" wrapText="1"/>
      <protection hidden="1"/>
    </xf>
    <xf numFmtId="0" fontId="36" fillId="27" borderId="73" xfId="0" applyFont="1" applyFill="1" applyBorder="1" applyAlignment="1" applyProtection="1">
      <alignment horizontal="center" vertical="center" wrapText="1"/>
      <protection hidden="1"/>
    </xf>
    <xf numFmtId="0" fontId="36" fillId="27" borderId="74" xfId="0" applyFont="1" applyFill="1" applyBorder="1" applyAlignment="1" applyProtection="1">
      <alignment horizontal="center" vertical="center" wrapText="1"/>
      <protection hidden="1"/>
    </xf>
    <xf numFmtId="0" fontId="34" fillId="12" borderId="66" xfId="0" applyFont="1" applyFill="1" applyBorder="1" applyAlignment="1" applyProtection="1">
      <alignment horizontal="center" vertical="center" wrapText="1"/>
      <protection hidden="1"/>
    </xf>
    <xf numFmtId="0" fontId="37" fillId="18" borderId="65" xfId="0" applyFont="1" applyFill="1" applyBorder="1" applyAlignment="1" applyProtection="1">
      <alignment horizontal="center" vertical="center" wrapText="1"/>
      <protection hidden="1"/>
    </xf>
    <xf numFmtId="0" fontId="37" fillId="18" borderId="71" xfId="0" applyFont="1" applyFill="1" applyBorder="1" applyAlignment="1" applyProtection="1">
      <alignment horizontal="center" vertical="center" wrapText="1"/>
      <protection hidden="1"/>
    </xf>
    <xf numFmtId="0" fontId="37" fillId="18" borderId="64" xfId="0" applyFont="1" applyFill="1" applyBorder="1" applyAlignment="1" applyProtection="1">
      <alignment horizontal="center" vertical="center" wrapText="1"/>
      <protection hidden="1"/>
    </xf>
    <xf numFmtId="0" fontId="37" fillId="18" borderId="66" xfId="0" applyFont="1" applyFill="1" applyBorder="1" applyAlignment="1" applyProtection="1">
      <alignment horizontal="center" vertical="center" wrapText="1"/>
      <protection hidden="1"/>
    </xf>
    <xf numFmtId="0" fontId="37" fillId="15" borderId="65" xfId="0" applyFont="1" applyFill="1" applyBorder="1" applyAlignment="1" applyProtection="1">
      <alignment horizontal="center" vertical="center" wrapText="1"/>
      <protection hidden="1"/>
    </xf>
    <xf numFmtId="0" fontId="37" fillId="15" borderId="66" xfId="0" applyFont="1" applyFill="1" applyBorder="1" applyAlignment="1" applyProtection="1">
      <alignment horizontal="center" vertical="center" wrapText="1"/>
      <protection hidden="1"/>
    </xf>
    <xf numFmtId="0" fontId="37" fillId="15" borderId="73" xfId="0" applyFont="1" applyFill="1" applyBorder="1" applyAlignment="1" applyProtection="1">
      <alignment horizontal="center" vertical="center" wrapText="1"/>
      <protection hidden="1"/>
    </xf>
    <xf numFmtId="0" fontId="37" fillId="15" borderId="67" xfId="0" applyFont="1" applyFill="1" applyBorder="1" applyAlignment="1" applyProtection="1">
      <alignment horizontal="center" vertical="center" wrapText="1"/>
      <protection hidden="1"/>
    </xf>
    <xf numFmtId="0" fontId="37" fillId="15" borderId="72" xfId="0" applyFont="1" applyFill="1" applyBorder="1" applyAlignment="1" applyProtection="1">
      <alignment horizontal="center" vertical="center" wrapText="1"/>
      <protection hidden="1"/>
    </xf>
    <xf numFmtId="0" fontId="37" fillId="18" borderId="0" xfId="0" applyFont="1" applyFill="1" applyBorder="1" applyAlignment="1" applyProtection="1">
      <alignment horizontal="center" vertical="center" wrapText="1"/>
      <protection hidden="1"/>
    </xf>
    <xf numFmtId="0" fontId="37" fillId="18" borderId="21" xfId="0" applyFont="1" applyFill="1" applyBorder="1" applyAlignment="1" applyProtection="1">
      <alignment horizontal="center" vertical="center" wrapText="1"/>
      <protection hidden="1"/>
    </xf>
    <xf numFmtId="0" fontId="37" fillId="18" borderId="72" xfId="0" applyFont="1" applyFill="1" applyBorder="1" applyAlignment="1" applyProtection="1">
      <alignment horizontal="center" vertical="center" wrapText="1"/>
      <protection hidden="1"/>
    </xf>
    <xf numFmtId="0" fontId="37" fillId="18" borderId="73" xfId="0" applyFont="1" applyFill="1" applyBorder="1" applyAlignment="1" applyProtection="1">
      <alignment horizontal="center" vertical="center" wrapText="1"/>
      <protection hidden="1"/>
    </xf>
    <xf numFmtId="0" fontId="37" fillId="18" borderId="74" xfId="0" applyFont="1" applyFill="1" applyBorder="1" applyAlignment="1" applyProtection="1">
      <alignment horizontal="center" vertical="center" wrapText="1"/>
      <protection hidden="1"/>
    </xf>
    <xf numFmtId="0" fontId="37" fillId="26" borderId="64" xfId="0" applyFont="1" applyFill="1" applyBorder="1" applyAlignment="1" applyProtection="1">
      <alignment horizontal="center" vertical="center" wrapText="1"/>
      <protection hidden="1"/>
    </xf>
    <xf numFmtId="0" fontId="37" fillId="26" borderId="65" xfId="0" applyFont="1" applyFill="1" applyBorder="1" applyAlignment="1" applyProtection="1">
      <alignment horizontal="center" vertical="center" wrapText="1"/>
      <protection hidden="1"/>
    </xf>
    <xf numFmtId="0" fontId="37" fillId="26" borderId="71" xfId="0" applyFont="1" applyFill="1" applyBorder="1" applyAlignment="1" applyProtection="1">
      <alignment horizontal="center" vertical="center" wrapText="1"/>
      <protection hidden="1"/>
    </xf>
    <xf numFmtId="0" fontId="37" fillId="21" borderId="65" xfId="0" applyFont="1" applyFill="1" applyBorder="1" applyAlignment="1" applyProtection="1">
      <alignment horizontal="center" vertical="center" wrapText="1"/>
      <protection hidden="1"/>
    </xf>
    <xf numFmtId="0" fontId="37" fillId="21" borderId="71" xfId="0" applyFont="1" applyFill="1" applyBorder="1" applyAlignment="1" applyProtection="1">
      <alignment horizontal="center" vertical="center" wrapText="1"/>
      <protection hidden="1"/>
    </xf>
    <xf numFmtId="0" fontId="37" fillId="26" borderId="68" xfId="0" applyFont="1" applyFill="1" applyBorder="1" applyAlignment="1" applyProtection="1">
      <alignment horizontal="center" vertical="center" wrapText="1"/>
      <protection hidden="1"/>
    </xf>
    <xf numFmtId="0" fontId="37" fillId="26" borderId="69" xfId="0" applyFont="1" applyFill="1" applyBorder="1" applyAlignment="1" applyProtection="1">
      <alignment horizontal="center" vertical="center" wrapText="1"/>
      <protection hidden="1"/>
    </xf>
    <xf numFmtId="0" fontId="37" fillId="26" borderId="70" xfId="0" applyFont="1" applyFill="1" applyBorder="1" applyAlignment="1" applyProtection="1">
      <alignment horizontal="center" vertical="center" wrapText="1"/>
      <protection hidden="1"/>
    </xf>
    <xf numFmtId="0" fontId="37" fillId="26" borderId="66" xfId="0" applyFont="1" applyFill="1" applyBorder="1" applyAlignment="1" applyProtection="1">
      <alignment horizontal="center" vertical="center" wrapText="1"/>
      <protection hidden="1"/>
    </xf>
    <xf numFmtId="0" fontId="37" fillId="26" borderId="0" xfId="0" applyFont="1" applyFill="1" applyBorder="1" applyAlignment="1" applyProtection="1">
      <alignment horizontal="center" vertical="center" wrapText="1"/>
      <protection hidden="1"/>
    </xf>
    <xf numFmtId="0" fontId="37" fillId="26" borderId="22" xfId="0" applyFont="1" applyFill="1" applyBorder="1" applyAlignment="1" applyProtection="1">
      <alignment horizontal="center" vertical="center" wrapText="1"/>
      <protection hidden="1"/>
    </xf>
    <xf numFmtId="0" fontId="37" fillId="21" borderId="66" xfId="0" applyFont="1" applyFill="1" applyBorder="1" applyAlignment="1" applyProtection="1">
      <alignment horizontal="center" vertical="center" wrapText="1"/>
      <protection hidden="1"/>
    </xf>
    <xf numFmtId="0" fontId="37" fillId="21" borderId="64" xfId="0" applyFont="1" applyFill="1" applyBorder="1" applyAlignment="1" applyProtection="1">
      <alignment horizontal="center" vertical="center" wrapText="1"/>
      <protection hidden="1"/>
    </xf>
    <xf numFmtId="0" fontId="1" fillId="7" borderId="3" xfId="0" applyFont="1" applyFill="1" applyBorder="1" applyAlignment="1" applyProtection="1">
      <alignment horizontal="center" vertical="center" wrapText="1"/>
      <protection hidden="1"/>
    </xf>
    <xf numFmtId="0" fontId="1" fillId="7" borderId="4" xfId="0" applyFont="1" applyFill="1" applyBorder="1" applyAlignment="1" applyProtection="1">
      <alignment horizontal="center" vertical="center" wrapText="1"/>
      <protection hidden="1"/>
    </xf>
    <xf numFmtId="0" fontId="1" fillId="7" borderId="106" xfId="0" applyFont="1" applyFill="1" applyBorder="1" applyAlignment="1" applyProtection="1">
      <alignment horizontal="center" vertical="center" wrapText="1"/>
      <protection hidden="1"/>
    </xf>
    <xf numFmtId="0" fontId="1" fillId="7" borderId="1" xfId="0" applyFont="1" applyFill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Explanatory Text" xfId="2" builtinId="53"/>
    <cellStyle name="Normal" xfId="0" builtinId="0"/>
    <cellStyle name="Percent" xfId="3" builtinId="5"/>
  </cellStyles>
  <dxfs count="955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3" tint="0.49803155613879818"/>
          </stop>
          <stop position="0.5">
            <color theme="3" tint="0.25098422193060094"/>
          </stop>
          <stop position="1">
            <color theme="3" tint="0.49803155613879818"/>
          </stop>
        </gradientFill>
      </fill>
    </dxf>
    <dxf>
      <fill>
        <gradientFill degree="90">
          <stop position="0">
            <color theme="5" tint="0.40000610370189521"/>
          </stop>
          <stop position="0.5">
            <color rgb="FFFF000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5" tint="0.40000610370189521"/>
          </stop>
          <stop position="0.5">
            <color rgb="FFFF000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9" tint="0.40000610370189521"/>
          </stop>
          <stop position="0.5">
            <color rgb="FF00B05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3" tint="0.25098422193060094"/>
          </stop>
          <stop position="0.5">
            <color theme="3" tint="0.49803155613879818"/>
          </stop>
          <stop position="1">
            <color theme="3" tint="0.25098422193060094"/>
          </stop>
        </gradientFill>
      </fill>
    </dxf>
    <dxf>
      <fill>
        <gradientFill degree="90">
          <stop position="0">
            <color theme="5" tint="0.40000610370189521"/>
          </stop>
          <stop position="0.5">
            <color rgb="FFFF000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9" tint="0.59999389629810485"/>
          </stop>
          <stop position="0.5">
            <color rgb="FF00B050"/>
          </stop>
          <stop position="1">
            <color theme="9" tint="0.59999389629810485"/>
          </stop>
        </gradientFill>
      </fill>
    </dxf>
    <dxf>
      <fill>
        <gradientFill degree="90">
          <stop position="0">
            <color theme="5" tint="0.40000610370189521"/>
          </stop>
          <stop position="0.5">
            <color rgb="FFFF000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3" tint="0.49803155613879818"/>
          </stop>
          <stop position="0.5">
            <color theme="3" tint="0.25098422193060094"/>
          </stop>
          <stop position="1">
            <color theme="3" tint="0.49803155613879818"/>
          </stop>
        </gradientFill>
      </fill>
    </dxf>
    <dxf>
      <fill>
        <gradientFill degree="90">
          <stop position="0">
            <color theme="5" tint="0.40000610370189521"/>
          </stop>
          <stop position="0.5">
            <color rgb="FFFF000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5" tint="0.40000610370189521"/>
          </stop>
          <stop position="0.5">
            <color rgb="FFFF000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9" tint="0.40000610370189521"/>
          </stop>
          <stop position="0.5">
            <color rgb="FF00B05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3" tint="0.49803155613879818"/>
          </stop>
          <stop position="0.5">
            <color theme="3" tint="0.25098422193060094"/>
          </stop>
          <stop position="1">
            <color theme="3" tint="0.49803155613879818"/>
          </stop>
        </gradientFill>
      </fill>
    </dxf>
    <dxf>
      <fill>
        <gradientFill degree="90">
          <stop position="0">
            <color theme="5" tint="0.40000610370189521"/>
          </stop>
          <stop position="0.5">
            <color theme="5" tint="-0.25098422193060094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5" tint="0.40000610370189521"/>
          </stop>
          <stop position="0.5">
            <color rgb="FFFF0000"/>
          </stop>
          <stop position="1">
            <color theme="5" tint="0.40000610370189521"/>
          </stop>
        </gradientFill>
      </fill>
    </dxf>
    <dxf>
      <fill>
        <gradientFill degree="90">
          <stop position="0">
            <color theme="9" tint="0.40000610370189521"/>
          </stop>
          <stop position="0.5">
            <color rgb="FF00B05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rgb="FF92D050"/>
          </stop>
          <stop position="0.5">
            <color rgb="FF00B050"/>
          </stop>
          <stop position="1">
            <color rgb="FF92D050"/>
          </stop>
        </gradientFill>
      </fill>
    </dxf>
    <dxf>
      <fill>
        <gradientFill degree="90">
          <stop position="0">
            <color theme="3" tint="0.49803155613879818"/>
          </stop>
          <stop position="0.5">
            <color rgb="FF002060"/>
          </stop>
          <stop position="1">
            <color theme="3" tint="0.49803155613879818"/>
          </stop>
        </gradientFill>
      </fill>
    </dxf>
    <dxf>
      <fill>
        <gradientFill degree="90">
          <stop position="0">
            <color rgb="FFFFC000"/>
          </stop>
          <stop position="0.5">
            <color rgb="FFFFFF00"/>
          </stop>
          <stop position="1">
            <color rgb="FFFFC000"/>
          </stop>
        </gradientFill>
      </fill>
    </dxf>
    <dxf>
      <font>
        <color rgb="FF006100"/>
      </font>
      <fill>
        <gradientFill degree="90">
          <stop position="0">
            <color theme="0"/>
          </stop>
          <stop position="0.5">
            <color rgb="FF00B0F0"/>
          </stop>
          <stop position="1">
            <color theme="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006100"/>
      </font>
      <fill>
        <gradientFill degree="90">
          <stop position="0">
            <color theme="0"/>
          </stop>
          <stop position="0.5">
            <color rgb="FF00B0F0"/>
          </stop>
          <stop position="1">
            <color theme="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006100"/>
      </font>
      <fill>
        <gradientFill degree="90">
          <stop position="0">
            <color theme="0"/>
          </stop>
          <stop position="0.5">
            <color rgb="FF00B0F0"/>
          </stop>
          <stop position="1">
            <color theme="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006100"/>
      </font>
      <fill>
        <gradientFill degree="90">
          <stop position="0">
            <color theme="0"/>
          </stop>
          <stop position="0.5">
            <color rgb="FF00B0F0"/>
          </stop>
          <stop position="1">
            <color theme="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double">
          <color indexed="64"/>
        </right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6" formatCode="0.00,,,&quot;B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right style="thick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4" formatCode="#,##0.00"/>
      <fill>
        <patternFill patternType="solid">
          <fgColor theme="0" tint="-0.14999847407452621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6" formatCode="0.00,,,&quot;B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theme="0" tint="-0.34998626667073579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ck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ck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/>
        <bottom/>
      </border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theme="0" tint="-0.14999847407452621"/>
          <bgColor theme="5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ck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ptos Display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6" formatCode="0.00,,,&quot;B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6" formatCode="0.00,,,&quot;B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6" formatCode="0.00,,,&quot;B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6" formatCode="0.00,,,&quot;B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numFmt numFmtId="4" formatCode="#,##0.00"/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6" formatCode="0.00,,,&quot;B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6" formatCode="0.00,,,&quot;B&quot;"/>
      <fill>
        <patternFill patternType="none">
          <fgColor theme="0" tint="-0.34998626667073579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theme="0" tint="-0.3499862666707357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theme="0" tint="-0.34998626667073579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6" formatCode="0.00,,,&quot;B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ptos Display"/>
        <family val="2"/>
        <scheme val="major"/>
      </font>
      <numFmt numFmtId="166" formatCode="0.00,,,&quot;B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7F7F7F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right style="thin">
          <color indexed="64"/>
        </right>
      </border>
    </dxf>
    <dxf>
      <numFmt numFmtId="4" formatCode="#,##0.00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numFmt numFmtId="4" formatCode="#,##0.00"/>
      <fill>
        <patternFill patternType="solid">
          <fgColor indexed="64"/>
          <bgColor theme="1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FFF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Ground Flat Refines &amp; Equivalent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Calculator!$AJ$1</c:f>
              <c:strCache>
                <c:ptCount val="1"/>
                <c:pt idx="0">
                  <c:v>A % Equiv.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spPr>
                <a:solidFill>
                  <a:sysClr val="windowText" lastClr="000000">
                    <a:lumMod val="65000"/>
                    <a:lumOff val="3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15000"/>
                          <a:lumOff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5134-46C7-B1B1-92E66A3ADC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Calculator!$AG$2:$AG$18</c:f>
              <c:strCache>
                <c:ptCount val="1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</c:strCache>
            </c:strRef>
          </c:cat>
          <c:val>
            <c:numRef>
              <c:f>Calculator!$AJ$2:$AJ$18</c:f>
              <c:numCache>
                <c:formatCode>0.00%</c:formatCode>
                <c:ptCount val="17"/>
                <c:pt idx="0">
                  <c:v>5.13</c:v>
                </c:pt>
                <c:pt idx="1">
                  <c:v>3.6642857142857141</c:v>
                </c:pt>
                <c:pt idx="2">
                  <c:v>2.7</c:v>
                </c:pt>
                <c:pt idx="3">
                  <c:v>1.9730769230769232</c:v>
                </c:pt>
                <c:pt idx="4">
                  <c:v>1.4657142857142857</c:v>
                </c:pt>
                <c:pt idx="5">
                  <c:v>1.0914893617021277</c:v>
                </c:pt>
                <c:pt idx="6">
                  <c:v>0.81428571428571428</c:v>
                </c:pt>
                <c:pt idx="7">
                  <c:v>0.60352941176470587</c:v>
                </c:pt>
                <c:pt idx="8">
                  <c:v>0.44608695652173913</c:v>
                </c:pt>
                <c:pt idx="9">
                  <c:v>0.33096774193548389</c:v>
                </c:pt>
                <c:pt idx="10">
                  <c:v>0.26443298969072165</c:v>
                </c:pt>
                <c:pt idx="11">
                  <c:v>0.21154639175257731</c:v>
                </c:pt>
                <c:pt idx="12">
                  <c:v>0.17628865979381445</c:v>
                </c:pt>
                <c:pt idx="13">
                  <c:v>0.14369747899159663</c:v>
                </c:pt>
                <c:pt idx="14">
                  <c:v>0.12127659574468085</c:v>
                </c:pt>
                <c:pt idx="15">
                  <c:v>0.10426829268292682</c:v>
                </c:pt>
                <c:pt idx="16">
                  <c:v>9.0636042402826855E-2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4-46C7-B1B1-92E66A3ADC56}"/>
            </c:ext>
          </c:extLst>
        </c:ser>
        <c:ser>
          <c:idx val="1"/>
          <c:order val="1"/>
          <c:tx>
            <c:strRef>
              <c:f>Calculator!$AL$1</c:f>
              <c:strCache>
                <c:ptCount val="1"/>
                <c:pt idx="0">
                  <c:v>D % Equiv.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Calculator!$AG$2:$AG$18</c:f>
              <c:strCache>
                <c:ptCount val="1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</c:strCache>
            </c:strRef>
          </c:cat>
          <c:val>
            <c:numRef>
              <c:f>Calculator!$AL$2:$AL$18</c:f>
              <c:numCache>
                <c:formatCode>0.00%</c:formatCode>
                <c:ptCount val="17"/>
                <c:pt idx="0">
                  <c:v>4.9266666666666667</c:v>
                </c:pt>
                <c:pt idx="1">
                  <c:v>3.6048780487804879</c:v>
                </c:pt>
                <c:pt idx="2">
                  <c:v>2.6392857142857142</c:v>
                </c:pt>
                <c:pt idx="3">
                  <c:v>1.9972972972972973</c:v>
                </c:pt>
                <c:pt idx="4">
                  <c:v>1.478</c:v>
                </c:pt>
                <c:pt idx="5">
                  <c:v>1.0948148148148149</c:v>
                </c:pt>
                <c:pt idx="6">
                  <c:v>0.81208791208791209</c:v>
                </c:pt>
                <c:pt idx="7">
                  <c:v>0.60081300813008132</c:v>
                </c:pt>
                <c:pt idx="8">
                  <c:v>0.44518072289156624</c:v>
                </c:pt>
                <c:pt idx="9">
                  <c:v>0.32991071428571428</c:v>
                </c:pt>
                <c:pt idx="10">
                  <c:v>0.2639285714285714</c:v>
                </c:pt>
                <c:pt idx="11">
                  <c:v>0.21114285714285713</c:v>
                </c:pt>
                <c:pt idx="12">
                  <c:v>0.17595238095238094</c:v>
                </c:pt>
                <c:pt idx="13">
                  <c:v>0.1430784123910939</c:v>
                </c:pt>
                <c:pt idx="14">
                  <c:v>0.12568027210884353</c:v>
                </c:pt>
                <c:pt idx="15">
                  <c:v>0.10811997073884419</c:v>
                </c:pt>
                <c:pt idx="16">
                  <c:v>9.3966558586051241E-2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34-46C7-B1B1-92E66A3ADC56}"/>
            </c:ext>
          </c:extLst>
        </c:ser>
        <c:ser>
          <c:idx val="2"/>
          <c:order val="2"/>
          <c:tx>
            <c:strRef>
              <c:f>Calculator!$AN$1</c:f>
              <c:strCache>
                <c:ptCount val="1"/>
                <c:pt idx="0">
                  <c:v>H % Equiv.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9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34-46C7-B1B1-92E66A3ADC56}"/>
                </c:ext>
              </c:extLst>
            </c:dLbl>
            <c:dLbl>
              <c:idx val="16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34-46C7-B1B1-92E66A3ADC56}"/>
                </c:ext>
              </c:extLst>
            </c:dLbl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Calculator!$AG$2:$AG$18</c:f>
              <c:strCache>
                <c:ptCount val="1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</c:strCache>
            </c:strRef>
          </c:cat>
          <c:val>
            <c:numRef>
              <c:f>Calculator!$AN$2:$AN$18</c:f>
              <c:numCache>
                <c:formatCode>0.00%</c:formatCode>
                <c:ptCount val="17"/>
                <c:pt idx="0">
                  <c:v>4.8733333333333331</c:v>
                </c:pt>
                <c:pt idx="1">
                  <c:v>3.6098765432098765</c:v>
                </c:pt>
                <c:pt idx="2">
                  <c:v>2.6342342342342344</c:v>
                </c:pt>
                <c:pt idx="3">
                  <c:v>1.9891156462585033</c:v>
                </c:pt>
                <c:pt idx="4">
                  <c:v>1.4767676767676767</c:v>
                </c:pt>
                <c:pt idx="5">
                  <c:v>1.095131086142322</c:v>
                </c:pt>
                <c:pt idx="6">
                  <c:v>0.81222222222222218</c:v>
                </c:pt>
                <c:pt idx="7">
                  <c:v>0.60164609053497942</c:v>
                </c:pt>
                <c:pt idx="8">
                  <c:v>0.44573170731707318</c:v>
                </c:pt>
                <c:pt idx="9">
                  <c:v>0.33002257336343116</c:v>
                </c:pt>
                <c:pt idx="10">
                  <c:v>0.263898916967509</c:v>
                </c:pt>
                <c:pt idx="11">
                  <c:v>0.21111913357400722</c:v>
                </c:pt>
                <c:pt idx="12">
                  <c:v>0.17593261131167268</c:v>
                </c:pt>
                <c:pt idx="13">
                  <c:v>0.14305283757338552</c:v>
                </c:pt>
                <c:pt idx="14">
                  <c:v>0.12052761747732893</c:v>
                </c:pt>
                <c:pt idx="15">
                  <c:v>0.10354107648725212</c:v>
                </c:pt>
                <c:pt idx="16">
                  <c:v>9.0024630541871917E-2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34-46C7-B1B1-92E66A3AD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81984"/>
        <c:axId val="447282464"/>
      </c:lineChart>
      <c:catAx>
        <c:axId val="447281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282464"/>
        <c:crosses val="autoZero"/>
        <c:auto val="1"/>
        <c:lblAlgn val="ctr"/>
        <c:lblOffset val="100"/>
        <c:noMultiLvlLbl val="0"/>
      </c:catAx>
      <c:valAx>
        <c:axId val="447282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28198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47625</xdr:colOff>
      <xdr:row>0</xdr:row>
      <xdr:rowOff>57150</xdr:rowOff>
    </xdr:from>
    <xdr:to>
      <xdr:col>53</xdr:col>
      <xdr:colOff>371475</xdr:colOff>
      <xdr:row>17</xdr:row>
      <xdr:rowOff>209549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29921-3686-0D0B-29AC-57CB9E6CA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5583BB-42E9-4F1C-A475-62A15E983E10}" name="Table10" displayName="Table10" ref="B2:AU53" totalsRowShown="0" headerRowDxfId="954" dataDxfId="953" tableBorderDxfId="952" headerRowCellStyle="Comma">
  <autoFilter ref="B2:AU53" xr:uid="{7C5583BB-42E9-4F1C-A475-62A15E983E10}"/>
  <sortState xmlns:xlrd2="http://schemas.microsoft.com/office/spreadsheetml/2017/richdata2" ref="B3:AU53">
    <sortCondition descending="1" ref="AI2:AI53"/>
  </sortState>
  <tableColumns count="46">
    <tableColumn id="1" xr3:uid="{9DE24C99-81C3-4167-A504-15373507F824}" name="A/U" dataDxfId="951"/>
    <tableColumn id="2" xr3:uid="{303C2E2E-5107-44F1-90B5-64B247DD2B09}" name="General" dataDxfId="950"/>
    <tableColumn id="3" xr3:uid="{1ECE1A6F-D3F7-43A5-BF24-7132B587A906}" name="MC" dataDxfId="949">
      <calculatedColumnFormula>IF(ISNUMBER(MATCH(Table10[[#This Row],[General]],COVENANTS!$A$2:$A$100,0)), "Y","N")</calculatedColumnFormula>
    </tableColumn>
    <tableColumn id="4" xr3:uid="{72E4265A-4A6A-43DD-98BA-C3A073812046}" name="C1" dataDxfId="948">
      <calculatedColumnFormula>IF(ISNUMBER(MATCH(Table10[[#This Row],[General]],COVENANTS!$B$2:$B$100,0)), "Y","N")</calculatedColumnFormula>
    </tableColumn>
    <tableColumn id="5" xr3:uid="{3F62A851-00A9-4A58-91E5-7C47F952A8AB}" name="C2" dataDxfId="947">
      <calculatedColumnFormula>IF(ISNUMBER(MATCH(Table10[[#This Row],[General]],COVENANTS!$C$2:$C$100,0)), "Y","N")</calculatedColumnFormula>
    </tableColumn>
    <tableColumn id="6" xr3:uid="{5E5FE8D5-DDA4-449F-BD7F-8931B46626E7}" name="C3" dataDxfId="946">
      <calculatedColumnFormula>IF(ISNUMBER(MATCH(Table10[[#This Row],[General]],COVENANTS!$D$2:$D$100,0)), "Y","N")</calculatedColumnFormula>
    </tableColumn>
    <tableColumn id="7" xr3:uid="{D12A70DA-E881-4038-9690-238AAE27E522}" name="ATK %" dataDxfId="945" dataCellStyle="Comma"/>
    <tableColumn id="8" xr3:uid="{0664AF0E-734A-4010-AA28-65518788865A}" name="DEF %" dataDxfId="944" dataCellStyle="Comma"/>
    <tableColumn id="9" xr3:uid="{2647149E-9D29-4745-94AD-BBA08D136CFE}" name="HP %" dataDxfId="943" dataCellStyle="Comma"/>
    <tableColumn id="10" xr3:uid="{2A58BC58-237A-4416-9323-432163983202}" name="MS %" dataDxfId="942" dataCellStyle="Comma"/>
    <tableColumn id="11" xr3:uid="{77471B03-F794-4C56-A0F2-C018EB352E87}" name="ATK" dataDxfId="941" dataCellStyle="Comma"/>
    <tableColumn id="12" xr3:uid="{4887C129-9630-4C5B-B710-8DE041DEB953}" name="DEF" dataDxfId="940" dataCellStyle="Comma"/>
    <tableColumn id="13" xr3:uid="{6649F8A7-629B-41B6-AE76-35665D9338A0}" name="HP" dataDxfId="939" dataCellStyle="Comma"/>
    <tableColumn id="14" xr3:uid="{1F96638A-CCF9-40CA-97B3-35204FBE38A5}" name="MS" dataDxfId="938" dataCellStyle="Comma"/>
    <tableColumn id="15" xr3:uid="{7EB26EF1-248D-4FB7-85A1-007F79D8E623}" name="ATK2" dataDxfId="937" dataCellStyle="Comma"/>
    <tableColumn id="16" xr3:uid="{7C8137E0-D755-4CEC-8297-428E488ED1C7}" name="DEF3" dataDxfId="936" dataCellStyle="Comma"/>
    <tableColumn id="17" xr3:uid="{37A37890-659F-47AB-9B7F-9F1DBB023EE6}" name="HP4" dataDxfId="935" dataCellStyle="Comma"/>
    <tableColumn id="18" xr3:uid="{A9217BD1-BE6A-45C4-8810-344D341D51AC}" name="MS5" dataDxfId="934" dataCellStyle="Comma"/>
    <tableColumn id="19" xr3:uid="{EA9F266D-D215-4FCE-9D24-1160BAE13DB6}" name="ATK6" dataDxfId="933" dataCellStyle="Comma"/>
    <tableColumn id="20" xr3:uid="{61C4D6BB-B4DF-4B25-808C-0FA382481256}" name="DEF7" dataDxfId="932" dataCellStyle="Comma"/>
    <tableColumn id="21" xr3:uid="{D687AC06-10BE-4A07-A5BE-5651BA6176FA}" name="HP8" dataDxfId="931" dataCellStyle="Comma"/>
    <tableColumn id="22" xr3:uid="{E3057B58-8704-406F-A3F2-C86A5E2AF098}" name="MS9" dataDxfId="930" dataCellStyle="Comma"/>
    <tableColumn id="23" xr3:uid="{E4E9A0EA-3B45-4F8D-88D7-3ACE1E437B3A}" name="ATK10" dataDxfId="929" dataCellStyle="Comma"/>
    <tableColumn id="24" xr3:uid="{264F99D7-E0F5-435E-877A-2D977F3BA40B}" name="DEF11" dataDxfId="928" dataCellStyle="Comma"/>
    <tableColumn id="25" xr3:uid="{F48218B6-F83E-4BA1-827C-2465ABE6893F}" name="HP12" dataDxfId="927" dataCellStyle="Comma"/>
    <tableColumn id="26" xr3:uid="{850F8FE7-1ADF-46D4-B7D4-3C4B8CCDD8FB}" name="MS13" dataDxfId="926" dataCellStyle="Comma"/>
    <tableColumn id="27" xr3:uid="{954AE459-FD35-46C4-9A8A-4BD1DBC00CB2}" name="ATK14" dataDxfId="925" dataCellStyle="Explanatory Text">
      <calculatedColumnFormula>900*0.1+(AM3-900)*0.2</calculatedColumnFormula>
    </tableColumn>
    <tableColumn id="28" xr3:uid="{E3510F4D-9FBA-4ECC-9B0D-AD733DC78CDF}" name="DEF15" dataDxfId="924" dataCellStyle="Explanatory Text">
      <calculatedColumnFormula>900*0.1+(AN3-900)*0.2</calculatedColumnFormula>
    </tableColumn>
    <tableColumn id="29" xr3:uid="{6291D3A3-2A25-4303-82D8-E1A909A70E68}" name="HP16" dataDxfId="923" dataCellStyle="Explanatory Text">
      <calculatedColumnFormula>900*0.1+(AO3-900)*0.2</calculatedColumnFormula>
    </tableColumn>
    <tableColumn id="30" xr3:uid="{0378377B-1273-44DB-8D33-85D1EFF4B787}" name="ATK17" dataDxfId="922" dataCellStyle="Comma">
      <calculatedColumnFormula>P3+T3+X3+AB3</calculatedColumnFormula>
    </tableColumn>
    <tableColumn id="31" xr3:uid="{BC91AD03-8FB2-4A7A-8A78-584C11F0C877}" name="DEF18" dataDxfId="921" dataCellStyle="Comma">
      <calculatedColumnFormula>Q3+U3+Y3+AC3</calculatedColumnFormula>
    </tableColumn>
    <tableColumn id="32" xr3:uid="{4FE6ABDA-172F-4D81-8FD1-1E3A78544569}" name="HP19" dataDxfId="920" dataCellStyle="Comma">
      <calculatedColumnFormula>R3+V3+Z3+AD3</calculatedColumnFormula>
    </tableColumn>
    <tableColumn id="33" xr3:uid="{AC2408DC-2C7C-48D1-9B7F-2500EBD34894}" name="MS20" dataDxfId="919" dataCellStyle="Comma">
      <calculatedColumnFormula>S3+W3+AA3</calculatedColumnFormula>
    </tableColumn>
    <tableColumn id="34" xr3:uid="{64F93B41-2F66-4193-B01C-72370B818367}" name="Inc ATK" dataDxfId="918" dataCellStyle="Comma">
      <calculatedColumnFormula>(AW$2*(AH3/100)+AW$2+AW$3)*(AX$2*(AE3/100)+AX$2+AX$3)-AY$2</calculatedColumnFormula>
    </tableColumn>
    <tableColumn id="35" xr3:uid="{0D0C6F1A-ECCB-4DA9-AE9E-44354C835BB2}" name="ATK18" dataDxfId="917" dataCellStyle="Comma"/>
    <tableColumn id="36" xr3:uid="{6CE86E00-C9A7-468B-9436-706646EAC664}" name="DEF182" dataDxfId="916" dataCellStyle="Comma"/>
    <tableColumn id="37" xr3:uid="{8C9E4360-3B3B-4D53-9C7E-94C8E1347746}" name="LDR" dataDxfId="915" dataCellStyle="Comma"/>
    <tableColumn id="38" xr3:uid="{3E428CDE-F530-4134-8018-37F79388B94D}" name="TOTAL ATK18" dataDxfId="914" dataCellStyle="Explanatory Text">
      <calculatedColumnFormula>(AJ3+AS3*($AX$9-1))+500+((AJ3+AS3*($AX$9-1))+500)*$AY$10</calculatedColumnFormula>
    </tableColumn>
    <tableColumn id="39" xr3:uid="{1FA8DEAE-8EA9-4C2A-AD29-93F7A849991B}" name="TOTAL DEF182" dataDxfId="913" dataCellStyle="Explanatory Text">
      <calculatedColumnFormula>(AK3+AT3*(AX$9-1))+500+((AK3+AT3*(AX$9-1))+500)*$AY$10</calculatedColumnFormula>
    </tableColumn>
    <tableColumn id="40" xr3:uid="{3683AB25-DD56-4551-B1EE-79B6D8D64AFC}" name="TOTAL LDR" dataDxfId="912" dataCellStyle="Explanatory Text">
      <calculatedColumnFormula>(AL3+AU3*(AX$9-1))+500+((AL3+AU3*(AX$9-1))+500)*$AY$10</calculatedColumnFormula>
    </tableColumn>
    <tableColumn id="41" xr3:uid="{7A6E3B72-0482-4854-B619-ED8D5A9FF7EB}" name="ATK19" dataDxfId="911" dataCellStyle="Comma"/>
    <tableColumn id="42" xr3:uid="{F4197342-255B-430C-AA9C-6193C2DBFFBB}" name="DEF4" dataDxfId="910" dataCellStyle="Comma"/>
    <tableColumn id="43" xr3:uid="{0E762CB4-1993-4F0C-8482-53A70C4B12C1}" name="LDR5" dataDxfId="909" dataCellStyle="Comma"/>
    <tableColumn id="44" xr3:uid="{55D7154D-7F55-48FA-8FC1-1A0EF6C0A64A}" name="TOTAL ATK" dataDxfId="908" dataCellStyle="Explanatory Text">
      <calculatedColumnFormula>(((((1+20/100)*$AP3)*(1+20/100)))*(1+20/100))*(1+20/100)*(1+20/100)</calculatedColumnFormula>
    </tableColumn>
    <tableColumn id="45" xr3:uid="{85B9FA37-3040-4DB0-B31D-F49F26FF9C93}" name="TOTAL DEF" dataDxfId="907" dataCellStyle="Explanatory Text">
      <calculatedColumnFormula>(((((1+20/100)*$AQ3)*(1+20/100)))*(1+20/100))*(1+20/100)*(1+20/100)</calculatedColumnFormula>
    </tableColumn>
    <tableColumn id="46" xr3:uid="{153FCC86-35BE-4993-8057-54294B5FBA18}" name="TOTAL LDR2" dataDxfId="906" dataCellStyle="Explanatory Text">
      <calculatedColumnFormula>(((((1+20/100)*$AR3)*(1+20/100)))*(1+20/100))*(1+20/100)*(1+20/100)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CF59DCF-6110-4A50-B124-A85F9913ACA1}" name="Table13" displayName="Table13" ref="B56:AI107" totalsRowShown="0" headerRowDxfId="905" dataDxfId="904" tableBorderDxfId="903" dataCellStyle="Comma">
  <autoFilter ref="B56:AI107" xr:uid="{0CF59DCF-6110-4A50-B124-A85F9913ACA1}"/>
  <sortState xmlns:xlrd2="http://schemas.microsoft.com/office/spreadsheetml/2017/richdata2" ref="B57:AI107">
    <sortCondition descending="1" ref="AI56:AI107"/>
  </sortState>
  <tableColumns count="34">
    <tableColumn id="1" xr3:uid="{8B165880-20C7-41E6-8F10-4456B3F82F65}" name="A/U" dataDxfId="902"/>
    <tableColumn id="2" xr3:uid="{3962EC29-B0F0-4600-A990-CCEF288E81AD}" name="General" dataDxfId="901"/>
    <tableColumn id="3" xr3:uid="{A30EEF61-0A6E-4705-8DDF-0C80CB51945E}" name="MC" dataDxfId="900">
      <calculatedColumnFormula>IF(ISNUMBER(MATCH(Table13[[#This Row],[General]],COVENANTS!$A$2:$A$100,0)), "Y","N")</calculatedColumnFormula>
    </tableColumn>
    <tableColumn id="4" xr3:uid="{A23B1129-5875-4C96-A199-311E0F5EFF7A}" name="C1" dataDxfId="899">
      <calculatedColumnFormula>IF(ISNUMBER(MATCH(Table13[[#This Row],[General]],COVENANTS!$B$2:$B$100,0)), "Y","N")</calculatedColumnFormula>
    </tableColumn>
    <tableColumn id="5" xr3:uid="{5B46005F-C4BE-444E-9B2F-28E9C2EAD03C}" name="C2" dataDxfId="898">
      <calculatedColumnFormula>IF(ISNUMBER(MATCH(Table13[[#This Row],[General]],COVENANTS!$C$2:$C$100,0)), "Y","N")</calculatedColumnFormula>
    </tableColumn>
    <tableColumn id="6" xr3:uid="{8F1142A8-4110-42E0-880B-0D4EAAB8DCCB}" name="C3" dataDxfId="897">
      <calculatedColumnFormula>IF(ISNUMBER(MATCH(Table13[[#This Row],[General]],COVENANTS!$D$2:$D$100,0)), "Y","N")</calculatedColumnFormula>
    </tableColumn>
    <tableColumn id="7" xr3:uid="{324D595C-67CA-4A17-AA26-DB77691B6160}" name="ATK %" dataDxfId="896" dataCellStyle="Comma"/>
    <tableColumn id="8" xr3:uid="{79F4655B-36D7-4951-ACAD-7E645713340F}" name="DEF %" dataDxfId="895" dataCellStyle="Comma"/>
    <tableColumn id="9" xr3:uid="{FC1234DB-5E5A-4539-B122-779D638E3ECE}" name="HP %" dataDxfId="894" dataCellStyle="Comma"/>
    <tableColumn id="10" xr3:uid="{8B9FCA3F-2C4A-474A-AECA-FE64475F61B9}" name="MS %" dataDxfId="893" dataCellStyle="Comma"/>
    <tableColumn id="11" xr3:uid="{06F92D04-C455-4CF8-9ED0-69AF20654D9D}" name="ATK" dataDxfId="892" dataCellStyle="Comma"/>
    <tableColumn id="12" xr3:uid="{57CEF9F2-07F6-4DA8-90DB-C1A7AAF667A7}" name="DEF" dataDxfId="891" dataCellStyle="Comma"/>
    <tableColumn id="13" xr3:uid="{615FA75A-15AB-41FF-AE0F-B410CBD6D75C}" name="HP" dataDxfId="890" dataCellStyle="Comma"/>
    <tableColumn id="14" xr3:uid="{3E99DFAD-126E-45A5-A0AE-E43201F7313E}" name="MS" dataDxfId="889" dataCellStyle="Comma"/>
    <tableColumn id="15" xr3:uid="{CFB4AAAD-7808-46D0-A0A7-819D69E6A476}" name="ATK2" dataDxfId="888" dataCellStyle="Comma"/>
    <tableColumn id="16" xr3:uid="{6A24A2D0-53D3-40F4-8463-5C78A023C511}" name="DEF3" dataDxfId="887" dataCellStyle="Comma"/>
    <tableColumn id="17" xr3:uid="{82B2E80E-61AF-43F1-B5C7-E752F236EA7D}" name="HP4" dataDxfId="886" dataCellStyle="Comma"/>
    <tableColumn id="18" xr3:uid="{03BCA8E3-2C35-4869-9EF9-78D1DD84149B}" name="MS5" dataDxfId="885" dataCellStyle="Comma"/>
    <tableColumn id="19" xr3:uid="{24356114-202E-4BAB-804A-3917B6F2B58B}" name="ATK6" dataDxfId="884" dataCellStyle="Comma"/>
    <tableColumn id="20" xr3:uid="{C3AA0903-1CCA-4686-9FC4-964221941CCC}" name="DEF7" dataDxfId="883" dataCellStyle="Comma"/>
    <tableColumn id="21" xr3:uid="{553BB801-EAF0-45F6-B378-36FA37868D5D}" name="HP8" dataDxfId="882" dataCellStyle="Comma"/>
    <tableColumn id="22" xr3:uid="{27AE5FA9-ABE8-4EAA-976B-61004527DD63}" name="MS9" dataDxfId="881" dataCellStyle="Comma"/>
    <tableColumn id="23" xr3:uid="{062DA715-5E0E-4C7D-84ED-F54411FD6BDC}" name="ATK10" dataDxfId="880" dataCellStyle="Comma"/>
    <tableColumn id="24" xr3:uid="{872D4CC6-9AE1-4E7F-8A80-F5E21B2AFFB9}" name="DEF11" dataDxfId="879" dataCellStyle="Comma"/>
    <tableColumn id="25" xr3:uid="{9062C40C-37A8-4C9F-A3B9-C0605646DEAC}" name="HP12" dataDxfId="878" dataCellStyle="Comma"/>
    <tableColumn id="26" xr3:uid="{54139139-E4DC-4102-9244-6EE520444CEC}" name="MS13" dataDxfId="877" dataCellStyle="Comma"/>
    <tableColumn id="27" xr3:uid="{E2AE7D13-9539-4961-A2F6-40A4D3EA5F3F}" name="ATK14" dataDxfId="876" dataCellStyle="Comma"/>
    <tableColumn id="28" xr3:uid="{B6EAE50D-4CA6-4131-8C04-1ED154F933E8}" name="DEF15" dataDxfId="875" dataCellStyle="Comma"/>
    <tableColumn id="29" xr3:uid="{68C59C86-00E0-49C3-AD2E-3C24799130FA}" name="HP16" dataDxfId="874" dataCellStyle="Comma"/>
    <tableColumn id="30" xr3:uid="{2BF28F8D-FCB5-4433-B194-4A1FE8472476}" name="ATK17" dataDxfId="873" dataCellStyle="Comma">
      <calculatedColumnFormula>L57+T57+X57</calculatedColumnFormula>
    </tableColumn>
    <tableColumn id="31" xr3:uid="{769EB8F0-6002-4BF2-AE07-55D966DBB159}" name="DEF18" dataDxfId="872" dataCellStyle="Comma">
      <calculatedColumnFormula>M57+U57+Y57</calculatedColumnFormula>
    </tableColumn>
    <tableColumn id="32" xr3:uid="{CA0C4473-C3CF-4433-A2E8-74C920994948}" name="HP19" dataDxfId="871" dataCellStyle="Comma">
      <calculatedColumnFormula>N57+V57+Z57</calculatedColumnFormula>
    </tableColumn>
    <tableColumn id="33" xr3:uid="{A465B691-144D-46A6-B9FF-3B229F37E10E}" name="MS20" dataDxfId="870" dataCellStyle="Comma">
      <calculatedColumnFormula>O57+W57+AA57</calculatedColumnFormula>
    </tableColumn>
    <tableColumn id="34" xr3:uid="{9AFB7153-4C77-42AF-94E2-45A4BE748C4F}" name="Inc ATK" dataDxfId="869" dataCellStyle="Comma">
      <calculatedColumnFormula>(AW$2*(AH57/100)+AW$2+AW$3)*(AX$2*(AE57/100)+AX$2+AX$3)-AY$2</calculatedColumnFormula>
    </tableColumn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7C6C3E1-1037-4143-A894-8EE2A3BA1E10}" name="Table15" displayName="Table15" ref="B2:AU60" totalsRowShown="0" headerRowDxfId="868" dataDxfId="867" tableBorderDxfId="866">
  <autoFilter ref="B2:AU60" xr:uid="{A7C6C3E1-1037-4143-A894-8EE2A3BA1E10}"/>
  <sortState xmlns:xlrd2="http://schemas.microsoft.com/office/spreadsheetml/2017/richdata2" ref="B3:AU60">
    <sortCondition descending="1" ref="AI2:AI60"/>
  </sortState>
  <tableColumns count="46">
    <tableColumn id="1" xr3:uid="{8A76F47B-6DE9-467B-9497-E887047C4FC4}" name="A/U" dataDxfId="865"/>
    <tableColumn id="2" xr3:uid="{CBF75E5C-8545-44C9-85DA-8A3F6CA0055D}" name="General" dataDxfId="864"/>
    <tableColumn id="3" xr3:uid="{87668490-8C87-4F89-901E-0384699094E1}" name="MC" dataDxfId="863">
      <calculatedColumnFormula>IF(ISNUMBER(MATCH(Table15[[#This Row],[General]],COVENANTS!$A$2:$A$100,0)), "Y","N")</calculatedColumnFormula>
    </tableColumn>
    <tableColumn id="4" xr3:uid="{E5FB09FB-3C9C-4E4A-AC3D-933BB5DE3641}" name="C1" dataDxfId="862">
      <calculatedColumnFormula>IF(ISNUMBER(MATCH(Table15[[#This Row],[General]],COVENANTS!$B$2:$B$100,0)), "Y","N")</calculatedColumnFormula>
    </tableColumn>
    <tableColumn id="5" xr3:uid="{FF48AF04-384B-4AE3-848B-216477156C3D}" name="C2" dataDxfId="861">
      <calculatedColumnFormula>IF(ISNUMBER(MATCH(Table15[[#This Row],[General]],COVENANTS!$C$2:$C$100,0)), "Y","N")</calculatedColumnFormula>
    </tableColumn>
    <tableColumn id="6" xr3:uid="{B58CD19B-0D39-4605-811D-DD961BD3B643}" name="C3" dataDxfId="860">
      <calculatedColumnFormula>IF(ISNUMBER(MATCH(Table15[[#This Row],[General]],COVENANTS!$D$2:$D$100,0)), "Y","N")</calculatedColumnFormula>
    </tableColumn>
    <tableColumn id="7" xr3:uid="{2EBD6434-5EF7-41C6-978E-52C6CCAE0913}" name="ATK %" dataDxfId="859" dataCellStyle="Comma"/>
    <tableColumn id="8" xr3:uid="{8B0BD907-2A32-4A54-A70C-193BB92AC59F}" name="DEF %" dataDxfId="858" dataCellStyle="Comma"/>
    <tableColumn id="9" xr3:uid="{42EFF50C-A543-4D79-B492-66746A5D0828}" name="HP %" dataDxfId="857" dataCellStyle="Comma"/>
    <tableColumn id="10" xr3:uid="{C5258087-FFB1-4C83-AE5D-DE51CD78EC47}" name="MS %" dataDxfId="856" dataCellStyle="Comma"/>
    <tableColumn id="11" xr3:uid="{1155D679-FD9C-475E-A5C7-FABEB1FC1B4F}" name="ATK" dataDxfId="855" dataCellStyle="Comma"/>
    <tableColumn id="12" xr3:uid="{01438408-59C9-49BE-A5FF-BF0B5FB3939E}" name="DEF" dataDxfId="854" dataCellStyle="Comma"/>
    <tableColumn id="13" xr3:uid="{3B00DC52-DDA0-45EF-9F64-A6287778FA8A}" name="HP" dataDxfId="853" dataCellStyle="Comma"/>
    <tableColumn id="14" xr3:uid="{B7D578DA-CB54-4987-B580-CF3F6CD5BAB5}" name="MS" dataDxfId="852" dataCellStyle="Comma"/>
    <tableColumn id="15" xr3:uid="{FB27E291-027D-4028-99C9-66E40AE2791F}" name="ATK2" dataDxfId="851" dataCellStyle="Comma"/>
    <tableColumn id="16" xr3:uid="{465728AD-253F-4685-99DB-44CAA252919D}" name="DEF3" dataDxfId="850" dataCellStyle="Comma"/>
    <tableColumn id="17" xr3:uid="{45C8EB40-F284-44A6-974C-6D2DA2B32125}" name="HP4" dataDxfId="849" dataCellStyle="Comma"/>
    <tableColumn id="18" xr3:uid="{F5BC1014-3512-47BA-A7DC-B124453685E2}" name="MS5" dataDxfId="848" dataCellStyle="Comma"/>
    <tableColumn id="19" xr3:uid="{B540EE51-3327-4C69-B8F0-46EC5E9B4A11}" name="ATK6" dataDxfId="847" dataCellStyle="Comma"/>
    <tableColumn id="20" xr3:uid="{193972F0-B7D4-40BC-9245-1B0D297D5484}" name="DEF7" dataDxfId="846" dataCellStyle="Comma"/>
    <tableColumn id="21" xr3:uid="{A6DA42CB-52A8-46CD-97E7-A705E00CCBAA}" name="HP8" dataDxfId="845" dataCellStyle="Comma"/>
    <tableColumn id="22" xr3:uid="{A07A5E97-374B-4D8B-A0BB-34D489C1A4F2}" name="MS9" dataDxfId="844" dataCellStyle="Comma"/>
    <tableColumn id="23" xr3:uid="{78865904-38FA-4032-B1FD-D64C80D62B6D}" name="ATK10" dataDxfId="843" dataCellStyle="Comma"/>
    <tableColumn id="24" xr3:uid="{F1E16ED7-34F1-4009-9F4F-329BD46FF2A8}" name="DEF11" dataDxfId="842" dataCellStyle="Comma"/>
    <tableColumn id="25" xr3:uid="{03A2D43E-4E35-44B2-A392-16082F40887F}" name="HP12" dataDxfId="841" dataCellStyle="Comma"/>
    <tableColumn id="26" xr3:uid="{3191A0F1-9A5B-4117-8671-7D729ED63803}" name="MS13" dataDxfId="840" dataCellStyle="Comma"/>
    <tableColumn id="27" xr3:uid="{5A053289-68A8-4EF4-97B8-64AC2A208322}" name="ATK14" dataDxfId="839" dataCellStyle="Explanatory Text">
      <calculatedColumnFormula>900*0.1+(AM3-900)*0.2</calculatedColumnFormula>
    </tableColumn>
    <tableColumn id="28" xr3:uid="{27B3A83E-FDE0-479A-9046-11F86DEEC3EB}" name="DEF15" dataDxfId="838" dataCellStyle="Explanatory Text">
      <calculatedColumnFormula>900*0.1+(AN3-900)*0.2</calculatedColumnFormula>
    </tableColumn>
    <tableColumn id="29" xr3:uid="{9B3E4199-7BC9-4C27-9368-8DD64F09F654}" name="HP16" dataDxfId="837" dataCellStyle="Explanatory Text">
      <calculatedColumnFormula>900*0.1+(AO3-900)*0.2</calculatedColumnFormula>
    </tableColumn>
    <tableColumn id="30" xr3:uid="{CAAFB2BF-4FDC-4A36-AECB-CF87B739E988}" name="ATK17" dataDxfId="836" dataCellStyle="Comma">
      <calculatedColumnFormula>P3+T3+X3+AB3</calculatedColumnFormula>
    </tableColumn>
    <tableColumn id="31" xr3:uid="{AC25937C-0E5E-4D4C-B324-DF4B2DE663D2}" name="DEF18" dataDxfId="835" dataCellStyle="Comma">
      <calculatedColumnFormula>Q3+U3+Y3+AC3</calculatedColumnFormula>
    </tableColumn>
    <tableColumn id="32" xr3:uid="{6E5DE1D9-7504-40DD-9254-61E6D4F49517}" name="HP19" dataDxfId="834" dataCellStyle="Comma">
      <calculatedColumnFormula>R3+V3+Z3+AD3</calculatedColumnFormula>
    </tableColumn>
    <tableColumn id="33" xr3:uid="{70AEACF1-0199-4160-B76B-166804033D60}" name="MS20" dataDxfId="833" dataCellStyle="Comma">
      <calculatedColumnFormula>S3+W3+AA3</calculatedColumnFormula>
    </tableColumn>
    <tableColumn id="34" xr3:uid="{456E29D5-F0F4-47A9-AB70-0153189FF781}" name="Inc ATK" dataDxfId="832" dataCellStyle="Comma">
      <calculatedColumnFormula>(AW$2*(AH3/100)+AW$2+AW$3)*(AX$2*(AE3/100)+AX$2+AX$3)-AY$2</calculatedColumnFormula>
    </tableColumn>
    <tableColumn id="35" xr3:uid="{02B42A7F-CDEC-44BD-A5FB-E24E8D692C18}" name="ATK18" dataDxfId="831" dataCellStyle="Comma"/>
    <tableColumn id="36" xr3:uid="{BEA0F66B-F522-43B5-963D-8B7261B2F6FB}" name="DEF182" dataDxfId="830" dataCellStyle="Comma"/>
    <tableColumn id="37" xr3:uid="{46FA0EF3-E5D6-4593-B9DA-76F38EE612C2}" name="LDR" dataDxfId="829" dataCellStyle="Comma"/>
    <tableColumn id="38" xr3:uid="{422C371C-99C1-4253-B1B1-35A4ACD65D3A}" name="TOTAL ATK18" dataDxfId="828" dataCellStyle="Explanatory Text">
      <calculatedColumnFormula>(AJ3+AS3*(AX$9-1))+500+((AJ3+AS3*(AX$9-1))+500)*$AY$10</calculatedColumnFormula>
    </tableColumn>
    <tableColumn id="39" xr3:uid="{FAE4CA70-1C33-4E75-AB71-22F4467D8872}" name="TOTAL DEF182" dataDxfId="827" dataCellStyle="Explanatory Text">
      <calculatedColumnFormula>(AK3+AT3*(AX$9-1))+500+((AK3+AT3*(AX$9-1))+500)*$AY$10</calculatedColumnFormula>
    </tableColumn>
    <tableColumn id="40" xr3:uid="{8C47F7C3-3BC9-4685-9313-DA3CA89908ED}" name="TOTAL LDR" dataDxfId="826" dataCellStyle="Explanatory Text">
      <calculatedColumnFormula>(AL3+AU3*(AX$9-1))+500+((AL3+AU3*(AX$9-1))+500)*$AY$10</calculatedColumnFormula>
    </tableColumn>
    <tableColumn id="41" xr3:uid="{14744914-0944-4823-9B76-137C513E57B1}" name="ATK19" dataDxfId="825" dataCellStyle="Comma"/>
    <tableColumn id="42" xr3:uid="{F6FA901B-AA09-4C81-9AA5-3FB0DA49F506}" name="DEF4" dataDxfId="824" dataCellStyle="Comma"/>
    <tableColumn id="43" xr3:uid="{39DC8FFA-4CB0-4BB9-A9A9-56D24FDE8FFE}" name="LDR5" dataDxfId="823" dataCellStyle="Comma"/>
    <tableColumn id="44" xr3:uid="{205189E5-B744-4395-9C78-475F5DC75E8A}" name="TOTAL ATK" dataDxfId="822" dataCellStyle="Explanatory Text">
      <calculatedColumnFormula>(((((1+20/100)*$AP3)*(1+20/100)))*(1+20/100))*(1+20/100)*(1+20/100)</calculatedColumnFormula>
    </tableColumn>
    <tableColumn id="45" xr3:uid="{64B8FC15-F259-4162-9F97-9F26F21A5499}" name="TOTAL DEF" dataDxfId="821" dataCellStyle="Explanatory Text">
      <calculatedColumnFormula>(((((1+20/100)*$AQ3)*(1+20/100)))*(1+20/100))*(1+20/100)*(1+20/100)</calculatedColumnFormula>
    </tableColumn>
    <tableColumn id="46" xr3:uid="{79ECAF43-27E7-4D36-B391-6EEED6714401}" name="TOTAL LDR2" dataDxfId="820" dataCellStyle="Explanatory Text">
      <calculatedColumnFormula>(((((1+20/100)*$AR3)*(1+20/100)))*(1+20/100))*(1+20/100)*(1+20/100)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34D33E-859E-4EC7-9C8C-121A861E5EE7}" name="Table16" displayName="Table16" ref="B63:AI121" totalsRowShown="0" headerRowDxfId="819" dataDxfId="818" tableBorderDxfId="817" dataCellStyle="Comma">
  <autoFilter ref="B63:AI121" xr:uid="{FC34D33E-859E-4EC7-9C8C-121A861E5EE7}"/>
  <sortState xmlns:xlrd2="http://schemas.microsoft.com/office/spreadsheetml/2017/richdata2" ref="B64:AI121">
    <sortCondition descending="1" ref="AI63:AI121"/>
  </sortState>
  <tableColumns count="34">
    <tableColumn id="1" xr3:uid="{00D91E4F-F04A-462B-A945-F66C5DB75AFF}" name="A/U" dataDxfId="816"/>
    <tableColumn id="2" xr3:uid="{4C76C5EF-ADA5-402B-BA61-905E846B3E8A}" name="General" dataDxfId="815"/>
    <tableColumn id="3" xr3:uid="{2B93D29C-E149-49EE-A9A9-42F6A43F4290}" name="MC" dataDxfId="814">
      <calculatedColumnFormula>IF(ISNUMBER(MATCH(Table16[[#This Row],[General]],COVENANTS!$A$2:$A$100,0)), "Y","N")</calculatedColumnFormula>
    </tableColumn>
    <tableColumn id="4" xr3:uid="{0C38652A-A86A-4F6D-B05D-AC86F14C839B}" name="C1" dataDxfId="813">
      <calculatedColumnFormula>IF(ISNUMBER(MATCH(Table16[[#This Row],[General]],COVENANTS!$B$2:$B$100,0)), "Y","N")</calculatedColumnFormula>
    </tableColumn>
    <tableColumn id="5" xr3:uid="{59C5DF94-6231-4EAE-8B64-403CC32E6270}" name="C2" dataDxfId="812">
      <calculatedColumnFormula>IF(ISNUMBER(MATCH(Table16[[#This Row],[General]],COVENANTS!$C$2:$C$100,0)), "Y","N")</calculatedColumnFormula>
    </tableColumn>
    <tableColumn id="6" xr3:uid="{589BAE72-252B-4858-B4C7-4A25F9B59310}" name="C3" dataDxfId="811">
      <calculatedColumnFormula>IF(ISNUMBER(MATCH(Table16[[#This Row],[General]],COVENANTS!$D$2:$D$100,0)), "Y","N")</calculatedColumnFormula>
    </tableColumn>
    <tableColumn id="7" xr3:uid="{D1CDB8B0-36F2-434B-B9F3-70993F2D56D3}" name="ATK %" dataDxfId="810" dataCellStyle="Comma"/>
    <tableColumn id="8" xr3:uid="{963FC1F0-520B-4F95-93AC-A0E1635AF1C2}" name="DEF %" dataDxfId="809" dataCellStyle="Comma"/>
    <tableColumn id="9" xr3:uid="{900E7579-9ABC-4A83-AABA-EBF1578B9FF0}" name="HP %" dataDxfId="808" dataCellStyle="Comma"/>
    <tableColumn id="10" xr3:uid="{C036F58D-385A-43C1-88AE-06D03C270196}" name="MS %" dataDxfId="807" dataCellStyle="Comma"/>
    <tableColumn id="11" xr3:uid="{9AD1ABE8-67C1-48C0-9F38-7C9B38A405B2}" name="ATK" dataDxfId="806" dataCellStyle="Comma"/>
    <tableColumn id="12" xr3:uid="{4879ED4F-4FFF-4645-BA21-4E50CFEE0110}" name="DEF" dataDxfId="805" dataCellStyle="Comma"/>
    <tableColumn id="13" xr3:uid="{577DA0D6-B338-499B-8ACE-E1C1AB5C40BA}" name="HP" dataDxfId="804" dataCellStyle="Comma"/>
    <tableColumn id="14" xr3:uid="{B908F3B4-EA1E-48BC-8529-5DB4D3A91784}" name="MS" dataDxfId="803" dataCellStyle="Comma"/>
    <tableColumn id="15" xr3:uid="{6CDBBBAC-94C4-454E-BF12-FA2ADE0E0CCE}" name="ATK2" dataDxfId="802" dataCellStyle="Comma"/>
    <tableColumn id="16" xr3:uid="{CA5F5222-DEBE-457B-AA21-84E410DA9693}" name="DEF3" dataDxfId="801" dataCellStyle="Comma"/>
    <tableColumn id="17" xr3:uid="{289E7448-EA10-475E-9B8C-9A6E593A6233}" name="HP4" dataDxfId="800" dataCellStyle="Comma"/>
    <tableColumn id="18" xr3:uid="{8EBFD5A2-82DF-44F7-B51D-35F334C403B7}" name="MS5" dataDxfId="799" dataCellStyle="Comma"/>
    <tableColumn id="19" xr3:uid="{25FF2AC8-10D8-4179-8E8D-4C83D145E1AB}" name="ATK6" dataDxfId="798" dataCellStyle="Comma"/>
    <tableColumn id="20" xr3:uid="{77B9552A-FA44-49EA-8961-977942525582}" name="DEF7" dataDxfId="797" dataCellStyle="Comma"/>
    <tableColumn id="21" xr3:uid="{F1DB5841-D483-4A37-A55A-AEF06FA8DBE0}" name="HP8" dataDxfId="796" dataCellStyle="Comma"/>
    <tableColumn id="22" xr3:uid="{F60E32D0-822A-4BF1-AD97-7F122D86B8D2}" name="MS9" dataDxfId="795" dataCellStyle="Comma"/>
    <tableColumn id="23" xr3:uid="{E5FB3D84-F2F2-4F62-BDA7-1F3106BBFD6C}" name="ATK10" dataDxfId="794" dataCellStyle="Comma"/>
    <tableColumn id="24" xr3:uid="{3784E0E8-7408-49A7-988E-DE9637283FF8}" name="DEF11" dataDxfId="793" dataCellStyle="Comma"/>
    <tableColumn id="25" xr3:uid="{3CDA66A7-5A7C-4BE7-A742-C7CA7F2EBA47}" name="HP12" dataDxfId="792" dataCellStyle="Comma"/>
    <tableColumn id="26" xr3:uid="{F2A478EA-2A29-467B-9D4D-FC282031E861}" name="MS13" dataDxfId="791" dataCellStyle="Comma"/>
    <tableColumn id="27" xr3:uid="{AF480E5D-82A5-4DED-BDE8-CA05DA618A6A}" name="ATK14" dataDxfId="790" dataCellStyle="Comma"/>
    <tableColumn id="28" xr3:uid="{A9752843-BCA5-454F-9F48-F14950E02796}" name="DEF15" dataDxfId="789" dataCellStyle="Comma"/>
    <tableColumn id="29" xr3:uid="{3B1AB7C2-5E80-4053-B3A0-357D129C3EAA}" name="HP16" dataDxfId="788" dataCellStyle="Comma"/>
    <tableColumn id="30" xr3:uid="{A3F27E16-A1F8-475C-AE43-0E02BC46F6D8}" name="ATK17" dataDxfId="787" dataCellStyle="Comma">
      <calculatedColumnFormula>L64+T64+X64</calculatedColumnFormula>
    </tableColumn>
    <tableColumn id="31" xr3:uid="{E4C8117B-451D-4FC5-85D6-0B6091D1419F}" name="DEF18" dataDxfId="786" dataCellStyle="Comma">
      <calculatedColumnFormula>M64+U64+Y64</calculatedColumnFormula>
    </tableColumn>
    <tableColumn id="32" xr3:uid="{91CD3330-6FB9-4A53-B16D-B729C27D8441}" name="HP19" dataDxfId="785" dataCellStyle="Comma">
      <calculatedColumnFormula>N64+V64+Z64</calculatedColumnFormula>
    </tableColumn>
    <tableColumn id="33" xr3:uid="{E9317616-760C-4F7A-8473-913E72DEEC42}" name="MS20" dataDxfId="784" dataCellStyle="Comma">
      <calculatedColumnFormula>W64+O64+AA64</calculatedColumnFormula>
    </tableColumn>
    <tableColumn id="34" xr3:uid="{7A6FF439-71B3-4D99-BAAE-362299946B7C}" name="Inc ATK" dataDxfId="783" dataCellStyle="Comma">
      <calculatedColumnFormula>(AW$2*(AH64/100)+AW$2+AW$3)*(AX$2*(AE64/100)+AX$2+AX$3)-AY$2</calculatedColumnFormula>
    </tableColumn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F1BC1B9-FE8A-4D1A-B0D6-AD2A230787A3}" name="Table19" displayName="Table19" ref="B2:AU56" totalsRowShown="0" headerRowDxfId="782" dataDxfId="781" tableBorderDxfId="780" headerRowCellStyle="Comma">
  <autoFilter ref="B2:AU56" xr:uid="{BF1BC1B9-FE8A-4D1A-B0D6-AD2A230787A3}"/>
  <sortState xmlns:xlrd2="http://schemas.microsoft.com/office/spreadsheetml/2017/richdata2" ref="B3:AU56">
    <sortCondition descending="1" ref="AI2:AI56"/>
  </sortState>
  <tableColumns count="46">
    <tableColumn id="1" xr3:uid="{7C3EE43D-DD36-411D-B109-5535FACB777E}" name="A/U" dataDxfId="779"/>
    <tableColumn id="2" xr3:uid="{EB55A6BB-2A30-4A33-8BD4-9FE5D3788542}" name="General" dataDxfId="778"/>
    <tableColumn id="3" xr3:uid="{744C7A79-F5CA-430A-ADFD-29B0E2D5D2D8}" name="MC" dataDxfId="777">
      <calculatedColumnFormula>IF(ISNUMBER(MATCH(Table19[[#This Row],[General]],COVENANTS!$A$2:$A$100,0)), "Y","N")</calculatedColumnFormula>
    </tableColumn>
    <tableColumn id="4" xr3:uid="{D84F3FEE-EEB6-4D77-A9F6-0A12AA8DCEFB}" name="C1" dataDxfId="776">
      <calculatedColumnFormula>IF(ISNUMBER(MATCH(Table19[[#This Row],[General]],COVENANTS!$B$2:$B$100,0)), "Y","N")</calculatedColumnFormula>
    </tableColumn>
    <tableColumn id="5" xr3:uid="{E91494E6-A439-450D-8D51-0934EEB0E4E1}" name="C2" dataDxfId="775">
      <calculatedColumnFormula>IF(ISNUMBER(MATCH(Table19[[#This Row],[General]],COVENANTS!$C$2:$C$100,0)), "Y","N")</calculatedColumnFormula>
    </tableColumn>
    <tableColumn id="6" xr3:uid="{E7133478-2992-4712-975C-4127CD4B2F23}" name="C3" dataDxfId="774">
      <calculatedColumnFormula>IF(ISNUMBER(MATCH(Table19[[#This Row],[General]],COVENANTS!$D$2:$D$100,0)), "Y","N")</calculatedColumnFormula>
    </tableColumn>
    <tableColumn id="7" xr3:uid="{6BFDA544-6EAA-4125-AAB6-AD1ED43645AE}" name="ATK %" dataDxfId="773" dataCellStyle="Comma"/>
    <tableColumn id="8" xr3:uid="{6236A339-D396-4B53-AACB-464ADD8BE005}" name="DEF %" dataDxfId="772" dataCellStyle="Comma"/>
    <tableColumn id="9" xr3:uid="{F039D118-1D3C-443A-BAD3-8A471BDF4377}" name="HP %" dataDxfId="771" dataCellStyle="Comma"/>
    <tableColumn id="10" xr3:uid="{0B5027BA-BAFF-4180-9841-F9B738CD9823}" name="MS %" dataDxfId="770" dataCellStyle="Comma"/>
    <tableColumn id="11" xr3:uid="{B262FD67-8434-4513-95AA-0723655118E3}" name="ATK" dataDxfId="769" dataCellStyle="Comma"/>
    <tableColumn id="12" xr3:uid="{77030ED1-4412-4362-BF42-5895AC853293}" name="DEF" dataDxfId="768" dataCellStyle="Comma"/>
    <tableColumn id="13" xr3:uid="{4CBCF616-8B33-4242-A834-1385E3DB4331}" name="HP" dataDxfId="767" dataCellStyle="Comma"/>
    <tableColumn id="14" xr3:uid="{028C5511-7F1E-41A1-83AA-5C81C7A87ACE}" name="MS" dataDxfId="766" dataCellStyle="Comma"/>
    <tableColumn id="15" xr3:uid="{8F2663F0-AE31-49A7-AFB8-A0A76F6EB54D}" name="ATK2" dataDxfId="765" dataCellStyle="Comma"/>
    <tableColumn id="16" xr3:uid="{58A12588-BD0B-4B74-9F99-C657649F4978}" name="DEF3" dataDxfId="764" dataCellStyle="Comma"/>
    <tableColumn id="17" xr3:uid="{58BA498F-7D4B-45F0-9FFC-F3EF262AA08C}" name="HP4" dataDxfId="763" dataCellStyle="Comma"/>
    <tableColumn id="18" xr3:uid="{246BED4D-4A1B-4D1C-BC36-11DB43409EF6}" name="MS5" dataDxfId="762" dataCellStyle="Comma"/>
    <tableColumn id="19" xr3:uid="{83C81EB9-EEFF-4BBB-AC06-41A3118067F2}" name="ATK6" dataDxfId="761" dataCellStyle="Comma"/>
    <tableColumn id="20" xr3:uid="{3CE8EA0D-9D7A-4F87-9E15-A8F29B86045B}" name="DEF7" dataDxfId="760" dataCellStyle="Comma"/>
    <tableColumn id="21" xr3:uid="{4C84928C-DF66-4343-A177-06746AA68CFE}" name="HP8" dataDxfId="759" dataCellStyle="Comma"/>
    <tableColumn id="22" xr3:uid="{5DBFB16D-F796-4D0C-92ED-53994FBE230F}" name="MS9" dataDxfId="758" dataCellStyle="Comma"/>
    <tableColumn id="23" xr3:uid="{1B9E8BC9-9006-4C41-8108-32FCA0D285D8}" name="ATK10" dataDxfId="757" dataCellStyle="Comma"/>
    <tableColumn id="24" xr3:uid="{931BBCD6-32C4-4E6B-A259-591580ECE9FC}" name="DEF11" dataDxfId="756" dataCellStyle="Comma"/>
    <tableColumn id="25" xr3:uid="{42F33C4B-5343-45F0-860E-CCCB7F5A5BC3}" name="HP12" dataDxfId="755" dataCellStyle="Comma"/>
    <tableColumn id="26" xr3:uid="{07B9737B-ACD6-483C-AAF0-1A8F9B4E4571}" name="MS13" dataDxfId="754" dataCellStyle="Comma"/>
    <tableColumn id="27" xr3:uid="{1B397C78-0F70-45BF-9F23-C0798D5598A0}" name="ATK14" dataDxfId="753" dataCellStyle="Explanatory Text">
      <calculatedColumnFormula>900*0.1+(AM3-900)*0.2</calculatedColumnFormula>
    </tableColumn>
    <tableColumn id="28" xr3:uid="{C43B899F-92C7-4952-85E1-AE96EB4A1ACC}" name="DEF15" dataDxfId="752" dataCellStyle="Explanatory Text">
      <calculatedColumnFormula>900*0.1+(AN3-900)*0.2</calculatedColumnFormula>
    </tableColumn>
    <tableColumn id="29" xr3:uid="{21BAAD3A-0264-49C8-9864-F51DF085044D}" name="HP16" dataDxfId="751" dataCellStyle="Explanatory Text">
      <calculatedColumnFormula>900*0.1+(AO3-900)*0.2</calculatedColumnFormula>
    </tableColumn>
    <tableColumn id="30" xr3:uid="{9987F15D-BBF4-418A-9A2C-7911B8C600E3}" name="ATK17" dataDxfId="750" dataCellStyle="Comma">
      <calculatedColumnFormula>P3+T3+X3+AB3</calculatedColumnFormula>
    </tableColumn>
    <tableColumn id="31" xr3:uid="{1DCA99A5-169F-46EA-A250-31F03FA793A9}" name="DEF18" dataDxfId="749" dataCellStyle="Comma">
      <calculatedColumnFormula>Q3+U3+Y3+AC3</calculatedColumnFormula>
    </tableColumn>
    <tableColumn id="32" xr3:uid="{BBE7B779-B091-441C-BA53-9C50B38016D9}" name="HP19" dataDxfId="748" dataCellStyle="Comma">
      <calculatedColumnFormula>R3+V3+Z3+AD3</calculatedColumnFormula>
    </tableColumn>
    <tableColumn id="33" xr3:uid="{980F9528-88B3-47A7-AD23-02192ABC88B1}" name="MS20" dataDxfId="747" dataCellStyle="Comma">
      <calculatedColumnFormula>S3+W3+AA3</calculatedColumnFormula>
    </tableColumn>
    <tableColumn id="34" xr3:uid="{33B63442-8707-4E70-BAF2-79D032973D78}" name="Inc ATK" dataDxfId="746" dataCellStyle="Comma">
      <calculatedColumnFormula>(AW$2*(AH3/100)+AW$2+AW$3)*(AX$2*(AE3/100)+AX$2+AX$3)-AY$2</calculatedColumnFormula>
    </tableColumn>
    <tableColumn id="35" xr3:uid="{05C06E84-9CBA-49BD-821F-E93C706D908E}" name="ATK18" dataDxfId="745" dataCellStyle="Comma"/>
    <tableColumn id="36" xr3:uid="{8E480FD3-B7A5-459C-9771-47419F174CB2}" name="DEF182" dataDxfId="744" dataCellStyle="Comma"/>
    <tableColumn id="37" xr3:uid="{1809E34D-8700-4A19-9F29-7B93FE2CC67E}" name="LDR" dataDxfId="743" dataCellStyle="Comma"/>
    <tableColumn id="38" xr3:uid="{BA6345A0-373E-46A4-8781-16B4E29D2CFB}" name="TOTAL ATK18" dataDxfId="742" dataCellStyle="Explanatory Text">
      <calculatedColumnFormula>(AJ3+AS3*(AX$9-1))+500+((AJ3+AS3*(AX$9-1))+500)*$AY$10</calculatedColumnFormula>
    </tableColumn>
    <tableColumn id="39" xr3:uid="{9F5E4825-6090-4E05-9251-F12647F853E6}" name="TOTAL DEF182" dataDxfId="741" dataCellStyle="Explanatory Text">
      <calculatedColumnFormula>(AK3+AT3*(AX$9-1))+500+((AK3+AT3*(AX$9-1))+500)*$AY$10</calculatedColumnFormula>
    </tableColumn>
    <tableColumn id="40" xr3:uid="{8631E485-E47A-4871-9FC4-A0D87D4995E0}" name="TOTAL LDR" dataDxfId="740" dataCellStyle="Explanatory Text">
      <calculatedColumnFormula>(AL3+AU3*(AX$9-1))+500+((AL3+AU3*(AX$9-1))+500)*$AY$10</calculatedColumnFormula>
    </tableColumn>
    <tableColumn id="41" xr3:uid="{1BE0186C-8C35-491F-BFC8-B74062A6AED9}" name="ATK19" dataDxfId="739" dataCellStyle="Comma"/>
    <tableColumn id="42" xr3:uid="{56753C12-A4B6-4B28-956A-E83564B884BA}" name="DEF4" dataDxfId="738" dataCellStyle="Comma"/>
    <tableColumn id="43" xr3:uid="{1C40A34F-F783-4B51-8B81-628257C028C9}" name="LDR5" dataDxfId="737" dataCellStyle="Comma"/>
    <tableColumn id="44" xr3:uid="{888E346F-9AC4-4DE1-9424-4A868C78F263}" name="TOTAL ATK" dataDxfId="736" dataCellStyle="Explanatory Text">
      <calculatedColumnFormula>(((((1+20/100)*$AP3)*(1+20/100)))*(1+20/100))*(1+20/100)*(1+20/100)</calculatedColumnFormula>
    </tableColumn>
    <tableColumn id="45" xr3:uid="{D6F1F17B-EEA5-4B0B-8E79-7D54274C8F30}" name="TOTAL DEF" dataDxfId="735" dataCellStyle="Explanatory Text">
      <calculatedColumnFormula>(((((1+20/100)*$AQ3)*(1+20/100)))*(1+20/100))*(1+20/100)*(1+20/100)</calculatedColumnFormula>
    </tableColumn>
    <tableColumn id="46" xr3:uid="{6826C4DF-11F7-40A7-8DE5-FF73AECB43F0}" name="TOTAL LDR2" dataDxfId="734" dataCellStyle="Explanatory Text">
      <calculatedColumnFormula>(((((1+20/100)*$AR3)*(1+20/100)))*(1+20/100))*(1+20/100)*(1+20/100)</calculatedColumnFormula>
    </tableColumn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AF67471-E34E-476C-BC22-885AFDED59CB}" name="Table20" displayName="Table20" ref="B59:AI113" totalsRowShown="0" headerRowDxfId="733" dataDxfId="732" tableBorderDxfId="731" dataCellStyle="Comma">
  <autoFilter ref="B59:AI113" xr:uid="{8AF67471-E34E-476C-BC22-885AFDED59CB}"/>
  <sortState xmlns:xlrd2="http://schemas.microsoft.com/office/spreadsheetml/2017/richdata2" ref="B60:AI113">
    <sortCondition descending="1" ref="AI59:AI113"/>
  </sortState>
  <tableColumns count="34">
    <tableColumn id="1" xr3:uid="{F129B467-D844-4A5F-A961-72A37443242A}" name="A/U" dataDxfId="730"/>
    <tableColumn id="2" xr3:uid="{7B7FEB72-D59B-49AA-BDE9-4F353326DE2C}" name="General" dataDxfId="729"/>
    <tableColumn id="3" xr3:uid="{5637420F-A2C5-4C2A-819F-2FE3E32D2D7C}" name="MC" dataDxfId="728">
      <calculatedColumnFormula>IF(ISNUMBER(MATCH(Table20[[#This Row],[General]],COVENANTS!$A$2:$A$100,0)), "Y","N")</calculatedColumnFormula>
    </tableColumn>
    <tableColumn id="4" xr3:uid="{61EDC374-DEF4-4464-81AB-7D451D9EA72B}" name="C1" dataDxfId="727">
      <calculatedColumnFormula>IF(ISNUMBER(MATCH(Table20[[#This Row],[General]],COVENANTS!$B$2:$B$100,0)), "Y","N")</calculatedColumnFormula>
    </tableColumn>
    <tableColumn id="5" xr3:uid="{6AF01DB1-FC04-4D16-B475-1262492103E4}" name="C2" dataDxfId="726">
      <calculatedColumnFormula>IF(ISNUMBER(MATCH(Table20[[#This Row],[General]],COVENANTS!$C$2:$C$100,0)), "Y","N")</calculatedColumnFormula>
    </tableColumn>
    <tableColumn id="6" xr3:uid="{88CC4325-53A6-4907-AB99-5B6B2D005A53}" name="C3" dataDxfId="725">
      <calculatedColumnFormula>IF(ISNUMBER(MATCH(Table20[[#This Row],[General]],COVENANTS!$D$2:$D$100,0)), "Y","N")</calculatedColumnFormula>
    </tableColumn>
    <tableColumn id="7" xr3:uid="{00276A39-8883-4D52-8AD5-9EE986C83CA2}" name="ATK %" dataDxfId="724" dataCellStyle="Comma"/>
    <tableColumn id="8" xr3:uid="{2E6DEF07-2357-4F4C-9D02-15EC533CA5E6}" name="DEF %" dataDxfId="723" dataCellStyle="Comma"/>
    <tableColumn id="9" xr3:uid="{527C6FF2-22D5-4497-AFE8-C1532D107BDF}" name="HP %" dataDxfId="722" dataCellStyle="Comma"/>
    <tableColumn id="10" xr3:uid="{E85A0DD3-BEE5-4450-9679-4FA1685C847F}" name="MS %" dataDxfId="721" dataCellStyle="Comma"/>
    <tableColumn id="11" xr3:uid="{5C7CC889-0DB9-4E6B-AF7B-1F2DED0F1630}" name="ATK" dataDxfId="720" dataCellStyle="Comma"/>
    <tableColumn id="12" xr3:uid="{AE0612EF-D566-4BCE-AD9B-20D670D65E30}" name="DEF" dataDxfId="719" dataCellStyle="Comma"/>
    <tableColumn id="13" xr3:uid="{12DD21C6-7259-4A53-B770-ABA5FCBA6F7A}" name="HP" dataDxfId="718" dataCellStyle="Comma"/>
    <tableColumn id="14" xr3:uid="{2E4F4A96-AC5D-4204-BDD5-5B3116FAA161}" name="MS" dataDxfId="717" dataCellStyle="Comma"/>
    <tableColumn id="15" xr3:uid="{43D3608E-A466-45CD-8A2B-3B5D3C18C58E}" name="ATK2" dataDxfId="716" dataCellStyle="Comma"/>
    <tableColumn id="16" xr3:uid="{08582185-3565-4E10-A4D2-1967A07E6062}" name="DEF3" dataDxfId="715" dataCellStyle="Comma"/>
    <tableColumn id="17" xr3:uid="{A949ACFF-F496-47F2-9CCD-2782E6525793}" name="HP4" dataDxfId="714" dataCellStyle="Comma"/>
    <tableColumn id="18" xr3:uid="{A68710EB-10DC-4CF2-9C6F-8F7870CDD39A}" name="MS5" dataDxfId="713" dataCellStyle="Comma"/>
    <tableColumn id="19" xr3:uid="{53D21755-F890-4284-9335-ED0503230EFF}" name="ATK6" dataDxfId="712" dataCellStyle="Comma"/>
    <tableColumn id="20" xr3:uid="{2319ED91-3B21-4D0E-A8AE-2B1267CD513E}" name="DEF7" dataDxfId="711" dataCellStyle="Comma"/>
    <tableColumn id="21" xr3:uid="{650F246A-C685-442C-B103-8B4645C4E31E}" name="HP8" dataDxfId="710" dataCellStyle="Comma"/>
    <tableColumn id="22" xr3:uid="{153763A8-0FB6-4640-BEF7-A1C5F448FC14}" name="MS9" dataDxfId="709" dataCellStyle="Comma"/>
    <tableColumn id="23" xr3:uid="{4CA958F7-F8AF-4A1C-8D25-AAC9B40E9564}" name="ATK10" dataDxfId="708" dataCellStyle="Comma"/>
    <tableColumn id="24" xr3:uid="{BA9D5239-F12B-483B-9BFD-20FE1F946F8E}" name="DEF11" dataDxfId="707" dataCellStyle="Comma"/>
    <tableColumn id="25" xr3:uid="{C01D0887-8F47-45FF-B998-10C3C12754A9}" name="HP12" dataDxfId="706" dataCellStyle="Comma"/>
    <tableColumn id="26" xr3:uid="{D2C9F8A6-08F1-4683-AEE4-EE6823EA0E4E}" name="MS13" dataDxfId="705" dataCellStyle="Comma"/>
    <tableColumn id="27" xr3:uid="{92327A47-4645-4D47-8DCA-5CE5AE7CFA4A}" name="ATK14" dataDxfId="704" dataCellStyle="Comma"/>
    <tableColumn id="28" xr3:uid="{97E03EEF-EEE7-4DEA-96C2-9BFA1F767C26}" name="DEF15" dataDxfId="703" dataCellStyle="Comma"/>
    <tableColumn id="29" xr3:uid="{E5413F1B-09FB-4B27-A54F-4E65B7F5F988}" name="HP16" dataDxfId="702" dataCellStyle="Comma"/>
    <tableColumn id="30" xr3:uid="{9F65D9A3-1DBF-43E7-A899-25B0900CDBB4}" name="ATK17" dataDxfId="701" dataCellStyle="Comma">
      <calculatedColumnFormula>L60+T60+X60</calculatedColumnFormula>
    </tableColumn>
    <tableColumn id="31" xr3:uid="{ECFB30A0-0D2B-4D0C-8282-24E350E89320}" name="DEF18" dataDxfId="700" dataCellStyle="Comma">
      <calculatedColumnFormula>M60+U60+Y60</calculatedColumnFormula>
    </tableColumn>
    <tableColumn id="32" xr3:uid="{F03CD4FA-C69E-4BD0-8953-F3CE795E1E67}" name="HP19" dataDxfId="699" dataCellStyle="Comma">
      <calculatedColumnFormula>N60+V60+Z60</calculatedColumnFormula>
    </tableColumn>
    <tableColumn id="33" xr3:uid="{947C94B0-296B-4CFF-8FE2-06F1CE0618B0}" name="MS20" dataDxfId="698" dataCellStyle="Comma">
      <calculatedColumnFormula>O60+W60+AA60</calculatedColumnFormula>
    </tableColumn>
    <tableColumn id="34" xr3:uid="{6C0873F2-B09D-44D4-8DC2-61A84649186B}" name="Inc ATK" dataDxfId="697" dataCellStyle="Comma">
      <calculatedColumnFormula>(AW$2*(AH60/100)+AW$2+AW$3)*(AX$2*(AE60/100)+AX$2+AX$3)-AY$2</calculatedColumnFormula>
    </tableColumn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FE3321A-E10A-4421-A321-D4065B57C489}" name="Table21" displayName="Table21" ref="B2:AU57" totalsRowShown="0" headerRowDxfId="696" dataDxfId="695" tableBorderDxfId="694">
  <autoFilter ref="B2:AU57" xr:uid="{8FE3321A-E10A-4421-A321-D4065B57C489}"/>
  <sortState xmlns:xlrd2="http://schemas.microsoft.com/office/spreadsheetml/2017/richdata2" ref="B3:AU51">
    <sortCondition descending="1" ref="AI2:AI51"/>
  </sortState>
  <tableColumns count="46">
    <tableColumn id="1" xr3:uid="{B2428F9B-8E6E-4ACD-9109-36B191B4A860}" name="A/U" dataDxfId="693"/>
    <tableColumn id="2" xr3:uid="{D0CD5AB3-2D24-4A0F-B19F-A8DB93E1F41C}" name="General" dataDxfId="692"/>
    <tableColumn id="3" xr3:uid="{3F552114-758F-4573-BD22-4FE40A9A592D}" name="MC" dataDxfId="691">
      <calculatedColumnFormula>IF(ISNUMBER(MATCH(Table21[[#This Row],[General]],COVENANTS!$A$2:$A$100,0)), "Y","N")</calculatedColumnFormula>
    </tableColumn>
    <tableColumn id="4" xr3:uid="{3F688AE1-2177-4E7A-AF1B-87B6872FEF86}" name="C1" dataDxfId="690">
      <calculatedColumnFormula>IF(ISNUMBER(MATCH(Table21[[#This Row],[General]],COVENANTS!$B$2:$B$100,0)), "Y","N")</calculatedColumnFormula>
    </tableColumn>
    <tableColumn id="5" xr3:uid="{CCD34B53-D2E6-4442-8DFD-ABA1A36E79CA}" name="C2" dataDxfId="689">
      <calculatedColumnFormula>IF(ISNUMBER(MATCH(Table21[[#This Row],[General]],COVENANTS!$C$2:$C$100,0)), "Y","N")</calculatedColumnFormula>
    </tableColumn>
    <tableColumn id="6" xr3:uid="{048CF405-CAF8-46D9-A260-AB4505971240}" name="C3" dataDxfId="688">
      <calculatedColumnFormula>IF(ISNUMBER(MATCH(Table21[[#This Row],[General]],COVENANTS!$D$2:$D$100,0)), "Y","N")</calculatedColumnFormula>
    </tableColumn>
    <tableColumn id="7" xr3:uid="{28D317DC-0D8B-4CA8-B1FA-94BD8727E2DE}" name="ATK %" dataDxfId="687" dataCellStyle="Comma"/>
    <tableColumn id="8" xr3:uid="{A50514B7-3254-48D6-874D-6AB25CAF17DC}" name="DEF %" dataDxfId="686" dataCellStyle="Comma"/>
    <tableColumn id="9" xr3:uid="{1517046E-A967-4D7F-B699-CE6DAE90695A}" name="HP %" dataDxfId="685" dataCellStyle="Comma"/>
    <tableColumn id="10" xr3:uid="{8A746B69-52B7-4980-8680-9EA1A32954A6}" name="MS %" dataDxfId="684" dataCellStyle="Comma"/>
    <tableColumn id="11" xr3:uid="{290924D4-24AF-4B6E-A15C-6796589A88D0}" name="ATK" dataDxfId="683" dataCellStyle="Comma"/>
    <tableColumn id="12" xr3:uid="{0A5D4D5A-67EF-4E0E-8903-5E897602DBB4}" name="DEF" dataDxfId="682" dataCellStyle="Comma"/>
    <tableColumn id="13" xr3:uid="{08098FF2-46E1-429D-A8F3-CD3DEC3AD30B}" name="HP" dataDxfId="681" dataCellStyle="Comma"/>
    <tableColumn id="14" xr3:uid="{4821AA4F-6744-4BD1-9D26-20FAF0F2296A}" name="MS" dataDxfId="680" dataCellStyle="Comma"/>
    <tableColumn id="15" xr3:uid="{34745E4B-EABE-4A8F-B75F-8DD12FA12DC6}" name="ATK2" dataDxfId="679" dataCellStyle="Comma"/>
    <tableColumn id="16" xr3:uid="{E3A59C4E-715C-4E0E-B9BE-BEC6AD32C2F0}" name="DEF3" dataDxfId="678" dataCellStyle="Comma"/>
    <tableColumn id="17" xr3:uid="{8F61B3ED-4041-4F7E-94EC-40FA3B846E94}" name="HP4" dataDxfId="677" dataCellStyle="Comma"/>
    <tableColumn id="18" xr3:uid="{DA6D523D-4045-435E-A312-1942EAE29F15}" name="MS5" dataDxfId="676" dataCellStyle="Comma"/>
    <tableColumn id="19" xr3:uid="{4EB0F9D0-6597-4F40-955F-ACD51751D876}" name="ATK6" dataDxfId="675" dataCellStyle="Comma"/>
    <tableColumn id="20" xr3:uid="{4BF71CA4-9BC9-499E-B2B2-A5F3BFEFB9AA}" name="DEF7" dataDxfId="674" dataCellStyle="Comma"/>
    <tableColumn id="21" xr3:uid="{404A9955-A3C9-4B93-B0AE-F6A259AE02E6}" name="HP8" dataDxfId="673" dataCellStyle="Comma"/>
    <tableColumn id="22" xr3:uid="{81210CB2-7322-4BDA-9D60-37DB617328F5}" name="MS9" dataDxfId="672" dataCellStyle="Comma"/>
    <tableColumn id="23" xr3:uid="{E000D209-6A01-415E-837D-A544793FFA20}" name="ATK10" dataDxfId="671" dataCellStyle="Comma"/>
    <tableColumn id="24" xr3:uid="{ADB233ED-890F-4076-ACBB-D80D32627FB2}" name="DEF11" dataDxfId="670" dataCellStyle="Comma"/>
    <tableColumn id="25" xr3:uid="{1336C0F0-9E2B-44FC-8686-3C3D86D366BB}" name="HP12" dataDxfId="669" dataCellStyle="Comma"/>
    <tableColumn id="26" xr3:uid="{24C806A1-6C26-44AA-8958-E10659D6037F}" name="MS13" dataDxfId="668" dataCellStyle="Comma"/>
    <tableColumn id="27" xr3:uid="{F577EB36-1EFA-45A7-87B5-4305D1FFB572}" name="ATK14" dataDxfId="667" dataCellStyle="Explanatory Text">
      <calculatedColumnFormula>900*0.1+(AM3-900)*0.2</calculatedColumnFormula>
    </tableColumn>
    <tableColumn id="28" xr3:uid="{2F3BACC7-63FA-4398-A7BD-00CD32620813}" name="DEF15" dataDxfId="666" dataCellStyle="Explanatory Text">
      <calculatedColumnFormula>900*0.1+(AN3-900)*0.2</calculatedColumnFormula>
    </tableColumn>
    <tableColumn id="29" xr3:uid="{E806FD23-90F3-4870-BE32-962BF8FA5A46}" name="HP16" dataDxfId="665" dataCellStyle="Explanatory Text">
      <calculatedColumnFormula>900*0.1+(AO3-900)*0.2</calculatedColumnFormula>
    </tableColumn>
    <tableColumn id="30" xr3:uid="{C2E036EF-BB44-484F-98FC-DB7E2922A972}" name="ATK17" dataDxfId="664" dataCellStyle="Comma">
      <calculatedColumnFormula>P3+T3+X3+AB3</calculatedColumnFormula>
    </tableColumn>
    <tableColumn id="31" xr3:uid="{3BEC1331-72FB-4460-B76E-ED75CE744420}" name="DEF18" dataDxfId="663" dataCellStyle="Comma">
      <calculatedColumnFormula>Q3+U3+Y3+AC3</calculatedColumnFormula>
    </tableColumn>
    <tableColumn id="32" xr3:uid="{E9E2C3CB-D611-42C4-BACE-D03BC2E3ECA4}" name="HP19" dataDxfId="662" dataCellStyle="Comma">
      <calculatedColumnFormula>R3+V3+Z3+AD3</calculatedColumnFormula>
    </tableColumn>
    <tableColumn id="33" xr3:uid="{4F3C9027-F695-4DC8-A69E-C68E9D08FFF0}" name="MS20" dataDxfId="661" dataCellStyle="Comma">
      <calculatedColumnFormula>S3+W3+AA3</calculatedColumnFormula>
    </tableColumn>
    <tableColumn id="34" xr3:uid="{B1F1E397-A770-44FF-AC9A-3A44151F5F7C}" name="Inc ATK" dataDxfId="660" dataCellStyle="Comma">
      <calculatedColumnFormula>(AW$2*(AH3/100)+AW$2+AW$3)*(AX$2*(AE3/100)+AX$2+AX$3)-AY$2</calculatedColumnFormula>
    </tableColumn>
    <tableColumn id="35" xr3:uid="{9DDFFA93-B5E6-4FD4-9658-636605B0DACC}" name="ATK18" dataDxfId="659" dataCellStyle="Comma"/>
    <tableColumn id="36" xr3:uid="{8DB3BEDD-9E3F-4049-9ABF-C3250AA0474A}" name="DEF182" dataDxfId="658" dataCellStyle="Comma"/>
    <tableColumn id="37" xr3:uid="{3D75E08F-0B73-4DA8-B162-9C5879AC0FE9}" name="LDR" dataDxfId="657" dataCellStyle="Comma"/>
    <tableColumn id="38" xr3:uid="{6C16443E-0D0A-43B0-94B2-605C947C7A40}" name="TOTAL ATK18" dataDxfId="656" dataCellStyle="Explanatory Text">
      <calculatedColumnFormula>(AJ3+AS3*(AX$9-1))+500+((AJ3+AS3*(AX$9-1))+500)*$AY$10</calculatedColumnFormula>
    </tableColumn>
    <tableColumn id="39" xr3:uid="{2BAB16A2-EBF4-43B3-9C3C-4B857C268C1A}" name="TOTAL DEF182" dataDxfId="655" dataCellStyle="Explanatory Text">
      <calculatedColumnFormula>(AK3+AT3*(AX$9-1))+500+((AK3+AT3*(AX$9-1))+500)*$AY$10</calculatedColumnFormula>
    </tableColumn>
    <tableColumn id="40" xr3:uid="{1FA7CFF7-AF0E-42E7-B61A-BD446796660D}" name="TOTAL LDR" dataDxfId="654" dataCellStyle="Explanatory Text">
      <calculatedColumnFormula>(AL3+AU3*(AX$9-1))+500+((AL3+AU3*(AX$9-1))+500)*$AY$10</calculatedColumnFormula>
    </tableColumn>
    <tableColumn id="41" xr3:uid="{788F15DB-902C-4D3E-9365-F3EB475FEF80}" name="ATK19" dataDxfId="653" dataCellStyle="Comma"/>
    <tableColumn id="42" xr3:uid="{9C505B40-F97D-41A8-947F-4CC648DAC317}" name="DEF4" dataDxfId="652" dataCellStyle="Comma"/>
    <tableColumn id="43" xr3:uid="{72610F25-F19B-40F1-8B09-FA44373617E4}" name="LDR5" dataDxfId="651" dataCellStyle="Comma"/>
    <tableColumn id="44" xr3:uid="{12F91E10-5C38-4084-9A0A-F9B6D99924BE}" name="TOTAL ATK" dataDxfId="650" dataCellStyle="Explanatory Text">
      <calculatedColumnFormula>(((((1+20/100)*$AP3)*(1+20/100)))*(1+20/100))*(1+20/100)*(1+20/100)</calculatedColumnFormula>
    </tableColumn>
    <tableColumn id="45" xr3:uid="{B01714F9-5DEF-4DD3-89F6-8E712BC9E8D6}" name="TOTAL DEF" dataDxfId="649" dataCellStyle="Explanatory Text">
      <calculatedColumnFormula>(((((1+20/100)*$AQ3)*(1+20/100)))*(1+20/100))*(1+20/100)*(1+20/100)</calculatedColumnFormula>
    </tableColumn>
    <tableColumn id="46" xr3:uid="{5F5CE423-F428-4520-BAFD-F8E7802D4A6A}" name="TOTAL LDR2" dataDxfId="648" dataCellStyle="Explanatory Text">
      <calculatedColumnFormula>(((((1+20/100)*$AR3)*(1+20/100)))*(1+20/100))*(1+20/100)*(1+20/100)</calculatedColumnFormula>
    </tableColumn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4C4D8BD-D9EC-4705-ACDD-77F7FCF697E0}" name="Table23" displayName="Table23" ref="B60:AI115" totalsRowShown="0" headerRowDxfId="647" dataDxfId="646" tableBorderDxfId="645" dataCellStyle="Comma">
  <autoFilter ref="B60:AI115" xr:uid="{C4C4D8BD-D9EC-4705-ACDD-77F7FCF697E0}"/>
  <sortState xmlns:xlrd2="http://schemas.microsoft.com/office/spreadsheetml/2017/richdata2" ref="B61:AI109">
    <sortCondition descending="1" ref="AI60:AI109"/>
  </sortState>
  <tableColumns count="34">
    <tableColumn id="1" xr3:uid="{7D5E56EF-6FEE-4A52-821C-E9DC21889AD1}" name="A/U" dataDxfId="644"/>
    <tableColumn id="2" xr3:uid="{7321DF86-991C-4DC5-969D-975B70ED2150}" name="General" dataDxfId="643"/>
    <tableColumn id="3" xr3:uid="{3698321B-741E-4A03-91B8-AE6DE47C714E}" name="MC" dataDxfId="642">
      <calculatedColumnFormula>IF(ISNUMBER(MATCH(Table23[[#This Row],[General]],COVENANTS!$A$2:$A$100,0)), "Y","N")</calculatedColumnFormula>
    </tableColumn>
    <tableColumn id="4" xr3:uid="{6B49381E-0790-41C6-812F-DB52292AFDDA}" name="C1" dataDxfId="641">
      <calculatedColumnFormula>IF(ISNUMBER(MATCH(Table23[[#This Row],[General]],COVENANTS!$B$2:$B$100,0)), "Y","N")</calculatedColumnFormula>
    </tableColumn>
    <tableColumn id="5" xr3:uid="{D941F00A-A4A3-49DB-806D-C1CDE3E90BB9}" name="C2" dataDxfId="640">
      <calculatedColumnFormula>IF(ISNUMBER(MATCH(Table23[[#This Row],[General]],COVENANTS!$C$2:$C$100,0)), "Y","N")</calculatedColumnFormula>
    </tableColumn>
    <tableColumn id="6" xr3:uid="{7B043484-4988-44BA-A239-C44B2E132F96}" name="C3" dataDxfId="639">
      <calculatedColumnFormula>IF(ISNUMBER(MATCH(Table23[[#This Row],[General]],COVENANTS!$D$2:$D$100,0)), "Y","N")</calculatedColumnFormula>
    </tableColumn>
    <tableColumn id="7" xr3:uid="{7153D0D8-DF94-4544-A2E9-595298749795}" name="ATK %" dataDxfId="638" dataCellStyle="Comma"/>
    <tableColumn id="8" xr3:uid="{291261E6-3A7C-4086-B22C-20EEB9446C16}" name="DEF %" dataDxfId="637" dataCellStyle="Comma"/>
    <tableColumn id="9" xr3:uid="{3BF62C5B-A522-47DD-AF48-C571F6DECED5}" name="HP %" dataDxfId="636" dataCellStyle="Comma"/>
    <tableColumn id="10" xr3:uid="{51333C93-56B5-4EDD-8C4B-69FEA44BAE1F}" name="MS %" dataDxfId="635" dataCellStyle="Comma"/>
    <tableColumn id="11" xr3:uid="{D0BC5731-0C90-40FB-AA73-E92BB11846DC}" name="ATK" dataDxfId="634" dataCellStyle="Comma"/>
    <tableColumn id="12" xr3:uid="{9BF0DA68-3B2F-44B8-9FE5-DE4914C7128D}" name="DEF" dataDxfId="633" dataCellStyle="Comma"/>
    <tableColumn id="13" xr3:uid="{F9599763-9708-4D0F-A3D7-7850CFC486D2}" name="HP" dataDxfId="632" dataCellStyle="Comma"/>
    <tableColumn id="14" xr3:uid="{A30F348B-3BBD-43FC-99EA-E0ADB497356B}" name="MS" dataDxfId="631" dataCellStyle="Comma"/>
    <tableColumn id="15" xr3:uid="{F65AF08C-5235-4BD0-B33C-533172F0AB88}" name="ATK2" dataDxfId="630" dataCellStyle="Comma"/>
    <tableColumn id="16" xr3:uid="{CFBEA8F0-CD21-4081-BB51-98AEAF16E810}" name="DEF3" dataDxfId="629" dataCellStyle="Comma"/>
    <tableColumn id="17" xr3:uid="{29DEF722-FE6B-439F-BE55-1E1E78DA3DD1}" name="HP4" dataDxfId="628" dataCellStyle="Comma"/>
    <tableColumn id="18" xr3:uid="{C8C16A7F-C16A-4F1E-9039-5FB566C01299}" name="MS5" dataDxfId="627" dataCellStyle="Comma"/>
    <tableColumn id="19" xr3:uid="{412459DA-EC0F-419E-9389-928398AAAC16}" name="ATK6" dataDxfId="626" dataCellStyle="Comma"/>
    <tableColumn id="20" xr3:uid="{D64F3F10-2F34-4716-B44E-DC1CC99CB6DF}" name="DEF7" dataDxfId="625" dataCellStyle="Comma"/>
    <tableColumn id="21" xr3:uid="{134EA80D-1EAD-4EF7-AAE7-26AC9243EABB}" name="HP8" dataDxfId="624" dataCellStyle="Comma"/>
    <tableColumn id="22" xr3:uid="{BC42A037-391A-4F99-9258-D2D4CFA817F2}" name="MS9" dataDxfId="623" dataCellStyle="Comma"/>
    <tableColumn id="23" xr3:uid="{289B63E1-1C31-414E-B4EE-18AF36EA9552}" name="ATK10" dataDxfId="622" dataCellStyle="Comma"/>
    <tableColumn id="24" xr3:uid="{F1C48C54-FE1F-4E4A-B240-CB050752EE9F}" name="DEF11" dataDxfId="621" dataCellStyle="Comma"/>
    <tableColumn id="25" xr3:uid="{F4170A07-D7CE-49A1-A8CC-4704206459D7}" name="HP12" dataDxfId="620" dataCellStyle="Comma"/>
    <tableColumn id="26" xr3:uid="{5020EDC7-67F2-48EB-B237-F95AC019A8D3}" name="MS13" dataDxfId="619" dataCellStyle="Comma"/>
    <tableColumn id="27" xr3:uid="{0F82003E-5A98-4A22-BE94-157E2AC6CE2D}" name="ATK14" dataDxfId="618" dataCellStyle="Comma"/>
    <tableColumn id="28" xr3:uid="{A143730F-5F3C-489C-8D2A-3F48B58C5624}" name="DEF15" dataDxfId="617" dataCellStyle="Comma"/>
    <tableColumn id="29" xr3:uid="{E1CABD79-0A42-4046-90EA-FCC03B1054F5}" name="HP16" dataDxfId="616" dataCellStyle="Comma"/>
    <tableColumn id="30" xr3:uid="{E67E799C-A04C-4FAC-97CB-39804B607336}" name="ATK17" dataDxfId="615" dataCellStyle="Comma">
      <calculatedColumnFormula>L61+T61+X61</calculatedColumnFormula>
    </tableColumn>
    <tableColumn id="31" xr3:uid="{D2D13BD3-5A75-4FAC-B66E-348FC8B1B951}" name="DEF18" dataDxfId="614" dataCellStyle="Comma">
      <calculatedColumnFormula>M61+U61+Y61</calculatedColumnFormula>
    </tableColumn>
    <tableColumn id="32" xr3:uid="{CAFD6B32-F183-4CF0-B0E6-BABD0FBF4014}" name="HP19" dataDxfId="613" dataCellStyle="Comma">
      <calculatedColumnFormula>N61+V61+Z61</calculatedColumnFormula>
    </tableColumn>
    <tableColumn id="33" xr3:uid="{76003320-99A0-4BAC-AE0F-3360E08AB72D}" name="MS20" dataDxfId="612" dataCellStyle="Comma">
      <calculatedColumnFormula>O61+W61+AA61</calculatedColumnFormula>
    </tableColumn>
    <tableColumn id="34" xr3:uid="{B252E337-1969-44A2-A867-F23392F4E7E8}" name="Inc ATK" dataDxfId="611" dataCellStyle="Comma">
      <calculatedColumnFormula>(AW$2*(AH61/100)+AW$2+AW$3)*(AX$2*(AE61/100)+AX$2+AX$3)-AY$2</calculatedColumnFormula>
    </tableColumn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2A7B33-F7F0-412C-8459-55C9152FE7E9}" name="Table5" displayName="Table5" ref="B3:BO60" totalsRowShown="0" headerRowDxfId="610" dataDxfId="609" tableBorderDxfId="608" dataCellStyle="Comma">
  <autoFilter ref="B3:BO60" xr:uid="{A92A7B33-F7F0-412C-8459-55C9152FE7E9}"/>
  <sortState xmlns:xlrd2="http://schemas.microsoft.com/office/spreadsheetml/2017/richdata2" ref="B4:BO53">
    <sortCondition descending="1" ref="BK3:BK53"/>
  </sortState>
  <tableColumns count="66">
    <tableColumn id="1" xr3:uid="{96B21457-D1DB-49DE-B936-635D82498CFE}" name="General" dataDxfId="607"/>
    <tableColumn id="2" xr3:uid="{CC97B564-3D67-4AB2-A1F4-22BCE4D8934D}" name="ATK" dataDxfId="606" dataCellStyle="Comma"/>
    <tableColumn id="3" xr3:uid="{AE431DBF-9D06-41B2-B8CA-7FF7BC66E234}" name="DEF" dataDxfId="605" dataCellStyle="Comma"/>
    <tableColumn id="4" xr3:uid="{A5F17F75-390A-4B02-BB2D-45F2ABAB5D77}" name="HP" dataDxfId="604" dataCellStyle="Comma"/>
    <tableColumn id="5" xr3:uid="{0B30176B-3DB1-4F81-AFEF-384DADE3BC65}" name="ATK2" dataDxfId="603" dataCellStyle="Comma"/>
    <tableColumn id="6" xr3:uid="{CF0B546A-A606-40DB-A7F7-82A82C1E7D76}" name="DEF3" dataDxfId="602" dataCellStyle="Comma"/>
    <tableColumn id="7" xr3:uid="{D160138C-4573-46F4-B2B3-A30EECBF1BA4}" name="HP4" dataDxfId="601" dataCellStyle="Comma"/>
    <tableColumn id="8" xr3:uid="{E1914745-E762-4ADF-892F-066B6E75C555}" name="ATK5" dataDxfId="600" dataCellStyle="Comma"/>
    <tableColumn id="9" xr3:uid="{3AC3E38C-28C8-41D2-ABC5-B64377A29D79}" name="DEF6" dataDxfId="599" dataCellStyle="Comma"/>
    <tableColumn id="10" xr3:uid="{D7894EF3-DF72-489A-9A51-EB00363F83B2}" name="HP7" dataDxfId="598" dataCellStyle="Comma"/>
    <tableColumn id="11" xr3:uid="{38B39469-4906-4D81-9BE4-5CD05CC50EF0}" name="ATK8" dataDxfId="597" dataCellStyle="Comma"/>
    <tableColumn id="12" xr3:uid="{AB78F6FB-5BC7-4828-A9D3-DFD80296DFB4}" name="DEF9" dataDxfId="596" dataCellStyle="Comma"/>
    <tableColumn id="13" xr3:uid="{A60236AD-A57A-4E48-8EF5-796925911C6E}" name="HP10" dataDxfId="595" dataCellStyle="Comma"/>
    <tableColumn id="14" xr3:uid="{364F251A-F8B1-44E2-B656-6DE37FC9F8D3}" name="ATK11" dataDxfId="594" dataCellStyle="Comma"/>
    <tableColumn id="15" xr3:uid="{C6BB1CF3-BC13-47D2-8687-323ECB17F326}" name="DEF12" dataDxfId="593" dataCellStyle="Comma"/>
    <tableColumn id="16" xr3:uid="{42676AB0-0E5D-41E5-A844-11FECDE11E63}" name="HP13" dataDxfId="592" dataCellStyle="Comma"/>
    <tableColumn id="17" xr3:uid="{C327D81C-D47C-4D74-BF03-8BFC046416AD}" name="ATK14" dataDxfId="591" dataCellStyle="Comma"/>
    <tableColumn id="18" xr3:uid="{C3E9DD1F-FADA-4FA9-A92D-0EC7B8425AA9}" name="DEF15" dataDxfId="590" dataCellStyle="Comma"/>
    <tableColumn id="19" xr3:uid="{F4DC24B3-E85C-4C35-B4C0-08D234FC03FA}" name="HP16" dataDxfId="589" dataCellStyle="Comma"/>
    <tableColumn id="20" xr3:uid="{7F540023-7C60-4E87-A9BE-952DEF49D11B}" name="ATK17" dataDxfId="588" dataCellStyle="Comma"/>
    <tableColumn id="21" xr3:uid="{44D13E51-AE6F-4E5A-A8AC-162E9CAB4FC6}" name="DEF18" dataDxfId="587" dataCellStyle="Comma"/>
    <tableColumn id="22" xr3:uid="{763CB9C2-EA94-4114-9D0D-4E4C0408CCD1}" name="HP19" dataDxfId="586" dataCellStyle="Comma"/>
    <tableColumn id="23" xr3:uid="{73304F00-AEF7-4E4E-A41C-8A5DEC9451A1}" name="ATK20" dataDxfId="585" dataCellStyle="Comma"/>
    <tableColumn id="24" xr3:uid="{0D09B5CE-29CF-4E42-B2C8-772E05F19A30}" name="DEF21" dataDxfId="584" dataCellStyle="Comma"/>
    <tableColumn id="25" xr3:uid="{1C383E84-B3AF-4162-A9C0-A4008F0C5EFF}" name="HP22" dataDxfId="583" dataCellStyle="Comma"/>
    <tableColumn id="26" xr3:uid="{02A8387E-D0D3-4B97-898E-CC9A157F50D4}" name="ATK23" dataDxfId="582" dataCellStyle="Comma"/>
    <tableColumn id="27" xr3:uid="{9247FC95-0D64-44EC-AE58-064BCFFA2983}" name="DEF24" dataDxfId="581" dataCellStyle="Comma"/>
    <tableColumn id="28" xr3:uid="{B0C5664A-7D2D-415F-B6EC-BD7C2B249558}" name="HP25" dataDxfId="580" dataCellStyle="Comma"/>
    <tableColumn id="29" xr3:uid="{0CEFBAFE-9A6E-4832-A359-1DBAB9F083AB}" name="ATK26" dataDxfId="579" dataCellStyle="Comma"/>
    <tableColumn id="30" xr3:uid="{485D6357-A616-49EE-B837-3ED2C3988ACD}" name="DEF27" dataDxfId="578" dataCellStyle="Comma"/>
    <tableColumn id="31" xr3:uid="{1A000B60-1992-4184-B77D-F75E651EC48D}" name="HP28" dataDxfId="577" dataCellStyle="Comma"/>
    <tableColumn id="32" xr3:uid="{FC64853A-DBB2-46C5-9D1C-8155B2AD708E}" name="ATK29" dataDxfId="576" dataCellStyle="Comma"/>
    <tableColumn id="33" xr3:uid="{3930089D-1DBB-4697-9A84-891E379C8423}" name="DEF30" dataDxfId="575" dataCellStyle="Comma"/>
    <tableColumn id="34" xr3:uid="{DCF32126-F745-4FEA-8DFE-B15D8ABC1251}" name="HP31" dataDxfId="574" dataCellStyle="Comma"/>
    <tableColumn id="35" xr3:uid="{0E543C74-206D-4547-B92A-BC49F19F22BB}" name="ATK32" dataDxfId="573" dataCellStyle="Comma"/>
    <tableColumn id="36" xr3:uid="{093A97BC-53AB-4789-90ED-A41202C87793}" name="DEF33" dataDxfId="572" dataCellStyle="Comma"/>
    <tableColumn id="37" xr3:uid="{41B3A9D5-798A-404C-9F99-EC6A74898D4B}" name="HP34" dataDxfId="571" dataCellStyle="Comma"/>
    <tableColumn id="38" xr3:uid="{B21A3B2E-D884-4246-B9A0-32EB65938020}" name="ATK232" dataDxfId="570" dataCellStyle="Comma"/>
    <tableColumn id="39" xr3:uid="{ED097F86-409E-4415-AC48-8A5BD09AB32F}" name="DEF243" dataDxfId="569" dataCellStyle="Comma"/>
    <tableColumn id="40" xr3:uid="{C8A2B0FE-CE62-471E-920C-A809B2EE8AB1}" name="HP254" dataDxfId="568" dataCellStyle="Comma"/>
    <tableColumn id="41" xr3:uid="{91A42D52-FD94-46C0-A010-1E5A39D57661}" name="ATK265" dataDxfId="567" dataCellStyle="Comma"/>
    <tableColumn id="42" xr3:uid="{D8512F47-E141-4D11-97EE-A01E911E6DA7}" name="DEF276" dataDxfId="566" dataCellStyle="Comma"/>
    <tableColumn id="43" xr3:uid="{3F9F5230-A014-4E71-89ED-D6F4BE514CB8}" name="HP287" dataDxfId="565" dataCellStyle="Comma"/>
    <tableColumn id="44" xr3:uid="{E0837808-BAD1-48B8-AAFD-5D9BA4A1B93D}" name="ATK298" dataDxfId="564" dataCellStyle="Comma"/>
    <tableColumn id="45" xr3:uid="{EBFBA209-428F-4BE2-8849-241135BBADA6}" name="DEF309" dataDxfId="563" dataCellStyle="Comma"/>
    <tableColumn id="46" xr3:uid="{24F73267-4396-45EA-82D3-A2B04358E67E}" name="HP3110" dataDxfId="562" dataCellStyle="Comma"/>
    <tableColumn id="47" xr3:uid="{CFAC297F-B65B-47FB-82B6-9CF273631236}" name="ATK3211" dataDxfId="561" dataCellStyle="Comma"/>
    <tableColumn id="48" xr3:uid="{BEAA2126-F381-40A9-9C97-469E51233395}" name="DEF3312" dataDxfId="560" dataCellStyle="Comma"/>
    <tableColumn id="49" xr3:uid="{F62FA97A-E74E-433C-9D57-87B9D1CEB717}" name="HP3413" dataDxfId="559" dataCellStyle="Comma"/>
    <tableColumn id="50" xr3:uid="{0E19B399-7C2B-4ADA-A1DC-33800283FC8E}" name="ATK35" dataDxfId="558" dataCellStyle="Comma">
      <calculatedColumnFormula>O4+AA4+AM4</calculatedColumnFormula>
    </tableColumn>
    <tableColumn id="51" xr3:uid="{C464965A-2421-49C5-8836-3BD48C421701}" name="DEF36" dataDxfId="557" dataCellStyle="Comma">
      <calculatedColumnFormula>P4+AB4+AN4</calculatedColumnFormula>
    </tableColumn>
    <tableColumn id="52" xr3:uid="{727DB294-F9B8-44D9-90C1-B41CB777AF05}" name="HP37" dataDxfId="556" dataCellStyle="Comma">
      <calculatedColumnFormula>Q4+AC4+AO4</calculatedColumnFormula>
    </tableColumn>
    <tableColumn id="53" xr3:uid="{2A56D413-BF7F-47EF-B288-3223B8538AA0}" name="ATK38" dataDxfId="555" dataCellStyle="Comma">
      <calculatedColumnFormula>R4+AD4+AP4</calculatedColumnFormula>
    </tableColumn>
    <tableColumn id="54" xr3:uid="{C4C4035E-0D5C-4ABF-AA7E-EC318133191F}" name="DEF39" dataDxfId="554" dataCellStyle="Comma">
      <calculatedColumnFormula>S4+AE4+AQ4</calculatedColumnFormula>
    </tableColumn>
    <tableColumn id="55" xr3:uid="{02675557-78FB-4C89-BFFC-232962710311}" name="HP40" dataDxfId="553" dataCellStyle="Comma">
      <calculatedColumnFormula>T4+AF4+AR4</calculatedColumnFormula>
    </tableColumn>
    <tableColumn id="56" xr3:uid="{8500F685-A7E4-4F6F-9647-7501B80DDD6C}" name="ATK41" dataDxfId="552" dataCellStyle="Comma">
      <calculatedColumnFormula>U4+AG4+AS4</calculatedColumnFormula>
    </tableColumn>
    <tableColumn id="57" xr3:uid="{F8F6508A-8671-4ECD-8B8A-DE7CC2C9FEAF}" name="DEF42" dataDxfId="551" dataCellStyle="Comma">
      <calculatedColumnFormula>V4+AH4+AT4</calculatedColumnFormula>
    </tableColumn>
    <tableColumn id="58" xr3:uid="{AE0351D8-037D-4461-AAC2-A9635060C400}" name="HP43" dataDxfId="550" dataCellStyle="Comma">
      <calculatedColumnFormula>W4+AI4+AU4</calculatedColumnFormula>
    </tableColumn>
    <tableColumn id="59" xr3:uid="{0DD2FE8B-4C6C-4BBC-A780-7ABB077FD298}" name="ATK44" dataDxfId="549" dataCellStyle="Comma">
      <calculatedColumnFormula>X4+AJ4+AV4</calculatedColumnFormula>
    </tableColumn>
    <tableColumn id="60" xr3:uid="{B2A32DE0-139A-492A-A462-6801A33CFEA1}" name="DEF45" dataDxfId="548" dataCellStyle="Comma">
      <calculatedColumnFormula>Y4+AK4+AW4</calculatedColumnFormula>
    </tableColumn>
    <tableColumn id="61" xr3:uid="{9CA2F1E1-9E96-4214-B712-42F315AD9EF1}" name="HP46" dataDxfId="547" dataCellStyle="Comma">
      <calculatedColumnFormula>Z4+AL4+AX4</calculatedColumnFormula>
    </tableColumn>
    <tableColumn id="62" xr3:uid="{600E5913-F10C-489B-9791-29D02F647872}" name="Totals" dataDxfId="546" dataCellStyle="Comma">
      <calculatedColumnFormula>BL4+BM4+BN4+BO4</calculatedColumnFormula>
    </tableColumn>
    <tableColumn id="63" xr3:uid="{14255D13-0E2C-468B-BC19-8FBD9BAB647A}" name="Mounted" dataDxfId="545" dataCellStyle="Comma">
      <calculatedColumnFormula>AY4+AZ4+BA4</calculatedColumnFormula>
    </tableColumn>
    <tableColumn id="64" xr3:uid="{AFC606BE-C2E7-42FD-870F-8DCA4F804B99}" name="Ground" dataDxfId="544" dataCellStyle="Comma">
      <calculatedColumnFormula>BB4+BC4+BD4</calculatedColumnFormula>
    </tableColumn>
    <tableColumn id="65" xr3:uid="{5880D432-41E0-4835-B6EA-D894464948E6}" name="Ranged" dataDxfId="543" dataCellStyle="Comma">
      <calculatedColumnFormula>BE4+BF4+BG4</calculatedColumnFormula>
    </tableColumn>
    <tableColumn id="66" xr3:uid="{9D8C639F-1781-4E78-9161-E10770A15B8E}" name="Siege" dataDxfId="542" dataCellStyle="Comma">
      <calculatedColumnFormula>BH4+BI4+BJ4</calculatedColumnFormula>
    </tableColumn>
  </tableColumns>
  <tableStyleInfo name="TableStyleMedium2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E691B33-42DF-4A7B-9BBB-DB0CA660C452}" name="Table17" displayName="Table17" ref="B2:CD113" headerRowDxfId="541" dataDxfId="540" totalsRowDxfId="539" dataCellStyle="Comma">
  <autoFilter ref="B2:CD113" xr:uid="{5E691B33-42DF-4A7B-9BBB-DB0CA660C452}"/>
  <sortState xmlns:xlrd2="http://schemas.microsoft.com/office/spreadsheetml/2017/richdata2" ref="B3:CD113">
    <sortCondition descending="1" ref="BK2:BK113"/>
  </sortState>
  <tableColumns count="81">
    <tableColumn id="1" xr3:uid="{BF799679-CCAE-4419-9D45-ECB8AA65FDED}" name="General" totalsRowLabel="Total" dataDxfId="538"/>
    <tableColumn id="2" xr3:uid="{97AB2593-117B-4792-9C7F-0184914BB51E}" name="ATK" dataDxfId="537" totalsRowDxfId="536" dataCellStyle="Comma"/>
    <tableColumn id="3" xr3:uid="{9D771A34-6F24-42CC-B3E1-20B2F398C74D}" name="DEF" dataDxfId="535" totalsRowDxfId="534" dataCellStyle="Comma"/>
    <tableColumn id="4" xr3:uid="{F0C6A43D-E6A1-4FDA-8C87-A40C8F968C8B}" name="HP" dataDxfId="533" totalsRowDxfId="532" dataCellStyle="Comma"/>
    <tableColumn id="5" xr3:uid="{FB6A2783-0054-4536-9F43-4786BDB553F5}" name="ATK2" dataDxfId="531" totalsRowDxfId="530" dataCellStyle="Comma"/>
    <tableColumn id="6" xr3:uid="{CB858C55-12E5-41B1-891D-95B30266EA3A}" name="DEF3" dataDxfId="529" totalsRowDxfId="528" dataCellStyle="Comma"/>
    <tableColumn id="7" xr3:uid="{D8797CA7-18AD-4A8E-84C6-9BB506650700}" name="HP4" dataDxfId="527" totalsRowDxfId="526" dataCellStyle="Comma"/>
    <tableColumn id="8" xr3:uid="{1681F002-95BA-4D68-9E92-44339C907BD7}" name="ATK5" dataDxfId="525" totalsRowDxfId="524" dataCellStyle="Comma"/>
    <tableColumn id="9" xr3:uid="{67D834E1-05B5-4762-8C6E-A77C41615C9B}" name="DEF6" dataDxfId="523" totalsRowDxfId="522" dataCellStyle="Comma"/>
    <tableColumn id="10" xr3:uid="{2A5F33BF-5955-4E16-A6CA-7823A3373272}" name="HP7" dataDxfId="521" totalsRowDxfId="520" dataCellStyle="Comma"/>
    <tableColumn id="11" xr3:uid="{8A8BDB3A-F156-4479-8B55-4A1D08E2B0BD}" name="ATK8" dataDxfId="519" totalsRowDxfId="518" dataCellStyle="Comma"/>
    <tableColumn id="12" xr3:uid="{27A8B501-2C7A-489E-A862-B85B63433136}" name="DEF9" dataDxfId="517" totalsRowDxfId="516" dataCellStyle="Comma"/>
    <tableColumn id="13" xr3:uid="{B464F919-BBA4-4FC9-8BEF-277F7B3ED12E}" name="HP10" dataDxfId="515" totalsRowDxfId="514" dataCellStyle="Comma"/>
    <tableColumn id="14" xr3:uid="{FF095E05-6D70-4B5A-BBD2-3691FF1CEC04}" name="ATK11" dataDxfId="513" totalsRowDxfId="512" dataCellStyle="Comma"/>
    <tableColumn id="15" xr3:uid="{F8507187-E91E-41A8-BA37-E6A7A536C953}" name="DEF12" dataDxfId="511" totalsRowDxfId="510" dataCellStyle="Comma"/>
    <tableColumn id="16" xr3:uid="{4AA162FC-A12D-44E6-A6CC-04FC090F81B2}" name="HP13" dataDxfId="509" totalsRowDxfId="508" dataCellStyle="Comma"/>
    <tableColumn id="17" xr3:uid="{5B9782BD-215A-47FD-812F-C6B6E3C3FABA}" name="ATK14" dataDxfId="507" totalsRowDxfId="506" dataCellStyle="Comma"/>
    <tableColumn id="18" xr3:uid="{74147C1B-29AE-45F9-BFF9-F77DBFE7D713}" name="DEF15" dataDxfId="505" totalsRowDxfId="504" dataCellStyle="Comma"/>
    <tableColumn id="19" xr3:uid="{812FE5E1-252D-40BE-9469-563AED9ADA03}" name="HP16" dataDxfId="503" totalsRowDxfId="502" dataCellStyle="Comma"/>
    <tableColumn id="20" xr3:uid="{1A790528-AD00-47FC-BC02-9C30DFD33ABE}" name="ATK17" dataDxfId="501" totalsRowDxfId="500" dataCellStyle="Comma"/>
    <tableColumn id="21" xr3:uid="{4F7E3F99-E0ED-40ED-A09C-2642BD339C68}" name="DEF18" dataDxfId="499" totalsRowDxfId="498" dataCellStyle="Comma"/>
    <tableColumn id="22" xr3:uid="{9C5C9F30-6B80-4DAD-B401-7B889EEBAB7E}" name="HP19" dataDxfId="497" totalsRowDxfId="496" dataCellStyle="Comma"/>
    <tableColumn id="23" xr3:uid="{E822CCD1-73EE-4C6A-A36A-50144F527D8C}" name="ATK20" dataDxfId="495" totalsRowDxfId="494" dataCellStyle="Comma"/>
    <tableColumn id="24" xr3:uid="{063307D4-9480-4CF1-B358-F07F6A7607BA}" name="DEF21" dataDxfId="493" totalsRowDxfId="492" dataCellStyle="Comma"/>
    <tableColumn id="25" xr3:uid="{4C7B313B-B587-47CB-B82E-BC91C7B605B2}" name="HP22" dataDxfId="491" totalsRowDxfId="490" dataCellStyle="Comma"/>
    <tableColumn id="26" xr3:uid="{69342168-3B92-4A17-B251-D235943ED2BF}" name="ATK23" dataDxfId="489" totalsRowDxfId="488" dataCellStyle="Comma"/>
    <tableColumn id="27" xr3:uid="{F90F53E7-061B-4E89-869F-2BC14442C336}" name="DEF24" dataDxfId="487" totalsRowDxfId="486" dataCellStyle="Comma"/>
    <tableColumn id="28" xr3:uid="{FF2A3565-6321-4866-BD08-AFA6CA3D94E1}" name="HP25" dataDxfId="485" totalsRowDxfId="484" dataCellStyle="Comma"/>
    <tableColumn id="29" xr3:uid="{BB2E8469-EFA2-4C5B-B19A-25EB555950CD}" name="ATK26" dataDxfId="483" totalsRowDxfId="482" dataCellStyle="Comma"/>
    <tableColumn id="30" xr3:uid="{0AE378BB-F4BB-427C-A57D-BB9946E83B49}" name="DEF27" dataDxfId="481" totalsRowDxfId="480" dataCellStyle="Comma"/>
    <tableColumn id="31" xr3:uid="{D4D6D2EE-7B82-4CFD-BE44-6C83F64A3A8A}" name="HP28" dataDxfId="479" totalsRowDxfId="478" dataCellStyle="Comma"/>
    <tableColumn id="32" xr3:uid="{1B4EFB5F-D056-4BC6-8CDC-C316593FED96}" name="ATK29" dataDxfId="477" totalsRowDxfId="476" dataCellStyle="Comma"/>
    <tableColumn id="33" xr3:uid="{AEAF8835-6ED1-40F5-8D12-B1239892F72A}" name="DEF30" dataDxfId="475" totalsRowDxfId="474" dataCellStyle="Comma"/>
    <tableColumn id="34" xr3:uid="{8389166D-743C-4644-8E19-6A383BDD1B20}" name="HP31" dataDxfId="473" totalsRowDxfId="472" dataCellStyle="Comma"/>
    <tableColumn id="35" xr3:uid="{4F6D50FE-443E-47D6-A9CC-6D62D3D46A2B}" name="ATK32" dataDxfId="471" totalsRowDxfId="470" dataCellStyle="Comma"/>
    <tableColumn id="36" xr3:uid="{277C9C0C-6E38-4345-A65A-4AC834F3BAB5}" name="DEF33" dataDxfId="469" totalsRowDxfId="468" dataCellStyle="Comma"/>
    <tableColumn id="37" xr3:uid="{BF1745F6-D673-4002-97E3-A2E6FABDAE07}" name="HP34" dataDxfId="467" totalsRowDxfId="466" dataCellStyle="Comma"/>
    <tableColumn id="38" xr3:uid="{5B9398CE-736F-4A23-94D1-0AF9692A86CD}" name="ATK232" dataDxfId="465" totalsRowDxfId="464" dataCellStyle="Comma"/>
    <tableColumn id="39" xr3:uid="{231FDE99-350C-4F1B-9CE8-13D7ECADB4DA}" name="DEF243" dataDxfId="463" totalsRowDxfId="462" dataCellStyle="Comma"/>
    <tableColumn id="40" xr3:uid="{0FFEF345-FB34-40C6-A702-C0124B1C8529}" name="HP254" dataDxfId="461" totalsRowDxfId="460" dataCellStyle="Comma"/>
    <tableColumn id="41" xr3:uid="{1CE1D094-8C78-4C87-A591-101B355507C4}" name="ATK265" dataDxfId="459" totalsRowDxfId="458" dataCellStyle="Comma"/>
    <tableColumn id="42" xr3:uid="{D0BC1BCC-0C12-4A65-A28F-B7ED6B9F171C}" name="DEF276" dataDxfId="457" totalsRowDxfId="456" dataCellStyle="Comma"/>
    <tableColumn id="43" xr3:uid="{8083EC72-74B8-4E13-AC1E-7836735FDFD4}" name="HP287" dataDxfId="455" totalsRowDxfId="454" dataCellStyle="Comma"/>
    <tableColumn id="44" xr3:uid="{75C5DC7A-A7E5-4EFB-A150-19D362387974}" name="ATK298" dataDxfId="453" totalsRowDxfId="452" dataCellStyle="Comma"/>
    <tableColumn id="45" xr3:uid="{7D4B4EAD-D604-4DB3-9F5F-64116B9D06D3}" name="DEF309" dataDxfId="451" totalsRowDxfId="450" dataCellStyle="Comma"/>
    <tableColumn id="46" xr3:uid="{95657FF9-218F-4FA9-958D-F98342D951F9}" name="HP3110" dataDxfId="449" totalsRowDxfId="448" dataCellStyle="Comma"/>
    <tableColumn id="47" xr3:uid="{AFB0D946-92FC-4BF4-924F-378077B10F5D}" name="ATK3211" dataDxfId="447" totalsRowDxfId="446" dataCellStyle="Comma"/>
    <tableColumn id="48" xr3:uid="{5E577176-FE98-4621-840C-FD62232DEC08}" name="DEF3312" dataDxfId="445" totalsRowDxfId="444" dataCellStyle="Comma"/>
    <tableColumn id="49" xr3:uid="{F77049B9-78D1-4BB0-9F92-5FB0FE6E181F}" name="HP3413" dataDxfId="443" totalsRowDxfId="442" dataCellStyle="Comma"/>
    <tableColumn id="50" xr3:uid="{BC6D5E47-50AE-47E4-991A-8DC179A57A3F}" name="ATK35" dataDxfId="441" totalsRowDxfId="440" dataCellStyle="Comma">
      <calculatedColumnFormula>O3+AA3+AM3+BP3</calculatedColumnFormula>
    </tableColumn>
    <tableColumn id="51" xr3:uid="{2786E005-B7FC-4679-8BEF-3E23E86E08E3}" name="DEF36" dataDxfId="439" totalsRowDxfId="438" dataCellStyle="Comma">
      <calculatedColumnFormula>P3+AB3+AN3+BQ3</calculatedColumnFormula>
    </tableColumn>
    <tableColumn id="52" xr3:uid="{DF3C3730-4601-4612-BACE-778F0C34DAC1}" name="HP37" dataDxfId="437" totalsRowDxfId="436" dataCellStyle="Comma">
      <calculatedColumnFormula>Q3+AC3+AO3+BR3</calculatedColumnFormula>
    </tableColumn>
    <tableColumn id="53" xr3:uid="{EFACD15F-BDA7-49A3-96DB-2AAC062AE0AB}" name="ATK38" dataDxfId="435" totalsRowDxfId="434" dataCellStyle="Comma">
      <calculatedColumnFormula>R3+AD3+AP3+BP3</calculatedColumnFormula>
    </tableColumn>
    <tableColumn id="54" xr3:uid="{F6252F82-2BDF-45A6-A752-1E76567789EF}" name="DEF39" dataDxfId="433" totalsRowDxfId="432" dataCellStyle="Comma">
      <calculatedColumnFormula>S3+AE3+AQ3+BQ3</calculatedColumnFormula>
    </tableColumn>
    <tableColumn id="55" xr3:uid="{7B4BCA44-4362-4895-985D-C4E6471EC0F6}" name="HP40" dataDxfId="431" totalsRowDxfId="430" dataCellStyle="Comma">
      <calculatedColumnFormula>T3+AF3+AR3+BR3</calculatedColumnFormula>
    </tableColumn>
    <tableColumn id="56" xr3:uid="{AF6A2F09-60A5-4425-B609-8FEB7ADE9740}" name="ATK41" dataDxfId="429" totalsRowDxfId="428" dataCellStyle="Comma">
      <calculatedColumnFormula>U3+AG3+AS3+BP3</calculatedColumnFormula>
    </tableColumn>
    <tableColumn id="57" xr3:uid="{17C64E51-DD8D-4C70-A378-AB098654D001}" name="DEF42" dataDxfId="427" totalsRowDxfId="426" dataCellStyle="Comma">
      <calculatedColumnFormula>V3+AH3+AT3+BQ3</calculatedColumnFormula>
    </tableColumn>
    <tableColumn id="58" xr3:uid="{13231CC0-C498-4803-A9E7-27361D3D972D}" name="HP43" dataDxfId="425" totalsRowDxfId="424" dataCellStyle="Comma">
      <calculatedColumnFormula>W3+AI3+AU3+BR3</calculatedColumnFormula>
    </tableColumn>
    <tableColumn id="59" xr3:uid="{4B9AE689-6A70-4AFA-AFE1-9CB3C6A98B1D}" name="ATK44" dataDxfId="423" totalsRowDxfId="422" dataCellStyle="Comma">
      <calculatedColumnFormula>X3+AJ3+AV3+BP3</calculatedColumnFormula>
    </tableColumn>
    <tableColumn id="60" xr3:uid="{D8820D66-0562-4F26-B627-69596B508197}" name="DEF45" dataDxfId="421" totalsRowDxfId="420" dataCellStyle="Comma">
      <calculatedColumnFormula>Y3+AK3+AW3+BQ3</calculatedColumnFormula>
    </tableColumn>
    <tableColumn id="61" xr3:uid="{72A7AA61-0D5B-4299-9B31-563103982509}" name="HP46" dataDxfId="419" totalsRowDxfId="418" dataCellStyle="Comma">
      <calculatedColumnFormula>Z3+AL3+AX3+BR3</calculatedColumnFormula>
    </tableColumn>
    <tableColumn id="62" xr3:uid="{7CDC170C-2E50-4768-B497-C9999583386C}" name="Totals" dataDxfId="417" totalsRowDxfId="416" dataCellStyle="Comma">
      <calculatedColumnFormula>BL3+BM3+BN3+BO3</calculatedColumnFormula>
    </tableColumn>
    <tableColumn id="63" xr3:uid="{1D1F083C-EC85-4130-977B-3FD3F9CC24B9}" name="Mounted" dataDxfId="415" totalsRowDxfId="414" dataCellStyle="Comma">
      <calculatedColumnFormula>AY3+AZ3+BA3</calculatedColumnFormula>
    </tableColumn>
    <tableColumn id="64" xr3:uid="{BB9ED08F-7842-45D8-825D-3B2DC92D6BA0}" name="Ground" dataDxfId="413" totalsRowDxfId="412" dataCellStyle="Comma">
      <calculatedColumnFormula>BB3+BC3+BD3</calculatedColumnFormula>
    </tableColumn>
    <tableColumn id="65" xr3:uid="{7A03AB42-6894-4F24-9113-8C1CD61D0556}" name="Ranged" dataDxfId="411" totalsRowDxfId="410" dataCellStyle="Comma">
      <calculatedColumnFormula>BE3+BF3+BG3</calculatedColumnFormula>
    </tableColumn>
    <tableColumn id="66" xr3:uid="{1C7D4674-121F-4D82-8E03-899EF76FDCCB}" name="Siege" dataDxfId="409" totalsRowDxfId="408" dataCellStyle="Comma">
      <calculatedColumnFormula>BH3+BI3+BJ3</calculatedColumnFormula>
    </tableColumn>
    <tableColumn id="67" xr3:uid="{D400E0AB-D6C8-4B80-8195-888B47BBF389}" name="ATK1414" dataDxfId="407" totalsRowDxfId="406" dataCellStyle="Explanatory Text">
      <calculatedColumnFormula>900*0.1+(BV3-900)*0.2</calculatedColumnFormula>
    </tableColumn>
    <tableColumn id="68" xr3:uid="{8C524E50-BC01-4E75-9257-EE037441F14B}" name="DEF1515" dataDxfId="405" totalsRowDxfId="404" dataCellStyle="Explanatory Text">
      <calculatedColumnFormula>900*0.1+(BW3-900)*0.2</calculatedColumnFormula>
    </tableColumn>
    <tableColumn id="69" xr3:uid="{E340292F-C608-4C66-AFDE-F0A91A22A7DE}" name="HP1616" dataDxfId="403" totalsRowDxfId="402" dataCellStyle="Explanatory Text">
      <calculatedColumnFormula>900*0.1+(BX3-900)*0.2</calculatedColumnFormula>
    </tableColumn>
    <tableColumn id="70" xr3:uid="{B37443A7-32F6-4EF2-8277-85019AFC2424}" name="ATK18" dataDxfId="401" dataCellStyle="Comma"/>
    <tableColumn id="71" xr3:uid="{5CCA61F3-0B36-4F3E-8374-30718D5D668B}" name="DEF182" dataDxfId="400" dataCellStyle="Comma"/>
    <tableColumn id="72" xr3:uid="{CB547613-E4B5-4565-A191-8F2C59F8A9AA}" name="LDR" dataDxfId="399" dataCellStyle="Comma"/>
    <tableColumn id="73" xr3:uid="{52F17C3B-7DDA-47FC-9290-BDAA7DE03C0C}" name="TOTAL ATK18" dataDxfId="398" totalsRowDxfId="397" dataCellStyle="Explanatory Text">
      <calculatedColumnFormula>(BS3+CB3*(CG$1-1))+500+((BS3+CB3*(CG$1-1))+500)*$CH$2</calculatedColumnFormula>
    </tableColumn>
    <tableColumn id="74" xr3:uid="{2A5D3528-0560-4455-B875-CA74A8E12D8D}" name="TOTAL DEF182" dataDxfId="396" totalsRowDxfId="395" dataCellStyle="Explanatory Text">
      <calculatedColumnFormula>(BT3+CC3*(CG$1-1))+500+((BT3+CC3*(CG$1-1))+500)*$CH$2</calculatedColumnFormula>
    </tableColumn>
    <tableColumn id="75" xr3:uid="{24627F0A-979F-4C75-9652-5FBB46833D35}" name="TOTAL LDR" dataDxfId="394" totalsRowDxfId="393" dataCellStyle="Explanatory Text">
      <calculatedColumnFormula>(BU3+CD3*(CG$1-1))+500+((BU3+CD3*(CG$1-1))+500)*$CH$2</calculatedColumnFormula>
    </tableColumn>
    <tableColumn id="76" xr3:uid="{3CC92923-BCF9-469B-AE78-898A4A30CDC3}" name="ATK19" dataDxfId="392" dataCellStyle="Comma"/>
    <tableColumn id="77" xr3:uid="{7B7A218B-566F-4F1C-94B6-1BDDA2A7F146}" name="DEF4" dataDxfId="391" dataCellStyle="Comma"/>
    <tableColumn id="78" xr3:uid="{46D640BE-A04B-4DEE-A4A8-55FCFEDD8F15}" name="LDR5" dataDxfId="390" dataCellStyle="Comma"/>
    <tableColumn id="79" xr3:uid="{8A2CDCBB-D14F-4DD2-A782-6788BAAB1D0F}" name="TOTAL ATK" dataDxfId="389" totalsRowDxfId="388" dataCellStyle="Explanatory Text">
      <calculatedColumnFormula>(((((1+20/100)*$BY3)*(1+20/100)))*(1+20/100))*(1+20/100)*(1+20/100)</calculatedColumnFormula>
    </tableColumn>
    <tableColumn id="80" xr3:uid="{C7EEE978-BA8E-4D15-9CA3-A0F5D5316F26}" name="TOTAL DEF" dataDxfId="387" totalsRowDxfId="386" dataCellStyle="Explanatory Text">
      <calculatedColumnFormula>(((((1+20/100)*$BZ3)*(1+20/100)))*(1+20/100))*(1+20/100)*(1+20/100)</calculatedColumnFormula>
    </tableColumn>
    <tableColumn id="81" xr3:uid="{30A6B88A-DE0B-4BCC-BE9F-D9A047C64718}" name="TOTAL LDR2" totalsRowFunction="sum" dataDxfId="385" totalsRowDxfId="384" dataCellStyle="Explanatory Text">
      <calculatedColumnFormula>(((((1+20/100)*$CA3)*(1+20/100)))*(1+20/100))*(1+20/100)*(1+20/100)</calculatedColumnFormula>
    </tableColumn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984DC7E-FA96-490E-AA24-903CA2302D7D}" name="Table18" displayName="Table18" ref="B115:BO226" totalsRowShown="0" headerRowDxfId="383" dataDxfId="382" tableBorderDxfId="381" dataCellStyle="Comma">
  <autoFilter ref="B115:BO226" xr:uid="{9984DC7E-FA96-490E-AA24-903CA2302D7D}"/>
  <sortState xmlns:xlrd2="http://schemas.microsoft.com/office/spreadsheetml/2017/richdata2" ref="B116:BO226">
    <sortCondition descending="1" ref="BK115:BK226"/>
  </sortState>
  <tableColumns count="66">
    <tableColumn id="1" xr3:uid="{14710E64-38F4-4DF3-88D2-F81A4F296D11}" name="General" dataDxfId="380"/>
    <tableColumn id="2" xr3:uid="{FA69CE61-532E-4665-BC5F-F0FD29E250E5}" name="ATK" dataDxfId="379" dataCellStyle="Comma"/>
    <tableColumn id="3" xr3:uid="{F4BC123A-870D-4EBB-BFDA-661C1677D9C5}" name="DEF" dataDxfId="378" dataCellStyle="Comma"/>
    <tableColumn id="4" xr3:uid="{98C1D980-0FFC-4214-BAFB-9AF36A0FC341}" name="HP" dataDxfId="377" dataCellStyle="Comma"/>
    <tableColumn id="5" xr3:uid="{924BCBFB-3A62-4DA9-B222-0FDF16894C6F}" name="ATK2" dataDxfId="376" dataCellStyle="Comma"/>
    <tableColumn id="6" xr3:uid="{10DE96B4-ECF5-44B0-B975-36C8BE1EF0E3}" name="DEF3" dataDxfId="375" dataCellStyle="Comma"/>
    <tableColumn id="7" xr3:uid="{2BD7DD0C-CBE9-4891-BCE3-959C70292256}" name="HP4" dataDxfId="374" dataCellStyle="Comma"/>
    <tableColumn id="8" xr3:uid="{AFE30C2A-3FF0-4204-A285-B93ECE14C422}" name="ATK5" dataDxfId="373" dataCellStyle="Comma"/>
    <tableColumn id="9" xr3:uid="{AC7C002E-1306-486F-BE22-49E3889224A4}" name="DEF6" dataDxfId="372" dataCellStyle="Comma"/>
    <tableColumn id="10" xr3:uid="{39099FD1-7DDD-43FA-9A01-7D671499D9F9}" name="HP7" dataDxfId="371" dataCellStyle="Comma"/>
    <tableColumn id="11" xr3:uid="{15BFA7A4-51DB-48A6-A566-3AEDFBC65DF5}" name="ATK8" dataDxfId="370" dataCellStyle="Comma"/>
    <tableColumn id="12" xr3:uid="{2CB8FF24-1B3E-4B0A-B1C0-F7EF01B9ABF4}" name="DEF9" dataDxfId="369" dataCellStyle="Comma"/>
    <tableColumn id="13" xr3:uid="{A9DFF5C1-04D4-4DA3-80E9-49A41C769A90}" name="HP10" dataDxfId="368" dataCellStyle="Comma"/>
    <tableColumn id="14" xr3:uid="{764E6EC6-C6EE-4EBB-A9FD-A51D2568A0C0}" name="ATK11" dataDxfId="367" dataCellStyle="Comma"/>
    <tableColumn id="15" xr3:uid="{2B6AD462-2500-4268-8DCF-1ADEB60DDCB8}" name="DEF12" dataDxfId="366" dataCellStyle="Comma"/>
    <tableColumn id="16" xr3:uid="{307A1102-068D-4293-8571-2DDDFF804446}" name="HP13" dataDxfId="365" dataCellStyle="Comma"/>
    <tableColumn id="17" xr3:uid="{B2156ECB-1385-4A74-885F-8D1C79055EF4}" name="ATK14" dataDxfId="364" dataCellStyle="Comma"/>
    <tableColumn id="18" xr3:uid="{C6D4B938-6E9E-44C4-91A6-FBF4DD614306}" name="DEF15" dataDxfId="363" dataCellStyle="Comma"/>
    <tableColumn id="19" xr3:uid="{A66966A6-4C95-4598-82F9-847F1922E7CB}" name="HP16" dataDxfId="362" dataCellStyle="Comma"/>
    <tableColumn id="20" xr3:uid="{41529E23-BFA0-4A8B-88EA-ADB6D0000A78}" name="ATK17" dataDxfId="361" dataCellStyle="Comma"/>
    <tableColumn id="21" xr3:uid="{686004F7-763C-478A-A264-6244C063CF7E}" name="DEF18" dataDxfId="360" dataCellStyle="Comma"/>
    <tableColumn id="22" xr3:uid="{DF2899C5-468E-4A98-B0AB-AC336552A7C5}" name="HP19" dataDxfId="359" dataCellStyle="Comma"/>
    <tableColumn id="23" xr3:uid="{1EDF0081-0A20-40CD-80B5-69B113B5D40E}" name="ATK20" dataDxfId="358" dataCellStyle="Comma"/>
    <tableColumn id="24" xr3:uid="{C64F03A2-C090-4D14-A604-3ADEFA9F55EC}" name="DEF21" dataDxfId="357" dataCellStyle="Comma"/>
    <tableColumn id="25" xr3:uid="{7CA02DC3-7DC5-4C13-8E49-DC46072AE59C}" name="HP22" dataDxfId="356" dataCellStyle="Comma"/>
    <tableColumn id="26" xr3:uid="{47D34C20-4AF5-4892-A992-BFAE656EF962}" name="ATK23" dataDxfId="355" dataCellStyle="Comma"/>
    <tableColumn id="27" xr3:uid="{DDD26A15-1E98-4C45-862B-054D559BC024}" name="DEF24" dataDxfId="354" dataCellStyle="Comma"/>
    <tableColumn id="28" xr3:uid="{A6BFE57E-311E-49E3-8D49-9395012AB87B}" name="HP25" dataDxfId="353" dataCellStyle="Comma"/>
    <tableColumn id="29" xr3:uid="{C302783A-9075-41C4-B841-8B42460BB65C}" name="ATK26" dataDxfId="352" dataCellStyle="Comma"/>
    <tableColumn id="30" xr3:uid="{9F8EA93D-A1AC-4F5B-B474-2923CF077A6F}" name="DEF27" dataDxfId="351" dataCellStyle="Comma"/>
    <tableColumn id="31" xr3:uid="{5ED39C65-6164-4B39-955C-E48E83A509F5}" name="HP28" dataDxfId="350" dataCellStyle="Comma"/>
    <tableColumn id="32" xr3:uid="{8BFFD18F-2A91-410E-BB5B-3BFB0C25290F}" name="ATK29" dataDxfId="349" dataCellStyle="Comma"/>
    <tableColumn id="33" xr3:uid="{2387FC39-A253-448F-8699-A7A56A6C5102}" name="DEF30" dataDxfId="348" dataCellStyle="Comma"/>
    <tableColumn id="34" xr3:uid="{57A00370-857A-423B-BF3D-F107B68D44DA}" name="HP31" dataDxfId="347" dataCellStyle="Comma"/>
    <tableColumn id="35" xr3:uid="{9A1E208C-A8D0-4E08-AEC7-BBE5032AE270}" name="ATK32" dataDxfId="346" dataCellStyle="Comma"/>
    <tableColumn id="36" xr3:uid="{AFAF2254-8BF1-4979-939C-00EF788CA68E}" name="DEF33" dataDxfId="345" dataCellStyle="Comma"/>
    <tableColumn id="37" xr3:uid="{0FD30308-428D-4B82-9FB9-D6B6CACC3F6F}" name="HP34" dataDxfId="344" dataCellStyle="Comma"/>
    <tableColumn id="38" xr3:uid="{05138798-88AB-494C-8A7A-EE00471D25F0}" name="ATK232" dataDxfId="343" dataCellStyle="Comma"/>
    <tableColumn id="39" xr3:uid="{9D753751-C83B-4CA8-91EA-BA293606354E}" name="DEF243" dataDxfId="342" dataCellStyle="Comma"/>
    <tableColumn id="40" xr3:uid="{950D19CB-55EF-4327-8739-B595DDB92739}" name="HP254" dataDxfId="341" dataCellStyle="Comma"/>
    <tableColumn id="41" xr3:uid="{4DA0EEA5-629F-4E9F-82D5-D6A59316E003}" name="ATK265" dataDxfId="340" dataCellStyle="Comma"/>
    <tableColumn id="42" xr3:uid="{AF8409A0-5972-44D0-8289-6D94956D8511}" name="DEF276" dataDxfId="339" dataCellStyle="Comma"/>
    <tableColumn id="43" xr3:uid="{E660A944-6FB1-41D4-96A2-1C5F0FA8AB1B}" name="HP287" dataDxfId="338" dataCellStyle="Comma"/>
    <tableColumn id="44" xr3:uid="{00950505-D53D-4F56-B19C-77B1A43CC153}" name="ATK298" dataDxfId="337" dataCellStyle="Comma"/>
    <tableColumn id="45" xr3:uid="{DD72E4B7-3A7E-4CFB-9602-BBB03451D745}" name="DEF309" dataDxfId="336" dataCellStyle="Comma"/>
    <tableColumn id="46" xr3:uid="{D35D2107-C002-451B-B0C8-E9283181D349}" name="HP3110" dataDxfId="335" dataCellStyle="Comma"/>
    <tableColumn id="47" xr3:uid="{51CDE660-51B5-4042-9D4A-265618930733}" name="ATK3211" dataDxfId="334" dataCellStyle="Comma"/>
    <tableColumn id="48" xr3:uid="{1AE19F9C-BA0E-4649-BF87-801A563FB923}" name="DEF3312" dataDxfId="333" dataCellStyle="Comma"/>
    <tableColumn id="49" xr3:uid="{5069AC62-980F-43BF-9310-117C5D19F2B8}" name="HP3413" dataDxfId="332" dataCellStyle="Comma"/>
    <tableColumn id="50" xr3:uid="{E23CFC11-D65B-4E86-A134-43CB7D02DE1B}" name="ATK35" dataDxfId="331" dataCellStyle="Comma">
      <calculatedColumnFormula>C116+AA116+AM116</calculatedColumnFormula>
    </tableColumn>
    <tableColumn id="51" xr3:uid="{BE549C13-0F9B-4A46-B003-68CEC9C55895}" name="DEF36" dataDxfId="330" dataCellStyle="Comma">
      <calculatedColumnFormula>D116+AB116+AN116</calculatedColumnFormula>
    </tableColumn>
    <tableColumn id="52" xr3:uid="{FF4772C9-C8DB-4595-AFB2-3B073E527772}" name="HP37" dataDxfId="329" dataCellStyle="Comma">
      <calculatedColumnFormula>E116+AC116+AO116</calculatedColumnFormula>
    </tableColumn>
    <tableColumn id="53" xr3:uid="{7DFCE220-437B-4E52-8226-A0EC21B7B33E}" name="ATK38" dataDxfId="328" dataCellStyle="Comma">
      <calculatedColumnFormula>F116+AD116+AP116</calculatedColumnFormula>
    </tableColumn>
    <tableColumn id="54" xr3:uid="{C6BBC1B8-4E9B-450A-8267-5CD80326A2DB}" name="DEF39" dataDxfId="327" dataCellStyle="Comma">
      <calculatedColumnFormula>G116+AE116+AQ116</calculatedColumnFormula>
    </tableColumn>
    <tableColumn id="55" xr3:uid="{A75DF2D1-78EF-4012-99D8-9D99FC8E4D77}" name="HP40" dataDxfId="326" dataCellStyle="Comma">
      <calculatedColumnFormula>H116+AF116+AR116</calculatedColumnFormula>
    </tableColumn>
    <tableColumn id="56" xr3:uid="{AC11D8B3-2CE5-48EE-B94A-373723221356}" name="ATK41" dataDxfId="325" dataCellStyle="Comma">
      <calculatedColumnFormula>I116+AG116+AS116</calculatedColumnFormula>
    </tableColumn>
    <tableColumn id="57" xr3:uid="{DBB73BED-1266-4C68-B954-0AC5C4E64355}" name="DEF42" dataDxfId="324" dataCellStyle="Comma">
      <calculatedColumnFormula>J116+AH116+AT116</calculatedColumnFormula>
    </tableColumn>
    <tableColumn id="58" xr3:uid="{9D093FF5-20F5-4E97-ADC8-4A7F338F461C}" name="HP43" dataDxfId="323" dataCellStyle="Comma">
      <calculatedColumnFormula>K116+AI116+AU116</calculatedColumnFormula>
    </tableColumn>
    <tableColumn id="59" xr3:uid="{10E1FF3A-85DD-47F7-8029-AC6232E3DA53}" name="ATK44" dataDxfId="322" dataCellStyle="Comma">
      <calculatedColumnFormula>L116+AJ116+AV116</calculatedColumnFormula>
    </tableColumn>
    <tableColumn id="60" xr3:uid="{0D520364-1CA6-4615-A146-F237D3898A67}" name="DEF45" dataDxfId="321" dataCellStyle="Comma">
      <calculatedColumnFormula>M116+AK116+AW116</calculatedColumnFormula>
    </tableColumn>
    <tableColumn id="61" xr3:uid="{94C735D9-4F24-47FD-8364-FB851FF987CD}" name="HP46" dataDxfId="320" dataCellStyle="Comma">
      <calculatedColumnFormula>N116+AL116+AX116</calculatedColumnFormula>
    </tableColumn>
    <tableColumn id="62" xr3:uid="{03FADC08-2117-4384-B2FF-74CA9B200C6F}" name="Totals" dataDxfId="319" dataCellStyle="Comma">
      <calculatedColumnFormula>BL116+BM116+BN116+BO116</calculatedColumnFormula>
    </tableColumn>
    <tableColumn id="63" xr3:uid="{74F4ACE0-74D2-4292-89EE-342C552A16A8}" name="Mounted" dataDxfId="318" dataCellStyle="Comma">
      <calculatedColumnFormula>AY116+AZ116+BA116</calculatedColumnFormula>
    </tableColumn>
    <tableColumn id="64" xr3:uid="{276217C5-F4C7-4025-B2EE-82438D0C65E7}" name="Ground" dataDxfId="317" dataCellStyle="Comma">
      <calculatedColumnFormula>BB116+BC116+BD116</calculatedColumnFormula>
    </tableColumn>
    <tableColumn id="65" xr3:uid="{2E5C0C76-4CB3-427D-85F6-D7C11F451A6E}" name="Ranged" dataDxfId="316" dataCellStyle="Comma">
      <calculatedColumnFormula>BE116+BF116+BG116</calculatedColumnFormula>
    </tableColumn>
    <tableColumn id="66" xr3:uid="{A009E113-BBB8-4AA2-98EE-D524F6C96A25}" name="Siege" dataDxfId="315" dataCellStyle="Comma">
      <calculatedColumnFormula>BH116+BI116+BJ116</calculatedColumnFormula>
    </tableColumn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188462-BC8E-4DF8-BABA-3B33AB8671EB}" name="Table1" displayName="Table1" ref="B23:BD41" totalsRowShown="0" headerRowDxfId="314" dataDxfId="313" tableBorderDxfId="312" dataCellStyle="Comma">
  <autoFilter ref="B23:BD41" xr:uid="{75188462-BC8E-4DF8-BABA-3B33AB8671EB}"/>
  <sortState xmlns:xlrd2="http://schemas.microsoft.com/office/spreadsheetml/2017/richdata2" ref="B24:BD38">
    <sortCondition descending="1" ref="BD23:BD38"/>
  </sortState>
  <tableColumns count="55">
    <tableColumn id="1" xr3:uid="{0CD35C9D-F2B6-41D0-BA90-FB1CC763DC79}" name="General" dataDxfId="311"/>
    <tableColumn id="2" xr3:uid="{0AF5B9E9-0034-46C8-A4B3-B2C980C8725F}" name="ATK%" dataDxfId="310" dataCellStyle="Comma"/>
    <tableColumn id="3" xr3:uid="{0DDE8361-7CF6-42B7-BDF3-A918815A99BC}" name="DEF%" dataDxfId="309" dataCellStyle="Comma"/>
    <tableColumn id="4" xr3:uid="{73ECFDBB-5820-4BD4-9FC9-19B6BE84E917}" name="HP%" dataDxfId="308" dataCellStyle="Comma"/>
    <tableColumn id="5" xr3:uid="{38DC1078-2EE8-427A-8F15-A55FD58A2EF4}" name="MS%" dataDxfId="307" dataCellStyle="Comma"/>
    <tableColumn id="6" xr3:uid="{4A2D762D-DC1C-4F21-8685-F5158D3E0151}" name="DDR%" dataDxfId="306" dataCellStyle="Comma"/>
    <tableColumn id="7" xr3:uid="{44C596AD-1AA8-407B-B1D5-5A55DCBE2451}" name="ATK" dataDxfId="305" dataCellStyle="Comma"/>
    <tableColumn id="8" xr3:uid="{D724582C-28AD-4C8B-AD2B-F2CC5507209D}" name="DEF" dataDxfId="304" dataCellStyle="Comma"/>
    <tableColumn id="9" xr3:uid="{3230E537-1491-4869-B06C-5AE09EC4812B}" name="HP" dataDxfId="303" dataCellStyle="Comma"/>
    <tableColumn id="10" xr3:uid="{D55E9975-D7C7-4E0D-8A6C-B1969AC75F41}" name="MS" dataDxfId="302" dataCellStyle="Comma"/>
    <tableColumn id="11" xr3:uid="{146E3E24-5338-4347-932F-866CC1F08E6B}" name="DDR" dataDxfId="301" dataCellStyle="Comma"/>
    <tableColumn id="12" xr3:uid="{72BE1FD3-CE33-4857-B767-B6612D0E180F}" name="SPD" dataDxfId="300" dataCellStyle="Comma"/>
    <tableColumn id="13" xr3:uid="{26BF21E1-C73A-4F77-BF21-58DAD434202E}" name="STM" dataDxfId="299" dataCellStyle="Comma"/>
    <tableColumn id="14" xr3:uid="{86959C12-BC5C-4449-A862-A90B60C532CA}" name="MAD" dataDxfId="298" dataCellStyle="Comma"/>
    <tableColumn id="15" xr3:uid="{92E9104E-4019-40A1-AC92-A82FB25A3FFE}" name="MDD" dataDxfId="297" dataCellStyle="Comma"/>
    <tableColumn id="16" xr3:uid="{403C30B5-CE17-4483-88AB-953C01D88C3D}" name="ATK2" dataDxfId="296" dataCellStyle="Comma"/>
    <tableColumn id="17" xr3:uid="{6DEB42B4-BBF4-4C72-A51E-B2284C62AF76}" name="DEF3" dataDxfId="295" dataCellStyle="Comma"/>
    <tableColumn id="18" xr3:uid="{C72CC07B-B25D-46C9-A775-3EA2BF0F365E}" name="HP4" dataDxfId="294" dataCellStyle="Comma"/>
    <tableColumn id="19" xr3:uid="{17DFD471-EB55-451E-BA84-73367E2F2520}" name="MS5" dataDxfId="293" dataCellStyle="Comma"/>
    <tableColumn id="20" xr3:uid="{59B10AB2-8DBB-41CB-B3AD-E88C82A8A75E}" name="DDR2" dataDxfId="292" dataCellStyle="Comma"/>
    <tableColumn id="21" xr3:uid="{D8B6184C-B0F5-4F4E-AE81-D6E0F71780F3}" name="SPD3" dataDxfId="291" dataCellStyle="Comma"/>
    <tableColumn id="22" xr3:uid="{7B10F550-D695-4087-B6CA-BEAD792A58B1}" name="STM4" dataDxfId="290" dataCellStyle="Comma"/>
    <tableColumn id="23" xr3:uid="{132DF772-A8BD-4134-AB1F-6DC535C7A3D7}" name="MAD2" dataDxfId="289" dataCellStyle="Comma"/>
    <tableColumn id="24" xr3:uid="{85B6CE3C-3ED3-4558-A984-B352B3BFC02F}" name="MDD3" dataDxfId="288" dataCellStyle="Comma"/>
    <tableColumn id="25" xr3:uid="{1A46C9B2-ED59-4BE4-B08C-74C35559A475}" name="ATK6" dataDxfId="287" dataCellStyle="Comma"/>
    <tableColumn id="26" xr3:uid="{93C12DEF-5314-473B-8210-044DFB2892F5}" name="DEF7" dataDxfId="286" dataCellStyle="Comma"/>
    <tableColumn id="27" xr3:uid="{C11DF1A5-B5C7-4493-A4D3-6490B568AFF9}" name="HP8" dataDxfId="285" dataCellStyle="Comma"/>
    <tableColumn id="28" xr3:uid="{51F2CCE4-520C-4D51-969B-71D999FB7302}" name="MS9" dataDxfId="284" dataCellStyle="Comma"/>
    <tableColumn id="29" xr3:uid="{D461C7B2-808F-4108-9B7E-A74BA1A7AB05}" name="DDR5" dataDxfId="283" dataCellStyle="Comma"/>
    <tableColumn id="30" xr3:uid="{0439CD83-496B-4390-9EB6-08A89CDB175C}" name="SPD6" dataDxfId="282" dataCellStyle="Comma"/>
    <tableColumn id="31" xr3:uid="{937EF9F3-9382-4F8E-9754-95E3BF50999B}" name="STM7" dataDxfId="281" dataCellStyle="Comma"/>
    <tableColumn id="32" xr3:uid="{27F9889B-7A96-494F-A388-4101DA21F2DD}" name="MAD4" dataDxfId="280" dataCellStyle="Comma"/>
    <tableColumn id="33" xr3:uid="{875A4E5E-59F6-476D-977B-D807F08131E3}" name="MDD5" dataDxfId="279" dataCellStyle="Comma"/>
    <tableColumn id="34" xr3:uid="{5C1E1458-94CE-41FD-89AA-299812767BB2}" name="ATK10" dataDxfId="278" dataCellStyle="Comma"/>
    <tableColumn id="35" xr3:uid="{8B30CDAB-63DA-4344-AA36-492750CDC156}" name="DEF11" dataDxfId="277" dataCellStyle="Comma"/>
    <tableColumn id="36" xr3:uid="{84F0FB43-ECED-4A83-9E14-B7784B374423}" name="HP12" dataDxfId="276" dataCellStyle="Comma"/>
    <tableColumn id="37" xr3:uid="{0082D657-1FAC-49F5-A1B6-0F83A11E875D}" name="MS13" dataDxfId="275" dataCellStyle="Comma"/>
    <tableColumn id="38" xr3:uid="{1B7B2EE6-EED1-47D6-B387-6AFE0BE303C3}" name="DDR8" dataDxfId="274" dataCellStyle="Comma"/>
    <tableColumn id="39" xr3:uid="{CE18AAE9-C4E9-4DB3-9A76-A703BA227318}" name="SPD9" dataDxfId="273" dataCellStyle="Comma"/>
    <tableColumn id="40" xr3:uid="{B3947268-935E-4690-857A-E81270FE7DC5}" name="STM10" dataDxfId="272" dataCellStyle="Comma"/>
    <tableColumn id="41" xr3:uid="{5A09893B-48B7-49CF-9199-5251E3CBF3C5}" name="MAD6" dataDxfId="271" dataCellStyle="Comma"/>
    <tableColumn id="42" xr3:uid="{92F0FFA6-94F4-4485-AB1D-5C484460FAC1}" name="MDD7" dataDxfId="270" dataCellStyle="Comma"/>
    <tableColumn id="43" xr3:uid="{CD85AE80-6911-4140-A428-29628EA41A53}" name="ATK14" dataDxfId="269" dataCellStyle="Comma"/>
    <tableColumn id="44" xr3:uid="{00BF6B7E-BB65-43F7-A065-D0DAC8381FAF}" name="DEF15" dataDxfId="268" dataCellStyle="Comma"/>
    <tableColumn id="45" xr3:uid="{EB0623C3-CEA0-412F-8BE1-6554C0F92EF6}" name="HP16" dataDxfId="267" dataCellStyle="Comma"/>
    <tableColumn id="46" xr3:uid="{1707CDC6-E5F2-498F-B00B-C8AE39F02A6F}" name="ATK17" dataDxfId="266" dataCellStyle="Comma">
      <calculatedColumnFormula>H24+Z24+AI24</calculatedColumnFormula>
    </tableColumn>
    <tableColumn id="47" xr3:uid="{B3CFD0B8-2CB7-49AD-895B-3BDFBBD060CB}" name="DEF18" dataDxfId="265" dataCellStyle="Comma">
      <calculatedColumnFormula>I24+AA24+AJ24</calculatedColumnFormula>
    </tableColumn>
    <tableColumn id="48" xr3:uid="{5B0ADDE2-6C17-4EBA-B520-DFDD32C25B97}" name="HP19" dataDxfId="264" dataCellStyle="Comma">
      <calculatedColumnFormula>J24+AB24+AK24</calculatedColumnFormula>
    </tableColumn>
    <tableColumn id="49" xr3:uid="{146EA584-C3A0-46C9-8162-079A8796C8C6}" name="MS20" dataDxfId="263" dataCellStyle="Comma">
      <calculatedColumnFormula>K24+AC24+AL24</calculatedColumnFormula>
    </tableColumn>
    <tableColumn id="50" xr3:uid="{5601CD4E-E7F8-461C-AC99-A76F9ADB6529}" name="DDR11" dataDxfId="262" dataCellStyle="Comma">
      <calculatedColumnFormula>L24+AD24+AM24</calculatedColumnFormula>
    </tableColumn>
    <tableColumn id="51" xr3:uid="{4F8BF4F6-9C4F-4D48-A68E-EE4E60723938}" name="SPD12" dataDxfId="261" dataCellStyle="Comma">
      <calculatedColumnFormula>M24+AE24+AN24</calculatedColumnFormula>
    </tableColumn>
    <tableColumn id="52" xr3:uid="{62ADBCA0-1BBD-4000-B271-05E0FE664D55}" name="STM13" dataDxfId="260" dataCellStyle="Comma">
      <calculatedColumnFormula>N24+AF24+AO24</calculatedColumnFormula>
    </tableColumn>
    <tableColumn id="53" xr3:uid="{7DBEF97B-1AD6-482A-A671-6DB5D117FC2B}" name="MAD8" dataDxfId="259" dataCellStyle="Comma">
      <calculatedColumnFormula>O24+AG24+AP24</calculatedColumnFormula>
    </tableColumn>
    <tableColumn id="54" xr3:uid="{5BA38481-9E6E-4C79-AB78-36D3F8250D58}" name="MDD9" dataDxfId="258" dataCellStyle="Comma">
      <calculatedColumnFormula>P24+AH24+AQ24</calculatedColumnFormula>
    </tableColumn>
    <tableColumn id="55" xr3:uid="{A855B750-0C9D-4A1B-A8EF-BFBA480CECB4}" name="Inc ATK" dataDxfId="257" dataCellStyle="Comma">
      <calculatedColumnFormula>(BR$2*(AX24/100)+BR$2+BR$3)*(BS$2*(AU24/100)+BS$2+BS$3)-BT$2</calculatedColumnFormula>
    </tableColumn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D684A-7A07-4CC7-87AD-F266E1474B9B}" name="Table2" displayName="Table2" ref="B2:BP20" totalsRowShown="0" headerRowDxfId="256" dataDxfId="255" tableBorderDxfId="254" dataCellStyle="Comma">
  <autoFilter ref="B2:BP20" xr:uid="{493D684A-7A07-4CC7-87AD-F266E1474B9B}"/>
  <sortState xmlns:xlrd2="http://schemas.microsoft.com/office/spreadsheetml/2017/richdata2" ref="B3:BP17">
    <sortCondition descending="1" ref="BD2:BD17"/>
  </sortState>
  <tableColumns count="67">
    <tableColumn id="1" xr3:uid="{D06B3BD3-1C73-4197-9194-2DD6ED515E5B}" name="General" dataDxfId="253"/>
    <tableColumn id="2" xr3:uid="{A7788CC9-C373-4B7F-B956-20E9DE1CAE36}" name="ATK%" dataDxfId="252" dataCellStyle="Comma"/>
    <tableColumn id="3" xr3:uid="{30CFEC47-5941-4078-9DD2-4D88B3D8B8D2}" name="DEF%" dataDxfId="251" dataCellStyle="Comma"/>
    <tableColumn id="4" xr3:uid="{2A57F80C-F81A-45CA-9185-2BC16FE39BB0}" name="HP%" dataDxfId="250" dataCellStyle="Comma"/>
    <tableColumn id="5" xr3:uid="{9056AD83-EB7D-4EBA-A883-AE6BA8033E75}" name="MS%" dataDxfId="249" dataCellStyle="Comma"/>
    <tableColumn id="6" xr3:uid="{FA4BB978-C110-403B-A94E-C702EC654C5A}" name="DDR%" dataDxfId="248" dataCellStyle="Comma"/>
    <tableColumn id="7" xr3:uid="{2BC027C1-4963-4D9E-8AC0-0B48E03E5611}" name="ATK" dataDxfId="247" dataCellStyle="Comma"/>
    <tableColumn id="8" xr3:uid="{8112F7F4-8CBE-4619-84EE-9B1ABF86972D}" name="DEF" dataDxfId="246" dataCellStyle="Comma"/>
    <tableColumn id="9" xr3:uid="{F66C6CCE-FBEC-4192-8745-8EEBC16B4E1F}" name="HP" dataDxfId="245" dataCellStyle="Comma"/>
    <tableColumn id="10" xr3:uid="{A0042476-AA38-4BD1-9F4B-9E4B582EC84B}" name="MS" dataDxfId="244" dataCellStyle="Comma"/>
    <tableColumn id="11" xr3:uid="{649B16BD-B10C-43CE-ADC9-28FBDEE03FBD}" name="DDR" dataDxfId="243" dataCellStyle="Comma"/>
    <tableColumn id="12" xr3:uid="{8FDC7BAB-B8A8-4053-B8A9-76F86EC307EB}" name="SPD" dataDxfId="242" dataCellStyle="Comma"/>
    <tableColumn id="13" xr3:uid="{119D4860-7046-43F1-888A-178EEA329702}" name="STM" dataDxfId="241" dataCellStyle="Comma"/>
    <tableColumn id="14" xr3:uid="{6292FDC4-5622-4C2C-9FC8-347A4FF19F41}" name="MAD" dataDxfId="240" dataCellStyle="Comma"/>
    <tableColumn id="15" xr3:uid="{7E92B82C-F786-4265-B528-A023E3F06232}" name="MDD" dataDxfId="239" dataCellStyle="Comma"/>
    <tableColumn id="16" xr3:uid="{8A34AD32-3260-4C63-B0FD-9E9C980E096A}" name="ATK2" dataDxfId="238" dataCellStyle="Comma"/>
    <tableColumn id="17" xr3:uid="{18193FE4-EA3A-48AA-992A-F7B9BC02926B}" name="DEF3" dataDxfId="237" dataCellStyle="Comma"/>
    <tableColumn id="18" xr3:uid="{4B688084-E8A0-4712-BD4E-FB649B3981F8}" name="HP4" dataDxfId="236" dataCellStyle="Comma"/>
    <tableColumn id="19" xr3:uid="{72A5F422-B14E-4CCA-A7BA-36F1C31E008C}" name="MS5" dataDxfId="235" dataCellStyle="Comma"/>
    <tableColumn id="20" xr3:uid="{CD568419-57CD-4B26-A732-1B8FDE8618EE}" name="DDR2" dataDxfId="234" dataCellStyle="Comma"/>
    <tableColumn id="21" xr3:uid="{4A83BA27-0AE7-4FB7-822C-2C61C8B08BE7}" name="SPD3" dataDxfId="233" dataCellStyle="Comma"/>
    <tableColumn id="22" xr3:uid="{7E4AD53B-DE7C-44D9-9CEB-38DF0620ED0C}" name="STM4" dataDxfId="232" dataCellStyle="Comma"/>
    <tableColumn id="23" xr3:uid="{EBBB5CAB-C4C2-4842-83CF-C16F86B82FF0}" name="MAD2" dataDxfId="231" dataCellStyle="Comma"/>
    <tableColumn id="24" xr3:uid="{71B66A59-3246-4883-8908-9690B4D26E8D}" name="MDD3" dataDxfId="230" dataCellStyle="Comma"/>
    <tableColumn id="25" xr3:uid="{5F145F02-ABAC-40B6-B538-ECCFB866A141}" name="ATK6" dataDxfId="229" dataCellStyle="Comma"/>
    <tableColumn id="26" xr3:uid="{9CBC0CCD-1A1D-449F-9F82-E992779A8F16}" name="DEF7" dataDxfId="228" dataCellStyle="Comma"/>
    <tableColumn id="27" xr3:uid="{8E06B078-14A0-4FBA-9460-325865747562}" name="HP8" dataDxfId="227" dataCellStyle="Comma"/>
    <tableColumn id="28" xr3:uid="{8E760DE4-EF8E-4C85-B451-1728540579C0}" name="MS9" dataDxfId="226" dataCellStyle="Comma"/>
    <tableColumn id="29" xr3:uid="{E6DF299D-220F-4D67-B6E7-C008C28644CD}" name="DDR5" dataDxfId="225" dataCellStyle="Comma"/>
    <tableColumn id="30" xr3:uid="{C799343C-C59A-4A0B-AFAB-1E9470B44585}" name="SPD6" dataDxfId="224" dataCellStyle="Comma"/>
    <tableColumn id="31" xr3:uid="{B8CA0D93-102D-4624-86B5-4A48F76377C4}" name="STM7" dataDxfId="223" dataCellStyle="Comma"/>
    <tableColumn id="32" xr3:uid="{98160300-3466-4BB7-B773-7AD3FC2CCB68}" name="MAD4" dataDxfId="222" dataCellStyle="Comma"/>
    <tableColumn id="33" xr3:uid="{E273D3DD-732C-4CF8-9FE5-118C695E6B0D}" name="MDD5" dataDxfId="221" dataCellStyle="Comma"/>
    <tableColumn id="34" xr3:uid="{D18A0436-1C8C-4DA0-AB2A-266AA32CC58A}" name="ATK10" dataDxfId="220" dataCellStyle="Comma"/>
    <tableColumn id="35" xr3:uid="{C6C86468-ED87-4243-9380-68A73BD9C42E}" name="DEF11" dataDxfId="219" dataCellStyle="Comma"/>
    <tableColumn id="36" xr3:uid="{66DFE853-CD22-4393-BC2E-D23EC1CD1C94}" name="HP12" dataDxfId="218" dataCellStyle="Comma"/>
    <tableColumn id="37" xr3:uid="{E1E14D0B-053B-45D0-8769-406CD1B99C4F}" name="MS13" dataDxfId="217" dataCellStyle="Comma"/>
    <tableColumn id="38" xr3:uid="{88E19116-C26D-4B02-95A6-860514C0A9CE}" name="DDR8" dataDxfId="216" dataCellStyle="Comma"/>
    <tableColumn id="39" xr3:uid="{74215E55-D53C-4029-AEAE-836B3F016758}" name="SPD9" dataDxfId="215" dataCellStyle="Comma"/>
    <tableColumn id="40" xr3:uid="{E9FF12F1-13A3-4493-8534-2EBA8FC3713C}" name="STM10" dataDxfId="214" dataCellStyle="Comma"/>
    <tableColumn id="41" xr3:uid="{53D22492-847F-443D-AA2F-783D6A4CFA00}" name="MAD6" dataDxfId="213" dataCellStyle="Comma"/>
    <tableColumn id="42" xr3:uid="{5D8197A2-4C02-4DD8-87CE-D31E56AB753C}" name="MDD7" dataDxfId="212" dataCellStyle="Comma"/>
    <tableColumn id="43" xr3:uid="{DAE84B08-7708-489A-B850-D8CC51187724}" name="ATK14" dataDxfId="211" dataCellStyle="Explanatory Text">
      <calculatedColumnFormula>900*0.1+(BH3-900)*0.2</calculatedColumnFormula>
    </tableColumn>
    <tableColumn id="44" xr3:uid="{88B9A247-355D-40D6-A877-597F54DE2A77}" name="DEF15" dataDxfId="210" dataCellStyle="Explanatory Text">
      <calculatedColumnFormula>900*0.1+(BI3-900)*0.2</calculatedColumnFormula>
    </tableColumn>
    <tableColumn id="45" xr3:uid="{1E3275A3-30CF-4C85-AADD-F266F28BEDCD}" name="HP16" dataDxfId="209" dataCellStyle="Explanatory Text">
      <calculatedColumnFormula>900*0.1+(BJ3-900)*0.2</calculatedColumnFormula>
    </tableColumn>
    <tableColumn id="46" xr3:uid="{996717E3-1AB1-471B-9608-6220FC3AF02E}" name="ATK17" dataDxfId="208" dataCellStyle="Comma">
      <calculatedColumnFormula>Q3+Z3+AI3+AR3</calculatedColumnFormula>
    </tableColumn>
    <tableColumn id="47" xr3:uid="{7A26E17A-81D5-4777-82A2-4181E1D7E04C}" name="DEF18" dataDxfId="207" dataCellStyle="Comma">
      <calculatedColumnFormula>R3+AA3+AJ3+AS3</calculatedColumnFormula>
    </tableColumn>
    <tableColumn id="48" xr3:uid="{B7ED79E9-05BD-4029-AD17-6E7FB013CD61}" name="HP19" dataDxfId="206" dataCellStyle="Comma">
      <calculatedColumnFormula>S3+AB3+AK3+AT3</calculatedColumnFormula>
    </tableColumn>
    <tableColumn id="49" xr3:uid="{C16EAFA6-E158-492B-84CB-4EFD6FF75E8E}" name="MS20" dataDxfId="205" dataCellStyle="Comma">
      <calculatedColumnFormula>T3+AC3+AL3</calculatedColumnFormula>
    </tableColumn>
    <tableColumn id="50" xr3:uid="{3C42FEA1-79F2-4204-B73A-30CE3BA73509}" name="DDR11" dataDxfId="204" dataCellStyle="Comma">
      <calculatedColumnFormula>U3+AD3+AM3</calculatedColumnFormula>
    </tableColumn>
    <tableColumn id="51" xr3:uid="{C84C7C69-685A-46D2-BC5F-DF1F9604FA32}" name="SPD12" dataDxfId="203" dataCellStyle="Comma">
      <calculatedColumnFormula>V3+AE3+AN3</calculatedColumnFormula>
    </tableColumn>
    <tableColumn id="52" xr3:uid="{34D2CB1C-5FAD-4580-9ADE-B10A2F784532}" name="STM13" dataDxfId="202" dataCellStyle="Comma">
      <calculatedColumnFormula>W3+AF3+AO3</calculatedColumnFormula>
    </tableColumn>
    <tableColumn id="53" xr3:uid="{535D3E2A-F332-4211-875A-1A2B399256CF}" name="MAD8" dataDxfId="201" dataCellStyle="Comma">
      <calculatedColumnFormula>X3+AG3+AP3</calculatedColumnFormula>
    </tableColumn>
    <tableColumn id="54" xr3:uid="{2EE72A73-DF2D-4C22-A4CA-7E40E9ED31AA}" name="MDD9" dataDxfId="200" dataCellStyle="Comma">
      <calculatedColumnFormula>Y3+AH3+AQ3</calculatedColumnFormula>
    </tableColumn>
    <tableColumn id="55" xr3:uid="{BDE135D4-FC1A-47C1-AA3F-34B3D6B645C9}" name="Inc ATK" dataDxfId="199" dataCellStyle="Comma">
      <calculatedColumnFormula>(BR$2*(AX3/100)+BR$2+BR$3)*(BS$2*(AU3/100)+BS$2+BS$3)-BT$2</calculatedColumnFormula>
    </tableColumn>
    <tableColumn id="56" xr3:uid="{A074B162-25C2-4CCB-A44B-F1F8F36FB157}" name="ATK18" dataDxfId="198" dataCellStyle="Comma"/>
    <tableColumn id="57" xr3:uid="{056FE65A-8482-4357-9B86-251C6FDA6839}" name="DEF182" dataDxfId="197" dataCellStyle="Comma"/>
    <tableColumn id="58" xr3:uid="{9A3F5B8C-492E-45DD-85A5-DDDB44818834}" name="LDR" dataDxfId="196" dataCellStyle="Comma"/>
    <tableColumn id="59" xr3:uid="{6EA7E62A-2431-4FBC-BC5D-0A790B99131E}" name="TOTAL ATK18" dataDxfId="195" dataCellStyle="Explanatory Text">
      <calculatedColumnFormula>(BE3+BN3*(BS$9-1))+500+((BE3+BN3*(BS$9-1))+500)*$BT$10</calculatedColumnFormula>
    </tableColumn>
    <tableColumn id="60" xr3:uid="{C0D77017-32BE-495A-A450-E3FF7E888D68}" name="TOTAL DEF182" dataDxfId="194" dataCellStyle="Explanatory Text">
      <calculatedColumnFormula>(BF3+BO3*(BS$9-1))+500+((BF3+BO3*(BS$9-1))+500)*$BT$10</calculatedColumnFormula>
    </tableColumn>
    <tableColumn id="61" xr3:uid="{10337A59-F29C-421E-8414-7CBE59DCA01D}" name="TOTAL LDR" dataDxfId="193" dataCellStyle="Explanatory Text">
      <calculatedColumnFormula>(BG3+BP3*(BS$9-1))+500+((BG3+BP3*(BS$9-1))+500)*$BT$10</calculatedColumnFormula>
    </tableColumn>
    <tableColumn id="62" xr3:uid="{23FE2CCF-4CC3-4261-9DF8-06A6C2644C17}" name="ATK19" dataDxfId="192" dataCellStyle="Comma"/>
    <tableColumn id="63" xr3:uid="{69B61BAD-B727-4BC1-9181-A90C1D92FCAF}" name="DEF4" dataDxfId="191" dataCellStyle="Comma"/>
    <tableColumn id="64" xr3:uid="{2C6543DF-749A-4829-A67A-19A3A6708B7A}" name="LDR5" dataDxfId="190" dataCellStyle="Comma"/>
    <tableColumn id="65" xr3:uid="{2E775D43-944F-46CA-922A-0B9CC27C7216}" name="TOTAL ATK" dataDxfId="189" dataCellStyle="Explanatory Text">
      <calculatedColumnFormula>(((((1+20/100)*$BK3)*(1+20/100)))*(1+20/100))*(1+20/100)*(1+20/100)</calculatedColumnFormula>
    </tableColumn>
    <tableColumn id="66" xr3:uid="{6100A5C0-DBB7-4730-A096-32F0F2F9117C}" name="TOTAL DEF" dataDxfId="188" dataCellStyle="Explanatory Text">
      <calculatedColumnFormula>(((((1+20/100)*$BL3)*(1+20/100)))*(1+20/100))*(1+20/100)*(1+20/100)</calculatedColumnFormula>
    </tableColumn>
    <tableColumn id="67" xr3:uid="{DCEC78A1-18DD-4065-828F-0BA89D3909BA}" name="TOTAL LDR2" dataDxfId="187" dataCellStyle="Explanatory Text">
      <calculatedColumnFormula>(((((1+20/100)*$BM3)*(1+20/100)))*(1+20/100))*(1+20/100)*(1+20/100)</calculatedColumnFormula>
    </tableColumn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C9F50E-5046-4B55-94D1-8028EFE95F1D}" name="Table3" displayName="Table3" ref="B3:AV21" totalsRowShown="0" headerRowDxfId="186" dataDxfId="185" tableBorderDxfId="184" dataCellStyle="Comma">
  <autoFilter ref="B3:AV21" xr:uid="{48C9F50E-5046-4B55-94D1-8028EFE95F1D}">
    <filterColumn colId="1">
      <filters>
        <filter val="Fafnir"/>
      </filters>
    </filterColumn>
  </autoFilter>
  <tableColumns count="47">
    <tableColumn id="1" xr3:uid="{8A57A6D2-8B15-4F47-A136-EFA662C64D25}" name="Where/How" dataDxfId="183"/>
    <tableColumn id="2" xr3:uid="{FC33BC2E-E095-4F50-8119-79797C222D9B}" name="Name" dataDxfId="182"/>
    <tableColumn id="3" xr3:uid="{30BE00A8-403F-4F6E-A33C-827489AE5D82}" name="ATK1414" dataDxfId="181"/>
    <tableColumn id="4" xr3:uid="{C4DE0776-78C1-4243-BFA2-65F31424D434}" name="DEF1515" dataDxfId="180"/>
    <tableColumn id="5" xr3:uid="{10EB9D63-D7E4-4BC0-B575-7440B1A986BD}" name="LDR" dataDxfId="179"/>
    <tableColumn id="6" xr3:uid="{BDDBB1DA-5AAE-4C4D-B7B6-386431CC99AF}" name="Mentions" dataDxfId="178"/>
    <tableColumn id="7" xr3:uid="{A9487DAE-F445-4979-AFC5-6CCBDF1380C4}" name="Effect 1" dataDxfId="177"/>
    <tableColumn id="8" xr3:uid="{B9FD97A9-EB19-499F-B92B-5D78306CCEDA}" name="Effect 2" dataDxfId="176"/>
    <tableColumn id="9" xr3:uid="{6F238A94-7D20-4D2D-9D8C-14F0634613AD}" name="MS" dataDxfId="175" dataCellStyle="Comma"/>
    <tableColumn id="10" xr3:uid="{9FFB2A6B-FEB5-4EC5-8EAC-DF0E298EF126}" name="ATK232" dataDxfId="174" dataCellStyle="Comma"/>
    <tableColumn id="11" xr3:uid="{925C3EC6-5A59-472F-9D9A-578425B4342A}" name="DEF243" dataDxfId="173" dataCellStyle="Comma"/>
    <tableColumn id="12" xr3:uid="{A000EBFA-DA20-4236-89EE-12086973C14A}" name="HP254" dataDxfId="172" dataCellStyle="Comma"/>
    <tableColumn id="13" xr3:uid="{DE9ADB43-F98E-4EE7-BEE3-63566D46100A}" name="ATK265" dataDxfId="171" dataCellStyle="Comma"/>
    <tableColumn id="14" xr3:uid="{2A8467B9-B683-47E7-87EC-DB9E52FE33FA}" name="DEF276" dataDxfId="170" dataCellStyle="Comma"/>
    <tableColumn id="15" xr3:uid="{729AD39C-6D61-4A16-AF67-B8914F140952}" name="HP287" dataDxfId="169" dataCellStyle="Comma"/>
    <tableColumn id="16" xr3:uid="{83117F2A-CAD0-4BCE-B1F5-BE8E1BE1B7C9}" name="ATK298" dataDxfId="168" dataCellStyle="Comma"/>
    <tableColumn id="17" xr3:uid="{EE8A25D6-A09B-4098-B26C-93422CCA39AE}" name="DEF309" dataDxfId="167" dataCellStyle="Comma"/>
    <tableColumn id="18" xr3:uid="{46E868B5-0B6C-4DBA-986E-06F7D7C277E6}" name="HP3110" dataDxfId="166" dataCellStyle="Comma"/>
    <tableColumn id="19" xr3:uid="{43FB338D-0AC0-4DFD-86C9-A6CC768423C5}" name="ATK3211" dataDxfId="165" dataCellStyle="Comma"/>
    <tableColumn id="20" xr3:uid="{09557BB2-70EC-4CCC-B7EC-3E134F9A668E}" name="DEF3312" dataDxfId="164" dataCellStyle="Comma"/>
    <tableColumn id="21" xr3:uid="{08C6A709-812A-4B81-A9DE-FFDD7BFB15D4}" name="HP3413" dataDxfId="163" dataCellStyle="Comma"/>
    <tableColumn id="22" xr3:uid="{F2CCA742-C4E8-4AF1-BC93-D8E66C22916D}" name="MS2" dataDxfId="162" dataCellStyle="Comma"/>
    <tableColumn id="23" xr3:uid="{E97594BD-97C6-476B-A827-A8194542002E}" name="ATK23" dataDxfId="161" dataCellStyle="Comma"/>
    <tableColumn id="24" xr3:uid="{C8BC6B21-DD53-4A9A-9E5A-53A3574939B3}" name="DEF24" dataDxfId="160" dataCellStyle="Comma"/>
    <tableColumn id="25" xr3:uid="{AB3FF8F9-9325-4F19-B014-C1D7A14ED4CF}" name="HP25" dataDxfId="159" dataCellStyle="Comma"/>
    <tableColumn id="26" xr3:uid="{C5FE20B0-6681-4A5A-8369-A9AF1558C855}" name="ATK26" dataDxfId="158" dataCellStyle="Comma"/>
    <tableColumn id="27" xr3:uid="{1E8903E5-C6C5-4E68-812B-E4E06C8B38D0}" name="DEF27" dataDxfId="157" dataCellStyle="Comma"/>
    <tableColumn id="28" xr3:uid="{080E9068-5B8D-4C63-AA58-2A48C82E3ECB}" name="HP28" dataDxfId="156" dataCellStyle="Comma"/>
    <tableColumn id="29" xr3:uid="{B2E5A15E-0968-48D5-B44C-F23145D7B702}" name="ATK29" dataDxfId="155" dataCellStyle="Comma"/>
    <tableColumn id="30" xr3:uid="{54DB965C-317C-453E-A892-173F2FCD9426}" name="DEF30" dataDxfId="154" dataCellStyle="Comma"/>
    <tableColumn id="31" xr3:uid="{3F978C86-E35F-4ACB-92D8-54327B067F89}" name="HP31" dataDxfId="153" dataCellStyle="Comma"/>
    <tableColumn id="32" xr3:uid="{7720F065-AE15-44AF-913B-683F998B9D7D}" name="ATK32" dataDxfId="152" dataCellStyle="Comma"/>
    <tableColumn id="33" xr3:uid="{0A6C0E00-E75E-480E-8652-49E51A7724DA}" name="DEF33" dataDxfId="151" dataCellStyle="Comma"/>
    <tableColumn id="34" xr3:uid="{1570E0B2-B115-49A4-B070-24D552162576}" name="HP34" dataDxfId="150" dataCellStyle="Comma"/>
    <tableColumn id="35" xr3:uid="{942EB2E5-D9CF-44EC-929F-054BA534AA38}" name="MS3" dataDxfId="149" dataCellStyle="Comma">
      <calculatedColumnFormula>J4+W4</calculatedColumnFormula>
    </tableColumn>
    <tableColumn id="36" xr3:uid="{11732789-1DE3-4AE3-8200-CA13A092164E}" name="ATK35" dataDxfId="148" dataCellStyle="Comma">
      <calculatedColumnFormula>K4+X4+(0.2*D4)</calculatedColumnFormula>
    </tableColumn>
    <tableColumn id="37" xr3:uid="{2352DD54-29F0-4DE4-B08A-383C27BD35D8}" name="DEF36" dataDxfId="147" dataCellStyle="Comma">
      <calculatedColumnFormula>L4+Y4+(0.2*E4)</calculatedColumnFormula>
    </tableColumn>
    <tableColumn id="38" xr3:uid="{671B9509-759C-4C71-8932-4BEC403B36FF}" name="HP37" dataDxfId="146" dataCellStyle="Comma">
      <calculatedColumnFormula>M4+Z4+(0.2*F4)</calculatedColumnFormula>
    </tableColumn>
    <tableColumn id="39" xr3:uid="{69B23DDA-4F40-4457-821D-CA579DFD1617}" name="ATK38" dataDxfId="145" dataCellStyle="Comma">
      <calculatedColumnFormula>N4+AA4+(0.2*D4)</calculatedColumnFormula>
    </tableColumn>
    <tableColumn id="40" xr3:uid="{C635945A-BC4A-4CFE-88CD-34D7E7C3A8AD}" name="DEF39" dataDxfId="144" dataCellStyle="Comma">
      <calculatedColumnFormula>O4+AB4+(0.2*E4)</calculatedColumnFormula>
    </tableColumn>
    <tableColumn id="41" xr3:uid="{D9527384-C3D8-4151-84FE-BC360C45D4BF}" name="HP40" dataDxfId="143" dataCellStyle="Comma">
      <calculatedColumnFormula>P4+AC4+(0.2*F4)</calculatedColumnFormula>
    </tableColumn>
    <tableColumn id="42" xr3:uid="{37734EDE-24D2-45EC-B8EA-A799B5540ADB}" name="ATK41" dataDxfId="142" dataCellStyle="Comma">
      <calculatedColumnFormula>Q4+AD4+(0.2*D4)</calculatedColumnFormula>
    </tableColumn>
    <tableColumn id="43" xr3:uid="{1B648FCD-D701-4524-A7A4-6D1DADD3F156}" name="DEF42" dataDxfId="141" dataCellStyle="Comma">
      <calculatedColumnFormula>R4+AE4+(0.2*E4)</calculatedColumnFormula>
    </tableColumn>
    <tableColumn id="44" xr3:uid="{9856BE62-C3F7-47B1-A55A-CBBE02768BC5}" name="HP43" dataDxfId="140" dataCellStyle="Comma">
      <calculatedColumnFormula>S4+AF4+(0.2*F4)</calculatedColumnFormula>
    </tableColumn>
    <tableColumn id="45" xr3:uid="{8F8D43AD-2EEA-4030-9181-C90E8FEC107A}" name="ATK44" dataDxfId="139" dataCellStyle="Comma">
      <calculatedColumnFormula>T4+AG4+(0.2*D4)</calculatedColumnFormula>
    </tableColumn>
    <tableColumn id="46" xr3:uid="{A820F997-AEF6-473A-B05F-E1E9B0AC2D09}" name="DEF45" dataDxfId="138" dataCellStyle="Comma">
      <calculatedColumnFormula>U4+AH4+(0.2*E4)</calculatedColumnFormula>
    </tableColumn>
    <tableColumn id="47" xr3:uid="{23B06CFB-A801-4038-9FEE-8B7C2F6FA5E1}" name="HP46" dataDxfId="137" dataCellStyle="Comma">
      <calculatedColumnFormula>V4+AI4+(0.2*F4)</calculatedColumnFormula>
    </tableColumn>
  </tableColumns>
  <tableStyleInfo name="TableStyleMedium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9C8D9E-CE8F-4A4A-BDCD-D51D88E51A2F}" name="Table4" displayName="Table4" ref="B26:AV44" totalsRowShown="0" headerRowDxfId="136" dataDxfId="135" tableBorderDxfId="134" dataCellStyle="Comma">
  <autoFilter ref="B26:AV44" xr:uid="{E39C8D9E-CE8F-4A4A-BDCD-D51D88E51A2F}">
    <filterColumn colId="1">
      <filters>
        <filter val="Fafnir"/>
      </filters>
    </filterColumn>
  </autoFilter>
  <tableColumns count="47">
    <tableColumn id="1" xr3:uid="{E7AD8F45-18CE-4568-84CD-84705D01FCC9}" name="Where/How" dataDxfId="133"/>
    <tableColumn id="2" xr3:uid="{7EFD142A-6F8C-472F-8860-34A4686321B1}" name="Name" dataDxfId="132"/>
    <tableColumn id="3" xr3:uid="{B3F0E4C3-0F0C-440C-8AA8-6E651EDC3C43}" name="ATK1414" dataDxfId="131"/>
    <tableColumn id="4" xr3:uid="{8724EFF4-4D21-4EC7-A424-8A31CD8A755C}" name="DEF1515" dataDxfId="130"/>
    <tableColumn id="5" xr3:uid="{DB396944-1CF8-484E-8DD2-25FC8EE06F11}" name="LDR" dataDxfId="129"/>
    <tableColumn id="6" xr3:uid="{C1400094-4673-4259-B631-A5128E11BB9F}" name="Mentions" dataDxfId="128"/>
    <tableColumn id="7" xr3:uid="{C67BC543-8E86-4CE4-9AD9-BB446A1684A3}" name="Effect 1"/>
    <tableColumn id="8" xr3:uid="{A597066C-2D18-4D85-9436-E9F513F624FB}" name="Effect 2"/>
    <tableColumn id="9" xr3:uid="{F3F8B666-0790-411C-B002-BB5E4C8652EF}" name="MS" dataDxfId="127" dataCellStyle="Comma"/>
    <tableColumn id="10" xr3:uid="{A011901F-AD1A-44B1-BC77-5D2974E9F434}" name="ATK232" dataDxfId="126" dataCellStyle="Comma"/>
    <tableColumn id="11" xr3:uid="{25C86793-6D1D-43A0-8432-D916AE500AC6}" name="DEF243" dataDxfId="125" dataCellStyle="Comma"/>
    <tableColumn id="12" xr3:uid="{F84AD739-CD27-4874-8A3D-366A531584F3}" name="HP254" dataDxfId="124" dataCellStyle="Comma"/>
    <tableColumn id="13" xr3:uid="{15B0D9D0-2F46-4C4B-A493-42B06DF5AA1A}" name="ATK265" dataDxfId="123" dataCellStyle="Comma"/>
    <tableColumn id="14" xr3:uid="{BC74AB28-88DC-4933-8E27-0060D451F4D2}" name="DEF276" dataDxfId="122" dataCellStyle="Comma"/>
    <tableColumn id="15" xr3:uid="{9FCA5B0B-5EDE-46D0-94D1-3C5C01B1F9F7}" name="HP287" dataDxfId="121" dataCellStyle="Comma"/>
    <tableColumn id="16" xr3:uid="{2EF88798-4F9A-46CF-9CD5-EA4DCBFDD396}" name="ATK298" dataDxfId="120" dataCellStyle="Comma"/>
    <tableColumn id="17" xr3:uid="{99E7A834-25E2-4CFA-8942-4B109D45CC94}" name="DEF309" dataDxfId="119" dataCellStyle="Comma"/>
    <tableColumn id="18" xr3:uid="{4959BD81-3475-4AD3-AEE8-B4341A9124FA}" name="HP3110" dataDxfId="118" dataCellStyle="Comma"/>
    <tableColumn id="19" xr3:uid="{7ECA70B9-963E-46BD-82C5-A37BD768FD5F}" name="ATK3211" dataDxfId="117" dataCellStyle="Comma"/>
    <tableColumn id="20" xr3:uid="{8AB9B23A-6B33-4C21-8715-7AAACF7DD9ED}" name="DEF3312" dataDxfId="116" dataCellStyle="Comma"/>
    <tableColumn id="21" xr3:uid="{A3E5B57D-5640-4209-ADBA-EB581AEC779C}" name="HP3413" dataDxfId="115" dataCellStyle="Comma"/>
    <tableColumn id="22" xr3:uid="{B9E8AA4A-5C7B-43E6-BEF3-AC4B1E3897DF}" name="MS2" dataDxfId="114" dataCellStyle="Comma"/>
    <tableColumn id="23" xr3:uid="{6D086C4C-854A-4559-8EAF-752AA184ED81}" name="ATK23" dataDxfId="113" dataCellStyle="Comma"/>
    <tableColumn id="24" xr3:uid="{32CC5CDA-714F-4F3F-9AF3-C2AFD7E76DA3}" name="DEF24" dataDxfId="112" dataCellStyle="Comma"/>
    <tableColumn id="25" xr3:uid="{78DB78E7-DB83-48E7-B557-9E8A77EFE253}" name="HP25" dataDxfId="111" dataCellStyle="Comma"/>
    <tableColumn id="26" xr3:uid="{6715C554-F59F-4CEE-A6F2-02546C15209D}" name="ATK26" dataDxfId="110" dataCellStyle="Comma"/>
    <tableColumn id="27" xr3:uid="{A386D8BD-FBF0-4764-9926-234F5D4FD491}" name="DEF27" dataDxfId="109" dataCellStyle="Comma"/>
    <tableColumn id="28" xr3:uid="{B3708152-78EB-4E06-9A72-49E53FBD1E76}" name="HP28" dataDxfId="108" dataCellStyle="Comma"/>
    <tableColumn id="29" xr3:uid="{E5625EDD-6407-4AA9-8ED8-E33C959A02D4}" name="ATK29" dataDxfId="107" dataCellStyle="Comma"/>
    <tableColumn id="30" xr3:uid="{0FB82582-514D-4769-BA4E-23993C000410}" name="DEF30" dataDxfId="106" dataCellStyle="Comma"/>
    <tableColumn id="31" xr3:uid="{949A3B99-E12C-4DE6-A538-1404B3539915}" name="HP31" dataDxfId="105" dataCellStyle="Comma"/>
    <tableColumn id="32" xr3:uid="{EA99387C-8444-4E86-B9E4-3FB5CCBEA81F}" name="ATK32" dataDxfId="104" dataCellStyle="Comma"/>
    <tableColumn id="33" xr3:uid="{839526B2-0D76-4D3A-817C-55B02A6FD5F1}" name="DEF33" dataDxfId="103" dataCellStyle="Comma"/>
    <tableColumn id="34" xr3:uid="{C76E5509-76A3-4A1B-A407-09A6A84C8795}" name="HP34" dataDxfId="102" dataCellStyle="Comma"/>
    <tableColumn id="35" xr3:uid="{A4AD8722-F23F-4CD6-8951-695D25B6D910}" name="MS3" dataDxfId="101" dataCellStyle="Comma"/>
    <tableColumn id="36" xr3:uid="{0F243355-2FA0-447F-9D4A-73AEFDCA4407}" name="ATK35" dataDxfId="100" dataCellStyle="Comma">
      <calculatedColumnFormula>K27+X27+(0.2*D27)</calculatedColumnFormula>
    </tableColumn>
    <tableColumn id="37" xr3:uid="{442125BB-04DD-4532-8427-5905EF6878E0}" name="DEF36" dataDxfId="99" dataCellStyle="Comma">
      <calculatedColumnFormula>L27+Y27+(0.2*E27)</calculatedColumnFormula>
    </tableColumn>
    <tableColumn id="38" xr3:uid="{EA41CE99-45CC-43F6-B085-6CB795BEA007}" name="HP37" dataDxfId="98" dataCellStyle="Comma">
      <calculatedColumnFormula>M27+Z27+(0.2*F27)</calculatedColumnFormula>
    </tableColumn>
    <tableColumn id="39" xr3:uid="{D786AE24-E028-4CF8-910B-073555D5B5A3}" name="ATK38" dataDxfId="97" dataCellStyle="Comma">
      <calculatedColumnFormula>N27+AA27+(0.2*D27)</calculatedColumnFormula>
    </tableColumn>
    <tableColumn id="40" xr3:uid="{8667EE4D-694D-4FB6-86EA-53C34753271F}" name="DEF39" dataDxfId="96" dataCellStyle="Comma">
      <calculatedColumnFormula>O27+AB27+(0.2*E27)</calculatedColumnFormula>
    </tableColumn>
    <tableColumn id="41" xr3:uid="{8C411135-B785-468E-AAC8-2CC12E57FB13}" name="HP40" dataDxfId="95" dataCellStyle="Comma">
      <calculatedColumnFormula>P27+AC27+(0.2*F27)</calculatedColumnFormula>
    </tableColumn>
    <tableColumn id="42" xr3:uid="{90F303BB-C12E-4E35-8A2F-20FDE44D38B6}" name="ATK41" dataDxfId="94" dataCellStyle="Comma">
      <calculatedColumnFormula>Q27+AD27+(0.2*D27)</calculatedColumnFormula>
    </tableColumn>
    <tableColumn id="43" xr3:uid="{CDCFEDB4-F5BC-4B66-BF3D-AC71E7663D4A}" name="DEF42" dataDxfId="93" dataCellStyle="Comma">
      <calculatedColumnFormula>R27+AE27+(0.2*E27)</calculatedColumnFormula>
    </tableColumn>
    <tableColumn id="44" xr3:uid="{1554582D-C269-42C7-90E6-C05AA6078C62}" name="HP43" dataDxfId="92" dataCellStyle="Comma">
      <calculatedColumnFormula>S27+AF27+(0.2*F27)</calculatedColumnFormula>
    </tableColumn>
    <tableColumn id="45" xr3:uid="{CEA97694-D802-4D32-B815-356D193567C1}" name="ATK44" dataDxfId="91" dataCellStyle="Comma">
      <calculatedColumnFormula>T27+AG27+(0.2*D27)</calculatedColumnFormula>
    </tableColumn>
    <tableColumn id="46" xr3:uid="{F367C577-0863-4FDB-B15C-03E11EF5E074}" name="DEF45" dataDxfId="90" dataCellStyle="Comma">
      <calculatedColumnFormula>U27+AH27+(0.2*E27)</calculatedColumnFormula>
    </tableColumn>
    <tableColumn id="47" xr3:uid="{2149B610-5B70-41AB-9748-8B8DFFE5A314}" name="HP46" dataDxfId="89" dataCellStyle="Comma">
      <calculatedColumnFormula>V27+AI27+(0.2*F27)</calculatedColumnFormula>
    </tableColumn>
  </tableColumns>
  <tableStyleInfo name="TableStyleMedium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BF4F5D-7C1E-40CF-AB4A-FE127CC1D791}" name="Table6" displayName="Table6" ref="B49:AS67" totalsRowShown="0" headerRowDxfId="88" dataDxfId="87" tableBorderDxfId="86" dataCellStyle="Comma">
  <autoFilter ref="B49:AS67" xr:uid="{FEBF4F5D-7C1E-40CF-AB4A-FE127CC1D791}">
    <filterColumn colId="1">
      <filters>
        <filter val="Fafnir"/>
      </filters>
    </filterColumn>
  </autoFilter>
  <tableColumns count="44">
    <tableColumn id="1" xr3:uid="{52C3DAF6-53D7-48AF-A4F6-CA6B81019BAB}" name="Where/How" dataDxfId="85"/>
    <tableColumn id="2" xr3:uid="{4B201CD5-2EBA-4AFA-B223-171DB1CB533C}" name="Name" dataDxfId="84"/>
    <tableColumn id="3" xr3:uid="{7AC5AB68-B09B-494E-A46D-3BEB47ED3133}" name="ATK1414" dataDxfId="83"/>
    <tableColumn id="4" xr3:uid="{AA2FDAE9-C613-44AB-894E-AC2086E187B0}" name="DEF1515" dataDxfId="82"/>
    <tableColumn id="5" xr3:uid="{104A192D-7CCA-4348-AABA-A454AA49C21A}" name="LDR" dataDxfId="81"/>
    <tableColumn id="6" xr3:uid="{160B1E79-32AE-4F0A-BDA5-CCC7C45CAFA3}" name="Mentions" dataDxfId="80"/>
    <tableColumn id="7" xr3:uid="{51206612-86C8-4D34-8298-88044563CE49}" name="Effect 1"/>
    <tableColumn id="8" xr3:uid="{60C5276D-A0AE-433B-A2C7-37FA389BBB2D}" name="Effect 2"/>
    <tableColumn id="9" xr3:uid="{73BBF633-967D-4DA5-95E5-35B7BEDC72C5}" name="ATK11" dataDxfId="79" dataCellStyle="Comma"/>
    <tableColumn id="10" xr3:uid="{A310E3C5-4D9B-4127-BE4A-B8AB0C3E653C}" name="DEF12" dataDxfId="78" dataCellStyle="Comma"/>
    <tableColumn id="11" xr3:uid="{D96F8A22-A7A0-414F-973E-7A91D02E0CFF}" name="HP13" dataDxfId="77" dataCellStyle="Comma"/>
    <tableColumn id="12" xr3:uid="{47BDCFCB-AF24-4B31-886B-BAC287EB7AC2}" name="ATK14" dataDxfId="76" dataCellStyle="Comma"/>
    <tableColumn id="13" xr3:uid="{491161A8-CC64-4BC7-B197-C4DD6AD41D6A}" name="DEF15" dataDxfId="75" dataCellStyle="Comma"/>
    <tableColumn id="14" xr3:uid="{62AF9CE4-9249-42AE-B8CF-C69745F8B0C5}" name="HP16" dataDxfId="74" dataCellStyle="Comma"/>
    <tableColumn id="15" xr3:uid="{397B28AA-BB64-476C-ADBC-ADE360F00D77}" name="ATK17" dataDxfId="73" dataCellStyle="Comma"/>
    <tableColumn id="16" xr3:uid="{E523D757-8D92-4518-BC1A-B70EEDBCA08A}" name="DEF18" dataDxfId="72" dataCellStyle="Comma"/>
    <tableColumn id="17" xr3:uid="{850085A4-CAB2-4976-8449-6C2BDE647BCB}" name="HP19" dataDxfId="71" dataCellStyle="Comma"/>
    <tableColumn id="18" xr3:uid="{8A354B1C-1D1B-4C34-9999-DCD3ABBF73A4}" name="ATK20" dataDxfId="70" dataCellStyle="Comma"/>
    <tableColumn id="19" xr3:uid="{849F1753-B08F-4E71-B7CA-0479B6922976}" name="DEF21" dataDxfId="69" dataCellStyle="Comma"/>
    <tableColumn id="20" xr3:uid="{FA4C26AF-8BDB-4850-9E6B-1075FD9244C2}" name="HP22" dataDxfId="68" dataCellStyle="Comma"/>
    <tableColumn id="21" xr3:uid="{2BB11D61-076B-4738-A5DD-FF4CC4248A03}" name="ATK" dataDxfId="67" dataCellStyle="Comma"/>
    <tableColumn id="22" xr3:uid="{44A145C3-7D74-40C5-969D-A2541038536D}" name="DEF" dataDxfId="66" dataCellStyle="Comma"/>
    <tableColumn id="23" xr3:uid="{0085048F-10F3-4ABC-9A01-688F0CCF7610}" name="HP" dataDxfId="65" dataCellStyle="Comma"/>
    <tableColumn id="24" xr3:uid="{6DA34923-4BDE-465F-8EBC-7FFCF4053826}" name="ATK2" dataDxfId="64" dataCellStyle="Comma"/>
    <tableColumn id="25" xr3:uid="{8DEC8C8B-CED4-4D95-82CD-1CCE105A9799}" name="DEF3" dataDxfId="63" dataCellStyle="Comma"/>
    <tableColumn id="26" xr3:uid="{6C05197F-D3A5-4EEE-8BAE-71A31949F803}" name="HP4" dataDxfId="62" dataCellStyle="Comma"/>
    <tableColumn id="27" xr3:uid="{52D7C451-70B5-44D2-92B6-3414618D1D76}" name="ATK5" dataDxfId="61" dataCellStyle="Comma"/>
    <tableColumn id="28" xr3:uid="{C93B7D56-DBFA-4BE3-9445-FC49323C7639}" name="DEF6" dataDxfId="60" dataCellStyle="Comma"/>
    <tableColumn id="29" xr3:uid="{45E9AEEE-F7BC-4A1D-93D1-3B414C069110}" name="HP7" dataDxfId="59" dataCellStyle="Comma"/>
    <tableColumn id="30" xr3:uid="{DBA4DA0C-0C25-45E7-89FC-8A661DE74FFD}" name="ATK8" dataDxfId="58" dataCellStyle="Comma"/>
    <tableColumn id="31" xr3:uid="{599A27EF-A9D2-4612-B1AC-395524A9E368}" name="DEF9" dataDxfId="57" dataCellStyle="Comma"/>
    <tableColumn id="32" xr3:uid="{C9494E37-616C-46B3-9829-7B84CEE0664F}" name="HP10" dataDxfId="56" dataCellStyle="Comma"/>
    <tableColumn id="33" xr3:uid="{8AA3A560-BC3D-4CBA-86CC-EDCAC557DF51}" name="ATK352" dataDxfId="55" dataCellStyle="Comma">
      <calculatedColumnFormula>J50+V50</calculatedColumnFormula>
    </tableColumn>
    <tableColumn id="34" xr3:uid="{C7C7C86C-4C71-4131-87A4-926966D64A50}" name="DEF363" dataDxfId="54" dataCellStyle="Comma">
      <calculatedColumnFormula>K50+W50</calculatedColumnFormula>
    </tableColumn>
    <tableColumn id="35" xr3:uid="{3A9FD7EC-991D-4BE8-8A14-611E4F517442}" name="HP374" dataDxfId="53" dataCellStyle="Comma">
      <calculatedColumnFormula>L50+X50</calculatedColumnFormula>
    </tableColumn>
    <tableColumn id="36" xr3:uid="{77B626EF-B092-4059-9520-A396C73AFAAA}" name="ATK385" dataDxfId="52" dataCellStyle="Comma">
      <calculatedColumnFormula>M50+Y50</calculatedColumnFormula>
    </tableColumn>
    <tableColumn id="37" xr3:uid="{3316C9CC-B769-4A99-9B8B-66309D740F92}" name="DEF396" dataDxfId="51" dataCellStyle="Comma">
      <calculatedColumnFormula>N50+Z50</calculatedColumnFormula>
    </tableColumn>
    <tableColumn id="38" xr3:uid="{A9361A6A-3D29-4792-AD5F-57538E28C964}" name="HP407" dataDxfId="50" dataCellStyle="Comma">
      <calculatedColumnFormula>O50+AA50</calculatedColumnFormula>
    </tableColumn>
    <tableColumn id="39" xr3:uid="{A7BA36CF-D6C3-4490-BFDD-A8EA572580FF}" name="ATK418" dataDxfId="49" dataCellStyle="Comma">
      <calculatedColumnFormula>P50+AB50</calculatedColumnFormula>
    </tableColumn>
    <tableColumn id="40" xr3:uid="{B746F89D-4D9D-442B-A533-26D1C08EFAFE}" name="DEF429" dataDxfId="48" dataCellStyle="Comma">
      <calculatedColumnFormula>Q50+AC50</calculatedColumnFormula>
    </tableColumn>
    <tableColumn id="41" xr3:uid="{4B03420B-862A-43B5-970B-1D46E44BD860}" name="HP4310" dataDxfId="47" dataCellStyle="Comma">
      <calculatedColumnFormula>R50+AD50</calculatedColumnFormula>
    </tableColumn>
    <tableColumn id="42" xr3:uid="{7242837B-48C2-4A7A-A0C7-7F4278A6E03C}" name="ATK4411" dataDxfId="46" dataCellStyle="Comma">
      <calculatedColumnFormula>S50+AE50</calculatedColumnFormula>
    </tableColumn>
    <tableColumn id="43" xr3:uid="{4B96F354-F752-4D5B-9457-043CA3285227}" name="DEF4512" dataDxfId="45" dataCellStyle="Comma">
      <calculatedColumnFormula>T50+AF50</calculatedColumnFormula>
    </tableColumn>
    <tableColumn id="44" xr3:uid="{315B5927-B383-4264-8056-26639399CF45}" name="HP4613" dataDxfId="44" dataCellStyle="Comma">
      <calculatedColumnFormula>U50+AG50</calculatedColumnFormula>
    </tableColumn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363DA2-1771-43AE-993C-56FF78E3010D}" name="Table9" displayName="Table9" ref="A1:F100" totalsRowShown="0" headerRowDxfId="43" headerRowBorderDxfId="42">
  <autoFilter ref="A1:F100" xr:uid="{C2363DA2-1771-43AE-993C-56FF78E3010D}"/>
  <tableColumns count="6">
    <tableColumn id="1" xr3:uid="{178F9E83-8F4D-4BF8-B5BE-69BA94334836}" name="Main Covenant"/>
    <tableColumn id="2" xr3:uid="{17BFAA69-4D3A-4BD7-87D4-9989DA37D16D}" name="Covenant I"/>
    <tableColumn id="3" xr3:uid="{691EB166-4E05-491E-8B7E-DE9657EDF23F}" name="Covenant II"/>
    <tableColumn id="4" xr3:uid="{5D4701C5-32BE-433A-B070-AFE5CC56E038}" name="Covenant III"/>
    <tableColumn id="5" xr3:uid="{782DF9CA-A112-4840-A1C7-8F75BCE38FE2}" name="Gold Buff 1"/>
    <tableColumn id="6" xr3:uid="{2E87F073-8F3A-4507-A65B-C13A35D863D7}" name="Gold Buff 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BF72-8BE2-4DEF-A290-DCFC119E6CE8}">
  <sheetPr>
    <tabColor theme="1"/>
  </sheetPr>
  <dimension ref="B1:AC31"/>
  <sheetViews>
    <sheetView showGridLines="0" zoomScaleNormal="100" workbookViewId="0">
      <selection activeCell="C7" sqref="C7"/>
    </sheetView>
  </sheetViews>
  <sheetFormatPr defaultRowHeight="15.75" customHeight="1" x14ac:dyDescent="0.25"/>
  <cols>
    <col min="1" max="1" width="0.7109375" style="10" customWidth="1"/>
    <col min="2" max="2" width="9" style="10" bestFit="1" customWidth="1"/>
    <col min="3" max="3" width="19.7109375" style="10" bestFit="1" customWidth="1"/>
    <col min="4" max="4" width="10.42578125" style="11" bestFit="1" customWidth="1"/>
    <col min="5" max="5" width="8.140625" style="11" bestFit="1" customWidth="1"/>
    <col min="6" max="6" width="9.42578125" style="11" bestFit="1" customWidth="1"/>
    <col min="7" max="7" width="10.28515625" style="11" bestFit="1" customWidth="1"/>
    <col min="8" max="8" width="14.28515625" style="11" customWidth="1"/>
    <col min="9" max="9" width="1.7109375" style="10" customWidth="1"/>
    <col min="10" max="10" width="9.42578125" style="10" hidden="1" customWidth="1"/>
    <col min="11" max="11" width="9" style="10" bestFit="1" customWidth="1"/>
    <col min="12" max="12" width="18.28515625" style="10" bestFit="1" customWidth="1"/>
    <col min="13" max="13" width="6.5703125" style="10" bestFit="1" customWidth="1"/>
    <col min="14" max="14" width="8.140625" style="10" bestFit="1" customWidth="1"/>
    <col min="15" max="15" width="10.42578125" style="10" customWidth="1"/>
    <col min="16" max="16" width="10.28515625" style="10" bestFit="1" customWidth="1"/>
    <col min="17" max="17" width="14.28515625" style="10" customWidth="1"/>
    <col min="18" max="18" width="1.42578125" style="10" customWidth="1"/>
    <col min="19" max="21" width="9.140625" style="10"/>
    <col min="22" max="22" width="9.42578125" style="10" bestFit="1" customWidth="1"/>
    <col min="23" max="23" width="7.42578125" style="10" bestFit="1" customWidth="1"/>
    <col min="24" max="24" width="3.42578125" style="10" bestFit="1" customWidth="1"/>
    <col min="25" max="25" width="7.42578125" style="10" bestFit="1" customWidth="1"/>
    <col min="26" max="26" width="9.42578125" style="10" bestFit="1" customWidth="1"/>
    <col min="27" max="16384" width="9.140625" style="10"/>
  </cols>
  <sheetData>
    <row r="1" spans="2:29" ht="15.75" customHeight="1" thickBot="1" x14ac:dyDescent="0.3"/>
    <row r="2" spans="2:29" ht="15.75" customHeight="1" x14ac:dyDescent="0.25">
      <c r="B2" s="438" t="s">
        <v>264</v>
      </c>
      <c r="C2" s="439"/>
      <c r="D2" s="439"/>
      <c r="E2" s="439"/>
      <c r="F2" s="439"/>
      <c r="G2" s="439"/>
      <c r="H2" s="440"/>
      <c r="K2" s="444" t="s">
        <v>268</v>
      </c>
      <c r="L2" s="445"/>
      <c r="M2" s="445"/>
      <c r="N2" s="445"/>
      <c r="O2" s="445"/>
      <c r="P2" s="445"/>
      <c r="Q2" s="446"/>
      <c r="S2" s="480" t="s">
        <v>474</v>
      </c>
      <c r="T2" s="481"/>
      <c r="U2" s="481"/>
      <c r="V2" s="481"/>
      <c r="W2" s="481"/>
      <c r="X2" s="481"/>
      <c r="Y2" s="481"/>
      <c r="Z2" s="481"/>
      <c r="AA2" s="481"/>
      <c r="AB2" s="481"/>
      <c r="AC2" s="482"/>
    </row>
    <row r="3" spans="2:29" ht="15.75" customHeight="1" thickBot="1" x14ac:dyDescent="0.3">
      <c r="B3" s="441"/>
      <c r="C3" s="442"/>
      <c r="D3" s="442"/>
      <c r="E3" s="442"/>
      <c r="F3" s="442"/>
      <c r="G3" s="442"/>
      <c r="H3" s="443"/>
      <c r="K3" s="447"/>
      <c r="L3" s="448"/>
      <c r="M3" s="448"/>
      <c r="N3" s="448"/>
      <c r="O3" s="448"/>
      <c r="P3" s="448"/>
      <c r="Q3" s="449"/>
      <c r="S3" s="483"/>
      <c r="T3" s="484"/>
      <c r="U3" s="485"/>
      <c r="V3" s="485"/>
      <c r="W3" s="485"/>
      <c r="X3" s="485"/>
      <c r="Y3" s="485"/>
      <c r="Z3" s="485"/>
      <c r="AA3" s="485"/>
      <c r="AB3" s="484"/>
      <c r="AC3" s="486"/>
    </row>
    <row r="4" spans="2:29" ht="15.75" customHeight="1" thickBot="1" x14ac:dyDescent="0.3">
      <c r="B4" s="420" t="s">
        <v>265</v>
      </c>
      <c r="C4" s="12" t="s">
        <v>260</v>
      </c>
      <c r="D4" s="13" t="s">
        <v>201</v>
      </c>
      <c r="E4" s="13" t="s">
        <v>202</v>
      </c>
      <c r="F4" s="13" t="s">
        <v>205</v>
      </c>
      <c r="G4" s="13" t="s">
        <v>204</v>
      </c>
      <c r="H4" s="14" t="s">
        <v>263</v>
      </c>
      <c r="K4" s="420" t="s">
        <v>265</v>
      </c>
      <c r="L4" s="12" t="s">
        <v>260</v>
      </c>
      <c r="M4" s="13" t="s">
        <v>201</v>
      </c>
      <c r="N4" s="13" t="s">
        <v>202</v>
      </c>
      <c r="O4" s="13" t="s">
        <v>205</v>
      </c>
      <c r="P4" s="13" t="s">
        <v>204</v>
      </c>
      <c r="Q4" s="14" t="s">
        <v>263</v>
      </c>
      <c r="S4" s="515" t="s">
        <v>260</v>
      </c>
      <c r="T4" s="516"/>
      <c r="U4" s="462" t="s">
        <v>2</v>
      </c>
      <c r="V4" s="75" t="s">
        <v>201</v>
      </c>
      <c r="W4" s="76">
        <f>VLOOKUP(S5,Table17[[General]:[ATK38]],53,FALSE)+VLOOKUP(S8,Table18[[General]:[ATK38]],53,FALSE)+VLOOKUP(S11,Table4[[Name]:[ATK38]],38,0)</f>
        <v>379.65781027840001</v>
      </c>
      <c r="X4" s="80" t="str">
        <f t="shared" ref="X4:X19" si="0">IF(W4&gt;Y4, "&gt;", IF(W4=Y4, "=", "&lt;"))</f>
        <v>&lt;</v>
      </c>
      <c r="Y4" s="76">
        <f>VLOOKUP(AB5,Table17[[General]:[ATK38]],53,FALSE)+VLOOKUP(AB8,Table18[[General]:[ATK38]],53,FALSE)+VLOOKUP(AB11,Table4[[Name]:[ATK38]],38,0)</f>
        <v>383.65781027840001</v>
      </c>
      <c r="Z4" s="75" t="s">
        <v>201</v>
      </c>
      <c r="AA4" s="506" t="s">
        <v>2</v>
      </c>
      <c r="AB4" s="499" t="s">
        <v>260</v>
      </c>
      <c r="AC4" s="500"/>
    </row>
    <row r="5" spans="2:29" ht="15.75" customHeight="1" thickTop="1" thickBot="1" x14ac:dyDescent="0.3">
      <c r="B5" s="421"/>
      <c r="C5" s="29" t="s">
        <v>816</v>
      </c>
      <c r="D5" s="94">
        <f>((VLOOKUP(C5,GROUND!C$2:AE$53,29,FALSE))+(VLOOKUP(C7,GROUND!C$56:AE$107,29,FALSE)))+D8+VLOOKUP(H8,Table3[[Name]:[ATK38]],38,0)</f>
        <v>669.91632389119991</v>
      </c>
      <c r="E5" s="93">
        <f>(VLOOKUP(C5,GROUND!C$2:AF$53,30,FALSE))+(VLOOKUP(C7,GROUND!C$56:AF$107,30,FALSE))+E8+VLOOKUP(H8,Table3[[Name]:[DEF39]],39,0)</f>
        <v>505.10018580479993</v>
      </c>
      <c r="F5" s="93">
        <f>(VLOOKUP(C5,GROUND!C$2:AG$53,31,FALSE))+(VLOOKUP(C7,GROUND!C$56:AG$107,31,FALSE))+F8+VLOOKUP(H8,Table3[[Name]:[HP40]],40,0)</f>
        <v>529.29957283839997</v>
      </c>
      <c r="G5" s="93">
        <f>(VLOOKUP(C5,GROUND!C$2:AH$53,32,FALSE))+(VLOOKUP(C7,GROUND!C$56:AH$107,32,FALSE))+G8+VLOOKUP(H8,Table3[[Name]:[MS3]],34,0)</f>
        <v>40</v>
      </c>
      <c r="H5" s="302">
        <f>(GROUND!AW2*('Comparison Tool'!G5/100)+GROUND!AW2+GROUND!AW3)*(GROUND!AX2*('Comparison Tool'!D5/100)+GROUND!AX2+GROUND!AX3)-GROUND!AY2</f>
        <v>114956286384.9184</v>
      </c>
      <c r="K5" s="421"/>
      <c r="L5" s="29" t="s">
        <v>528</v>
      </c>
      <c r="M5" s="94">
        <f>(VLOOKUP(L5,RANGED!C2:AE60,29,FALSE)+(VLOOKUP('Comparison Tool'!L7,RANGED!C63:AE121,29,FALSE)))+M8+VLOOKUP(Q8,Table3[[Name]:[ATK41]],41,0)</f>
        <v>572.58863037439994</v>
      </c>
      <c r="N5" s="93">
        <f>(VLOOKUP(L5,RANGED!C2:AF60,30,FALSE)+(VLOOKUP('Comparison Tool'!L7,RANGED!C63:AF121,30,FALSE)))+N8+VLOOKUP(Q8,Table3[[Name]:[DEF42]],42,0)</f>
        <v>369.20024698880002</v>
      </c>
      <c r="O5" s="93">
        <f>(VLOOKUP(L5,RANGED!C2:AG60,31,FALSE)+(VLOOKUP('Comparison Tool'!L7,RANGED!C63:AG121,31,FALSE)))+O8+VLOOKUP(Q8,Table3[[Name]:[HP43]],43,0)</f>
        <v>385.00453831679999</v>
      </c>
      <c r="P5" s="93">
        <f>(VLOOKUP(L5,RANGED!C$2:AH$60,32,FALSE)+(VLOOKUP('Comparison Tool'!L7,RANGED!C$63:AH$121,32,FALSE)))+P8+VLOOKUP(Q8,Table3[[Name]:[MS3]],34,0)</f>
        <v>42</v>
      </c>
      <c r="Q5" s="302">
        <f>(RANGED!AW2*('Comparison Tool'!P5/100)+RANGED!AW2+RANGED!AW3)*(RANGED!AX2*('Comparison Tool'!M5/100)+RANGED!AX2+RANGED!AX3)-RANGED!AY2</f>
        <v>116730269474.07928</v>
      </c>
      <c r="S5" s="517" t="s">
        <v>686</v>
      </c>
      <c r="T5" s="518"/>
      <c r="U5" s="463"/>
      <c r="V5" s="13" t="s">
        <v>202</v>
      </c>
      <c r="W5" s="31">
        <f>VLOOKUP(S5,Table17[[General]:[DEF39]],54,FALSE)+VLOOKUP(S8,Table18[[General]:[DEF39]],54,FALSE)+VLOOKUP(S11,Table4[[Name]:[DEF39]],39,0)</f>
        <v>310.18697502719994</v>
      </c>
      <c r="X5" s="81" t="str">
        <f t="shared" si="0"/>
        <v>&lt;</v>
      </c>
      <c r="Y5" s="31">
        <f>VLOOKUP(AB5,Table17[[General]:[DEF39]],54,FALSE)+VLOOKUP(AB8,Table18[[General]:[DEF39]],54,FALSE)+VLOOKUP(AB11,Table4[[Name]:[DEF39]],39,0)</f>
        <v>360.18697502719994</v>
      </c>
      <c r="Z5" s="13" t="s">
        <v>202</v>
      </c>
      <c r="AA5" s="507"/>
      <c r="AB5" s="501" t="s">
        <v>686</v>
      </c>
      <c r="AC5" s="502"/>
    </row>
    <row r="6" spans="2:29" ht="15.75" customHeight="1" thickTop="1" thickBot="1" x14ac:dyDescent="0.3">
      <c r="B6" s="420"/>
      <c r="C6" s="15" t="s">
        <v>261</v>
      </c>
      <c r="D6" s="16">
        <f>D5-D12</f>
        <v>-12.28019927040009</v>
      </c>
      <c r="E6" s="16">
        <f>E5-E12</f>
        <v>-15.37285826560003</v>
      </c>
      <c r="F6" s="16">
        <f>F5-F12</f>
        <v>12.041517260799992</v>
      </c>
      <c r="G6" s="16">
        <f>G5-G12</f>
        <v>-2</v>
      </c>
      <c r="H6" s="303">
        <f>H5-H12</f>
        <v>-3055532120.3061523</v>
      </c>
      <c r="K6" s="420"/>
      <c r="L6" s="15" t="s">
        <v>261</v>
      </c>
      <c r="M6" s="16">
        <f>M5-M12</f>
        <v>-35</v>
      </c>
      <c r="N6" s="16">
        <f>N5-N12</f>
        <v>-25</v>
      </c>
      <c r="O6" s="16">
        <f>O5-O12</f>
        <v>-75</v>
      </c>
      <c r="P6" s="16">
        <f>P5-P12</f>
        <v>-8</v>
      </c>
      <c r="Q6" s="303">
        <f>Q5-Q12</f>
        <v>-11505531013.129333</v>
      </c>
      <c r="S6" s="519"/>
      <c r="T6" s="503"/>
      <c r="U6" s="463"/>
      <c r="V6" s="13" t="s">
        <v>205</v>
      </c>
      <c r="W6" s="31">
        <f>VLOOKUP(S5,Table17[[General]:[HP40]],55,FALSE)+VLOOKUP(S8,Table18[[General]:[HP40]],55,FALSE)+VLOOKUP(S11,Table4[[Name]:[HP40]],40,0)</f>
        <v>321.86904407039998</v>
      </c>
      <c r="X6" s="81" t="str">
        <f t="shared" si="0"/>
        <v>&lt;</v>
      </c>
      <c r="Y6" s="31">
        <f>VLOOKUP(AB5,Table17[[General]:[HP40]],55,FALSE)+VLOOKUP(AB8,Table18[[General]:[HP40]],55,FALSE)+VLOOKUP(AB11,Table4[[Name]:[HP40]],40,0)</f>
        <v>351.86904407039998</v>
      </c>
      <c r="Z6" s="13" t="s">
        <v>205</v>
      </c>
      <c r="AA6" s="507"/>
      <c r="AB6" s="503"/>
      <c r="AC6" s="426"/>
    </row>
    <row r="7" spans="2:29" ht="15.75" customHeight="1" thickTop="1" thickBot="1" x14ac:dyDescent="0.3">
      <c r="B7" s="421"/>
      <c r="C7" s="29" t="s">
        <v>815</v>
      </c>
      <c r="D7" s="30" t="s">
        <v>201</v>
      </c>
      <c r="E7" s="30" t="s">
        <v>202</v>
      </c>
      <c r="F7" s="30" t="s">
        <v>205</v>
      </c>
      <c r="G7" s="30" t="s">
        <v>204</v>
      </c>
      <c r="H7" s="12" t="s">
        <v>965</v>
      </c>
      <c r="K7" s="421"/>
      <c r="L7" s="29" t="s">
        <v>146</v>
      </c>
      <c r="M7" s="30" t="s">
        <v>201</v>
      </c>
      <c r="N7" s="30" t="s">
        <v>202</v>
      </c>
      <c r="O7" s="30" t="s">
        <v>205</v>
      </c>
      <c r="P7" s="30" t="s">
        <v>204</v>
      </c>
      <c r="Q7" s="12" t="s">
        <v>965</v>
      </c>
      <c r="S7" s="493" t="s">
        <v>261</v>
      </c>
      <c r="T7" s="494"/>
      <c r="U7" s="464"/>
      <c r="V7" s="77" t="s">
        <v>475</v>
      </c>
      <c r="W7" s="78">
        <f>SUM(W4:W6)</f>
        <v>1011.7138293759999</v>
      </c>
      <c r="X7" s="82" t="str">
        <f t="shared" si="0"/>
        <v>&lt;</v>
      </c>
      <c r="Y7" s="78">
        <f>SUM(Y4:Y6)</f>
        <v>1095.7138293759999</v>
      </c>
      <c r="Z7" s="77" t="s">
        <v>475</v>
      </c>
      <c r="AA7" s="508"/>
      <c r="AB7" s="495" t="s">
        <v>261</v>
      </c>
      <c r="AC7" s="496"/>
    </row>
    <row r="8" spans="2:29" ht="15.75" customHeight="1" thickTop="1" thickBot="1" x14ac:dyDescent="0.3">
      <c r="B8" s="18"/>
      <c r="C8" s="30" t="s">
        <v>329</v>
      </c>
      <c r="D8" s="31">
        <v>0</v>
      </c>
      <c r="E8" s="31">
        <v>0</v>
      </c>
      <c r="F8" s="31">
        <v>0</v>
      </c>
      <c r="G8" s="31">
        <v>0</v>
      </c>
      <c r="H8" s="29" t="s">
        <v>966</v>
      </c>
      <c r="K8" s="18"/>
      <c r="L8" s="30" t="s">
        <v>329</v>
      </c>
      <c r="M8" s="31">
        <v>0</v>
      </c>
      <c r="N8" s="31">
        <v>0</v>
      </c>
      <c r="O8" s="31">
        <v>0</v>
      </c>
      <c r="P8" s="31">
        <v>0</v>
      </c>
      <c r="Q8" s="29" t="s">
        <v>966</v>
      </c>
      <c r="S8" s="497" t="s">
        <v>677</v>
      </c>
      <c r="T8" s="498"/>
      <c r="U8" s="487" t="s">
        <v>3</v>
      </c>
      <c r="V8" s="75" t="s">
        <v>201</v>
      </c>
      <c r="W8" s="76">
        <f>VLOOKUP(S5,Table17[[General]:[ATK41]],56,FALSE)+VLOOKUP(S8,Table18[[General]:[ATK41]],56,FALSE)+VLOOKUP(S11,Table4[[Name]:[ATK41]],41,0)</f>
        <v>365.65781027840001</v>
      </c>
      <c r="X8" s="80" t="str">
        <f t="shared" si="0"/>
        <v>&gt;</v>
      </c>
      <c r="Y8" s="76">
        <f>VLOOKUP(AB5,Table17[[General]:[ATK41]],56,FALSE)+VLOOKUP(AB8,Table18[[General]:[ATK41]],56,FALSE)+VLOOKUP(AB11,Table4[[Name]:[ATK41]],41,0)</f>
        <v>354.65781027840001</v>
      </c>
      <c r="Z8" s="75" t="s">
        <v>201</v>
      </c>
      <c r="AA8" s="509" t="s">
        <v>3</v>
      </c>
      <c r="AB8" s="504" t="s">
        <v>1142</v>
      </c>
      <c r="AC8" s="505"/>
    </row>
    <row r="9" spans="2:29" ht="15.75" customHeight="1" thickTop="1" thickBot="1" x14ac:dyDescent="0.3">
      <c r="B9" s="422" t="s">
        <v>262</v>
      </c>
      <c r="C9" s="423"/>
      <c r="D9" s="423"/>
      <c r="E9" s="423"/>
      <c r="F9" s="423"/>
      <c r="G9" s="423"/>
      <c r="H9" s="424"/>
      <c r="K9" s="422" t="s">
        <v>262</v>
      </c>
      <c r="L9" s="423"/>
      <c r="M9" s="423"/>
      <c r="N9" s="423"/>
      <c r="O9" s="423"/>
      <c r="P9" s="423"/>
      <c r="Q9" s="424"/>
      <c r="S9" s="425"/>
      <c r="T9" s="426"/>
      <c r="U9" s="488"/>
      <c r="V9" s="13" t="s">
        <v>202</v>
      </c>
      <c r="W9" s="31">
        <f>VLOOKUP(S5,Table17[[General]:[DEF42]],57,FALSE)+VLOOKUP(S8,Table18[[General]:[DEF42]],57,FALSE)+VLOOKUP(S11,Table4[[Name]:[DEF42]],42,0)</f>
        <v>250.18697502719994</v>
      </c>
      <c r="X9" s="81" t="str">
        <f t="shared" si="0"/>
        <v>&gt;</v>
      </c>
      <c r="Y9" s="31">
        <f>VLOOKUP(AB5,Table17[[General]:[DEF42]],57,FALSE)+VLOOKUP(AB8,Table18[[General]:[DEF42]],57,FALSE)+VLOOKUP(AB11,Table4[[Name]:[DEF42]],42,0)</f>
        <v>245.18697502719994</v>
      </c>
      <c r="Z9" s="13" t="s">
        <v>202</v>
      </c>
      <c r="AA9" s="510"/>
      <c r="AB9" s="425"/>
      <c r="AC9" s="426"/>
    </row>
    <row r="10" spans="2:29" ht="15.75" customHeight="1" thickTop="1" thickBot="1" x14ac:dyDescent="0.3">
      <c r="B10" s="18"/>
      <c r="C10" s="20"/>
      <c r="D10" s="21"/>
      <c r="E10" s="21"/>
      <c r="F10" s="21"/>
      <c r="G10" s="21"/>
      <c r="H10" s="17"/>
      <c r="K10" s="18"/>
      <c r="L10" s="20"/>
      <c r="M10" s="20"/>
      <c r="N10" s="20"/>
      <c r="O10" s="20"/>
      <c r="P10" s="20"/>
      <c r="Q10" s="19"/>
      <c r="S10" s="427" t="s">
        <v>965</v>
      </c>
      <c r="T10" s="428"/>
      <c r="U10" s="488"/>
      <c r="V10" s="13" t="s">
        <v>205</v>
      </c>
      <c r="W10" s="31">
        <f>VLOOKUP(S5,Table17[[General]:[HP43]],58,FALSE)+VLOOKUP(S8,Table18[[General]:[HP43]],58,FALSE)+VLOOKUP(S11,Table4[[Name]:[HP43]],43,0)</f>
        <v>306.86904407039998</v>
      </c>
      <c r="X10" s="81" t="str">
        <f t="shared" si="0"/>
        <v>&gt;</v>
      </c>
      <c r="Y10" s="31">
        <f>VLOOKUP(AB5,Table17[[General]:[HP43]],58,FALSE)+VLOOKUP(AB8,Table18[[General]:[HP43]],58,FALSE)+VLOOKUP(AB11,Table4[[Name]:[HP43]],43,0)</f>
        <v>291.86904407039998</v>
      </c>
      <c r="Z10" s="13" t="s">
        <v>205</v>
      </c>
      <c r="AA10" s="510"/>
      <c r="AB10" s="427" t="s">
        <v>965</v>
      </c>
      <c r="AC10" s="428"/>
    </row>
    <row r="11" spans="2:29" ht="15.75" customHeight="1" thickTop="1" thickBot="1" x14ac:dyDescent="0.3">
      <c r="B11" s="418" t="s">
        <v>266</v>
      </c>
      <c r="C11" s="12" t="s">
        <v>260</v>
      </c>
      <c r="D11" s="13" t="s">
        <v>201</v>
      </c>
      <c r="E11" s="13" t="s">
        <v>202</v>
      </c>
      <c r="F11" s="13" t="s">
        <v>205</v>
      </c>
      <c r="G11" s="13" t="s">
        <v>204</v>
      </c>
      <c r="H11" s="14" t="s">
        <v>263</v>
      </c>
      <c r="K11" s="418" t="s">
        <v>266</v>
      </c>
      <c r="L11" s="12" t="s">
        <v>260</v>
      </c>
      <c r="M11" s="13" t="s">
        <v>201</v>
      </c>
      <c r="N11" s="13" t="s">
        <v>202</v>
      </c>
      <c r="O11" s="13" t="s">
        <v>205</v>
      </c>
      <c r="P11" s="13" t="s">
        <v>204</v>
      </c>
      <c r="Q11" s="14" t="s">
        <v>263</v>
      </c>
      <c r="S11" s="429" t="s">
        <v>966</v>
      </c>
      <c r="T11" s="430"/>
      <c r="U11" s="489"/>
      <c r="V11" s="77" t="s">
        <v>475</v>
      </c>
      <c r="W11" s="78">
        <f>SUM(W8:W10)</f>
        <v>922.71382937599992</v>
      </c>
      <c r="X11" s="82" t="str">
        <f t="shared" si="0"/>
        <v>&gt;</v>
      </c>
      <c r="Y11" s="78">
        <f>SUM(Y8:Y10)</f>
        <v>891.71382937599992</v>
      </c>
      <c r="Z11" s="77" t="s">
        <v>475</v>
      </c>
      <c r="AA11" s="511"/>
      <c r="AB11" s="429" t="s">
        <v>966</v>
      </c>
      <c r="AC11" s="430"/>
    </row>
    <row r="12" spans="2:29" ht="15.75" customHeight="1" thickTop="1" thickBot="1" x14ac:dyDescent="0.3">
      <c r="B12" s="419"/>
      <c r="C12" s="29" t="s">
        <v>1148</v>
      </c>
      <c r="D12" s="94">
        <f>(VLOOKUP(C12,GROUND!C$2:AE$53,29,FALSE))+(VLOOKUP(C14,GROUND!C$56:AE$107,29,FALSE))+D15+VLOOKUP(H15,Table3[[Name]:[ATK38]],38,0)</f>
        <v>682.1965231616</v>
      </c>
      <c r="E12" s="93">
        <f>(VLOOKUP(C12,GROUND!C2:AF53,30,FALSE))+(VLOOKUP(C14,GROUND!C56:AF107,30,FALSE))+E15+VLOOKUP(H15,Table3[[Name]:[DEF39]],39,0)</f>
        <v>520.47304407039996</v>
      </c>
      <c r="F12" s="93">
        <f>(VLOOKUP(C12,GROUND!C2:AG53,31,FALSE))+(VLOOKUP(C14,GROUND!C56:AG107,31,FALSE))+F15+VLOOKUP(H15,Table3[[Name]:[HP40]],40,0)</f>
        <v>517.25805557759998</v>
      </c>
      <c r="G12" s="93">
        <f>(VLOOKUP(C12,GROUND!C2:AH53,32,FALSE))+(VLOOKUP(C14,GROUND!C56:AH107,32,FALSE))+G15+VLOOKUP(H15,Table3[[Name]:[MS3]],34,0)</f>
        <v>42</v>
      </c>
      <c r="H12" s="302">
        <f>(GROUND!AW2*('Comparison Tool'!G12/100)+GROUND!AW2+GROUND!AW3)*(GROUND!AX2*('Comparison Tool'!D12/100)+GROUND!AX2+GROUND!AX3)-GROUND!AY2</f>
        <v>118011818505.22455</v>
      </c>
      <c r="K12" s="419"/>
      <c r="L12" s="29" t="s">
        <v>528</v>
      </c>
      <c r="M12" s="94">
        <f>(VLOOKUP(L12,RANGED!C2:AE60,29,FALSE)+(VLOOKUP('Comparison Tool'!L14,RANGED!C63:AE121,29,FALSE)))+M15+VLOOKUP(Q15,Table3[[Name]:[ATK41]],41,0)</f>
        <v>607.58863037439994</v>
      </c>
      <c r="N12" s="93">
        <f>(VLOOKUP(L12,RANGED!C2:AF60,30,FALSE)+(VLOOKUP('Comparison Tool'!L14,RANGED!C63:AF121,30,FALSE)))+N15+VLOOKUP(Q15,Table3[[Name]:[DEF42]],42,0)</f>
        <v>394.20024698880002</v>
      </c>
      <c r="O12" s="93">
        <f>(VLOOKUP(L12,RANGED!C2:AG60,31,FALSE)+(VLOOKUP('Comparison Tool'!L14,RANGED!C63:AG121,31,FALSE)))+O15+VLOOKUP(Q15,Table3[[Name]:[HP43]],43,0)</f>
        <v>460.00453831679999</v>
      </c>
      <c r="P12" s="93">
        <f>(VLOOKUP(L12,RANGED!C2:AH60,32,FALSE)+(VLOOKUP('Comparison Tool'!L14,RANGED!C63:AH121,32,FALSE)))+P15+VLOOKUP(Q15,Table3[[Name]:[MS3]],34,0)</f>
        <v>50</v>
      </c>
      <c r="Q12" s="302">
        <f>(RANGED!AW2*('Comparison Tool'!P12/100)+RANGED!AW2+RANGED!AW3)*(RANGED!AX2*('Comparison Tool'!M12/100)+RANGED!AX2+RANGED!AX3)-RANGED!AY2</f>
        <v>128235800487.20862</v>
      </c>
      <c r="S12" s="471" t="s">
        <v>265</v>
      </c>
      <c r="T12" s="472"/>
      <c r="U12" s="490" t="s">
        <v>1</v>
      </c>
      <c r="V12" s="75" t="s">
        <v>201</v>
      </c>
      <c r="W12" s="76">
        <f>VLOOKUP(S5,Table17[[General]:[ATK35]],50,FALSE)+VLOOKUP(S8,Table18[[General]:[ATK35]],50,FALSE)+VLOOKUP(S11,Table4[[Name]:[ATK35]],35,0)</f>
        <v>279.65781027840001</v>
      </c>
      <c r="X12" s="80" t="str">
        <f t="shared" si="0"/>
        <v>&gt;</v>
      </c>
      <c r="Y12" s="76">
        <f>VLOOKUP(AB5,Table17[[General]:[ATK35]],50,FALSE)+VLOOKUP(AB8,Table18[[General]:[ATK35]],50,FALSE)+VLOOKUP(AB11,Table4[[Name]:[ATK35]],35,0)</f>
        <v>248.65781027839998</v>
      </c>
      <c r="Z12" s="75" t="s">
        <v>201</v>
      </c>
      <c r="AA12" s="512" t="s">
        <v>1</v>
      </c>
      <c r="AB12" s="431" t="s">
        <v>266</v>
      </c>
      <c r="AC12" s="432"/>
    </row>
    <row r="13" spans="2:29" ht="15.75" customHeight="1" thickTop="1" thickBot="1" x14ac:dyDescent="0.3">
      <c r="B13" s="418"/>
      <c r="C13" s="15" t="s">
        <v>261</v>
      </c>
      <c r="D13" s="16">
        <f>D12-D5</f>
        <v>12.28019927040009</v>
      </c>
      <c r="E13" s="16">
        <f>E12-E5</f>
        <v>15.37285826560003</v>
      </c>
      <c r="F13" s="16">
        <f>F12-F5</f>
        <v>-12.041517260799992</v>
      </c>
      <c r="G13" s="16">
        <f>G12-G5</f>
        <v>2</v>
      </c>
      <c r="H13" s="303">
        <f>H12-H5</f>
        <v>3055532120.3061523</v>
      </c>
      <c r="K13" s="418"/>
      <c r="L13" s="15" t="s">
        <v>261</v>
      </c>
      <c r="M13" s="16">
        <f>M12-M5</f>
        <v>35</v>
      </c>
      <c r="N13" s="16">
        <f>N12-N5</f>
        <v>25</v>
      </c>
      <c r="O13" s="16">
        <f>O12-O5</f>
        <v>75</v>
      </c>
      <c r="P13" s="16">
        <f>P12-P5</f>
        <v>8</v>
      </c>
      <c r="Q13" s="303">
        <f>Q12-Q5</f>
        <v>11505531013.129333</v>
      </c>
      <c r="S13" s="473"/>
      <c r="T13" s="474"/>
      <c r="U13" s="491"/>
      <c r="V13" s="13" t="s">
        <v>202</v>
      </c>
      <c r="W13" s="31">
        <f>VLOOKUP(S5,Table17[[General]:[DEF36]],51,FALSE)+VLOOKUP(S8,Table18[[General]:[DEF36]],51,FALSE)+VLOOKUP(S11,Table4[[Name]:[DEF36]],36,0)</f>
        <v>305.18697502719994</v>
      </c>
      <c r="X13" s="81" t="str">
        <f t="shared" si="0"/>
        <v>&lt;</v>
      </c>
      <c r="Y13" s="31">
        <f>VLOOKUP(AB5,Table17[[General]:[DEF36]],51,FALSE)+VLOOKUP(AB8,Table18[[General]:[DEF36]],51,FALSE)+VLOOKUP(AB11,Table4[[Name]:[DEF36]],36,0)</f>
        <v>330.18697502719994</v>
      </c>
      <c r="Z13" s="13" t="s">
        <v>202</v>
      </c>
      <c r="AA13" s="513"/>
      <c r="AB13" s="431"/>
      <c r="AC13" s="432"/>
    </row>
    <row r="14" spans="2:29" ht="15.75" customHeight="1" thickTop="1" thickBot="1" x14ac:dyDescent="0.3">
      <c r="B14" s="419"/>
      <c r="C14" s="29" t="s">
        <v>815</v>
      </c>
      <c r="D14" s="30" t="s">
        <v>201</v>
      </c>
      <c r="E14" s="30" t="s">
        <v>202</v>
      </c>
      <c r="F14" s="30" t="s">
        <v>205</v>
      </c>
      <c r="G14" s="30" t="s">
        <v>204</v>
      </c>
      <c r="H14" s="12" t="s">
        <v>965</v>
      </c>
      <c r="K14" s="419"/>
      <c r="L14" s="29" t="s">
        <v>492</v>
      </c>
      <c r="M14" s="30" t="s">
        <v>201</v>
      </c>
      <c r="N14" s="30" t="s">
        <v>202</v>
      </c>
      <c r="O14" s="30" t="s">
        <v>205</v>
      </c>
      <c r="P14" s="30" t="s">
        <v>204</v>
      </c>
      <c r="Q14" s="12" t="s">
        <v>965</v>
      </c>
      <c r="S14" s="473"/>
      <c r="T14" s="474"/>
      <c r="U14" s="491"/>
      <c r="V14" s="13" t="s">
        <v>205</v>
      </c>
      <c r="W14" s="31">
        <f>VLOOKUP(S5,Table17[[General]:[HP37]],52,FALSE)+VLOOKUP(S8,Table18[[General]:[HP37]],52,FALSE)+VLOOKUP(S11,Table4[[Name]:[HP37]],37,0)</f>
        <v>341.86904407039998</v>
      </c>
      <c r="X14" s="81" t="str">
        <f t="shared" si="0"/>
        <v>&gt;</v>
      </c>
      <c r="Y14" s="31">
        <f>VLOOKUP(AB5,Table17[[General]:[HP37]],52,FALSE)+VLOOKUP(AB8,Table18[[General]:[HP37]],52,FALSE)+VLOOKUP(AB11,Table4[[Name]:[HP37]],37,0)</f>
        <v>326.86904407039998</v>
      </c>
      <c r="Z14" s="13" t="s">
        <v>205</v>
      </c>
      <c r="AA14" s="513"/>
      <c r="AB14" s="431"/>
      <c r="AC14" s="432"/>
    </row>
    <row r="15" spans="2:29" ht="15.75" customHeight="1" thickTop="1" thickBot="1" x14ac:dyDescent="0.3">
      <c r="B15" s="22"/>
      <c r="C15" s="30" t="s">
        <v>329</v>
      </c>
      <c r="D15" s="31">
        <v>0</v>
      </c>
      <c r="E15" s="31">
        <v>0</v>
      </c>
      <c r="F15" s="31">
        <v>0</v>
      </c>
      <c r="G15" s="31">
        <v>0</v>
      </c>
      <c r="H15" s="29" t="s">
        <v>966</v>
      </c>
      <c r="K15" s="22"/>
      <c r="L15" s="30" t="s">
        <v>329</v>
      </c>
      <c r="M15" s="31">
        <v>0</v>
      </c>
      <c r="N15" s="31">
        <v>0</v>
      </c>
      <c r="O15" s="31">
        <v>0</v>
      </c>
      <c r="P15" s="31">
        <v>0</v>
      </c>
      <c r="Q15" s="29" t="s">
        <v>966</v>
      </c>
      <c r="S15" s="473"/>
      <c r="T15" s="474"/>
      <c r="U15" s="492"/>
      <c r="V15" s="77" t="s">
        <v>475</v>
      </c>
      <c r="W15" s="78">
        <f>SUM(W12:W14)</f>
        <v>926.71382937599992</v>
      </c>
      <c r="X15" s="82" t="str">
        <f t="shared" si="0"/>
        <v>&gt;</v>
      </c>
      <c r="Y15" s="78">
        <f>SUM(Y12:Y14)</f>
        <v>905.71382937599992</v>
      </c>
      <c r="Z15" s="77" t="s">
        <v>475</v>
      </c>
      <c r="AA15" s="514"/>
      <c r="AB15" s="431"/>
      <c r="AC15" s="432"/>
    </row>
    <row r="16" spans="2:29" ht="15.75" customHeight="1" thickBot="1" x14ac:dyDescent="0.3">
      <c r="S16" s="473"/>
      <c r="T16" s="474"/>
      <c r="U16" s="465" t="s">
        <v>4</v>
      </c>
      <c r="V16" s="75" t="s">
        <v>201</v>
      </c>
      <c r="W16" s="76">
        <f>VLOOKUP(S5,Table17[[General]:[ATK44]],59,FALSE)+VLOOKUP(S8,Table18[[General]:[ATK44]],59,FALSE)+VLOOKUP(S11,Table4[[Name]:[ATK44]],44,0)</f>
        <v>355.65781027840001</v>
      </c>
      <c r="X16" s="80" t="str">
        <f t="shared" si="0"/>
        <v>&gt;</v>
      </c>
      <c r="Y16" s="76">
        <f>VLOOKUP(AB5,Table17[[General]:[ATK44]],59,FALSE)+VLOOKUP(AB8,Table18[[General]:[ATK44]],59,FALSE)+VLOOKUP(AB11,Table4[[Name]:[ATK44]],44,0)</f>
        <v>344.65781027840001</v>
      </c>
      <c r="Z16" s="75" t="s">
        <v>201</v>
      </c>
      <c r="AA16" s="468" t="s">
        <v>4</v>
      </c>
      <c r="AB16" s="431"/>
      <c r="AC16" s="432"/>
    </row>
    <row r="17" spans="2:29" ht="15.75" customHeight="1" thickTop="1" thickBot="1" x14ac:dyDescent="0.3">
      <c r="S17" s="473"/>
      <c r="T17" s="474"/>
      <c r="U17" s="466"/>
      <c r="V17" s="13" t="s">
        <v>202</v>
      </c>
      <c r="W17" s="31">
        <f>VLOOKUP(S5,Table17[[General]:[DEF45]],60,FALSE)+VLOOKUP(S8,Table18[[General]:[DEF45]],60,FALSE)+VLOOKUP(S11,Table4[[Name]:[DEF45]],45,0)</f>
        <v>240.18697502719994</v>
      </c>
      <c r="X17" s="81" t="str">
        <f t="shared" si="0"/>
        <v>&gt;</v>
      </c>
      <c r="Y17" s="31">
        <f>VLOOKUP(AB5,Table17[[General]:[DEF45]],60,FALSE)+VLOOKUP(AB8,Table18[[General]:[DEF45]],60,FALSE)+VLOOKUP(AB11,Table4[[Name]:[DEF45]],45,0)</f>
        <v>235.18697502719994</v>
      </c>
      <c r="Z17" s="13" t="s">
        <v>202</v>
      </c>
      <c r="AA17" s="469"/>
      <c r="AB17" s="431"/>
      <c r="AC17" s="432"/>
    </row>
    <row r="18" spans="2:29" ht="15.75" customHeight="1" thickTop="1" thickBot="1" x14ac:dyDescent="0.3">
      <c r="B18" s="450" t="s">
        <v>267</v>
      </c>
      <c r="C18" s="451"/>
      <c r="D18" s="451"/>
      <c r="E18" s="451"/>
      <c r="F18" s="451"/>
      <c r="G18" s="451"/>
      <c r="H18" s="452"/>
      <c r="K18" s="456" t="s">
        <v>269</v>
      </c>
      <c r="L18" s="457"/>
      <c r="M18" s="457"/>
      <c r="N18" s="457"/>
      <c r="O18" s="457"/>
      <c r="P18" s="457"/>
      <c r="Q18" s="458"/>
      <c r="S18" s="473"/>
      <c r="T18" s="474"/>
      <c r="U18" s="466"/>
      <c r="V18" s="13" t="s">
        <v>205</v>
      </c>
      <c r="W18" s="31">
        <f>VLOOKUP(S5,Table17[[General]:[HP46]],61,FALSE)+VLOOKUP(S8,Table18[[General]:[HP46]],61,FALSE)+VLOOKUP(S11,Table4[[Name]:[HP46]],46,0)</f>
        <v>306.86904407039998</v>
      </c>
      <c r="X18" s="81" t="str">
        <f t="shared" si="0"/>
        <v>&gt;</v>
      </c>
      <c r="Y18" s="31">
        <f>VLOOKUP(AB5,Table17[[General]:[HP46]],61,FALSE)+VLOOKUP(AB8,Table18[[General]:[HP46]],61,FALSE)+VLOOKUP(AB11,Table4[[Name]:[HP46]],46,0)</f>
        <v>291.86904407039998</v>
      </c>
      <c r="Z18" s="13" t="s">
        <v>205</v>
      </c>
      <c r="AA18" s="469"/>
      <c r="AB18" s="431"/>
      <c r="AC18" s="432"/>
    </row>
    <row r="19" spans="2:29" ht="15.75" customHeight="1" thickTop="1" thickBot="1" x14ac:dyDescent="0.3">
      <c r="B19" s="453"/>
      <c r="C19" s="454"/>
      <c r="D19" s="454"/>
      <c r="E19" s="454"/>
      <c r="F19" s="454"/>
      <c r="G19" s="454"/>
      <c r="H19" s="455"/>
      <c r="K19" s="459"/>
      <c r="L19" s="460"/>
      <c r="M19" s="460"/>
      <c r="N19" s="460"/>
      <c r="O19" s="460"/>
      <c r="P19" s="460"/>
      <c r="Q19" s="461"/>
      <c r="S19" s="473"/>
      <c r="T19" s="474"/>
      <c r="U19" s="467"/>
      <c r="V19" s="77" t="s">
        <v>475</v>
      </c>
      <c r="W19" s="78">
        <f>SUM(W16:W18)</f>
        <v>902.71382937599992</v>
      </c>
      <c r="X19" s="82" t="str">
        <f t="shared" si="0"/>
        <v>&gt;</v>
      </c>
      <c r="Y19" s="78">
        <f>SUM(Y16:Y18)</f>
        <v>871.71382937599992</v>
      </c>
      <c r="Z19" s="77" t="s">
        <v>475</v>
      </c>
      <c r="AA19" s="470"/>
      <c r="AB19" s="431"/>
      <c r="AC19" s="432"/>
    </row>
    <row r="20" spans="2:29" ht="15.75" customHeight="1" thickBot="1" x14ac:dyDescent="0.3">
      <c r="B20" s="420" t="s">
        <v>265</v>
      </c>
      <c r="C20" s="12" t="s">
        <v>260</v>
      </c>
      <c r="D20" s="13" t="s">
        <v>201</v>
      </c>
      <c r="E20" s="13" t="s">
        <v>202</v>
      </c>
      <c r="F20" s="13" t="s">
        <v>205</v>
      </c>
      <c r="G20" s="13" t="s">
        <v>204</v>
      </c>
      <c r="H20" s="14" t="s">
        <v>263</v>
      </c>
      <c r="K20" s="420" t="s">
        <v>265</v>
      </c>
      <c r="L20" s="12" t="s">
        <v>260</v>
      </c>
      <c r="M20" s="13" t="s">
        <v>201</v>
      </c>
      <c r="N20" s="13" t="s">
        <v>202</v>
      </c>
      <c r="O20" s="13" t="s">
        <v>205</v>
      </c>
      <c r="P20" s="13" t="s">
        <v>204</v>
      </c>
      <c r="Q20" s="14" t="s">
        <v>263</v>
      </c>
      <c r="S20" s="475"/>
      <c r="T20" s="476"/>
      <c r="U20" s="477" t="s">
        <v>476</v>
      </c>
      <c r="V20" s="478"/>
      <c r="W20" s="79">
        <f>W7+W11+W15+W19</f>
        <v>3763.8553175039997</v>
      </c>
      <c r="X20" s="82" t="str">
        <f>IF(W20&gt;Y20, "&gt;", IF(W20=Y20, "=", "&lt;"))</f>
        <v>&lt;</v>
      </c>
      <c r="Y20" s="79">
        <f>Y7+Y11+Y15+Y19</f>
        <v>3764.8553175039997</v>
      </c>
      <c r="Z20" s="477" t="s">
        <v>476</v>
      </c>
      <c r="AA20" s="479"/>
      <c r="AB20" s="433"/>
      <c r="AC20" s="434"/>
    </row>
    <row r="21" spans="2:29" ht="15.75" customHeight="1" thickTop="1" thickBot="1" x14ac:dyDescent="0.3">
      <c r="B21" s="421"/>
      <c r="C21" s="29" t="s">
        <v>1144</v>
      </c>
      <c r="D21" s="94">
        <f>(VLOOKUP(C21,MOUNTED!C$2:AE$56,29,FALSE)+(VLOOKUP('Comparison Tool'!C23,MOUNTED!C$59:AE$113,29,FALSE)))+D24+VLOOKUP(H24,Table3[[Name]:[ATK35]],35,0)</f>
        <v>663.03267640319996</v>
      </c>
      <c r="E21" s="93">
        <f>(VLOOKUP(C21,MOUNTED!C2:AF56,30,FALSE)+(VLOOKUP('Comparison Tool'!C23,MOUNTED!C59:AF113,30,FALSE)))+E24+VLOOKUP(H24,Table3[[Name]:[DEF36]],36,0)</f>
        <v>474.01350379519999</v>
      </c>
      <c r="F21" s="93">
        <f>(VLOOKUP(C21,MOUNTED!C2:AG56,31,FALSE)+(VLOOKUP('Comparison Tool'!C23,MOUNTED!C59:AG113,31,FALSE)))+F24+VLOOKUP(H24,Table3[[Name]:[HP37]],37,0)</f>
        <v>503.6635728384</v>
      </c>
      <c r="G21" s="93">
        <f>(VLOOKUP(C21,MOUNTED!C$2:AH$56,32,FALSE)+(VLOOKUP('Comparison Tool'!C23,MOUNTED!C$59:AH$113,32,FALSE)))+G24+VLOOKUP(H24,Table3[[Name]:[MS3]],34,0)</f>
        <v>63</v>
      </c>
      <c r="H21" s="302">
        <f>(MOUNTED!AW2*('Comparison Tool'!G21/100)+MOUNTED!AW2+MOUNTED!AW3)*(MOUNTED!AX2*('Comparison Tool'!D21/100)+MOUNTED!AX2+MOUNTED!AX3)-MOUNTED!AY2</f>
        <v>240927182253.0304</v>
      </c>
      <c r="K21" s="421"/>
      <c r="L21" s="29" t="s">
        <v>501</v>
      </c>
      <c r="M21" s="94">
        <f>(VLOOKUP(L21,SIEGE!C2:AE57,29,FALSE)+(VLOOKUP('Comparison Tool'!L23,SIEGE!C60:AE115,29,FALSE)))+M24+VLOOKUP(Q24,Table3[[Name]:[ATK44]],44,0)</f>
        <v>667.56570306560002</v>
      </c>
      <c r="N21" s="93">
        <f>(VLOOKUP(L21,SIEGE!C2:AF57,30,FALSE)+(VLOOKUP('Comparison Tool'!L23,SIEGE!C60:AF115,30,FALSE)))+N24+VLOOKUP(Q24,Table3[[Name]:[DEF45]],45,0)</f>
        <v>501.9808448</v>
      </c>
      <c r="O21" s="93">
        <f>(VLOOKUP(L21,SIEGE!C2:AG57,31,FALSE)+(VLOOKUP('Comparison Tool'!L23,SIEGE!C60:AG115,31,FALSE)))+O24+VLOOKUP(Q24,Table3[[Name]:[HP46]],46,0)</f>
        <v>525.90889082879994</v>
      </c>
      <c r="P21" s="93">
        <f>(VLOOKUP(L21,SIEGE!C2:AH57,32,FALSE)+(VLOOKUP('Comparison Tool'!L23,SIEGE!C60:AH115,32,FALSE)))+P24+VLOOKUP(Q24,Table3[[Name]:[MS3]],34,0)</f>
        <v>44</v>
      </c>
      <c r="Q21" s="302">
        <f>(SIEGE!AW2*('Comparison Tool'!P21/100)+SIEGE!AW2+SIEGE!AW3)*(SIEGE!AX2*('Comparison Tool'!M21/100)+SIEGE!AX2+SIEGE!AX3)-SIEGE!AY2</f>
        <v>63705223818.407654</v>
      </c>
      <c r="S21" s="435" t="s">
        <v>262</v>
      </c>
      <c r="T21" s="436"/>
      <c r="U21" s="436"/>
      <c r="V21" s="436"/>
      <c r="W21" s="436"/>
      <c r="X21" s="436"/>
      <c r="Y21" s="436"/>
      <c r="Z21" s="436"/>
      <c r="AA21" s="436"/>
      <c r="AB21" s="436"/>
      <c r="AC21" s="437"/>
    </row>
    <row r="22" spans="2:29" ht="15.75" customHeight="1" thickTop="1" thickBot="1" x14ac:dyDescent="0.3">
      <c r="B22" s="420"/>
      <c r="C22" s="15" t="s">
        <v>261</v>
      </c>
      <c r="D22" s="16">
        <f>D21-D28</f>
        <v>-27</v>
      </c>
      <c r="E22" s="16">
        <f t="shared" ref="E22:H22" si="1">E21-E28</f>
        <v>-30</v>
      </c>
      <c r="F22" s="16">
        <f t="shared" si="1"/>
        <v>10</v>
      </c>
      <c r="G22" s="16">
        <f t="shared" si="1"/>
        <v>2</v>
      </c>
      <c r="H22" s="303">
        <f t="shared" si="1"/>
        <v>-4982881440.3874512</v>
      </c>
      <c r="K22" s="420"/>
      <c r="L22" s="15" t="s">
        <v>261</v>
      </c>
      <c r="M22" s="16">
        <f>M21-M28</f>
        <v>-2</v>
      </c>
      <c r="N22" s="16">
        <f t="shared" ref="N22:Q22" si="2">N21-N28</f>
        <v>-4</v>
      </c>
      <c r="O22" s="16">
        <f t="shared" si="2"/>
        <v>0</v>
      </c>
      <c r="P22" s="16">
        <f t="shared" si="2"/>
        <v>1</v>
      </c>
      <c r="Q22" s="303">
        <f t="shared" si="2"/>
        <v>199201792.6204834</v>
      </c>
    </row>
    <row r="23" spans="2:29" ht="15.75" customHeight="1" thickTop="1" thickBot="1" x14ac:dyDescent="0.3">
      <c r="B23" s="421"/>
      <c r="C23" s="29" t="s">
        <v>206</v>
      </c>
      <c r="D23" s="30" t="s">
        <v>201</v>
      </c>
      <c r="E23" s="30" t="s">
        <v>202</v>
      </c>
      <c r="F23" s="30" t="s">
        <v>205</v>
      </c>
      <c r="G23" s="30" t="s">
        <v>204</v>
      </c>
      <c r="H23" s="12" t="s">
        <v>965</v>
      </c>
      <c r="K23" s="421"/>
      <c r="L23" s="29" t="s">
        <v>502</v>
      </c>
      <c r="M23" s="30" t="s">
        <v>201</v>
      </c>
      <c r="N23" s="30" t="s">
        <v>202</v>
      </c>
      <c r="O23" s="30" t="s">
        <v>205</v>
      </c>
      <c r="P23" s="30" t="s">
        <v>204</v>
      </c>
      <c r="Q23" s="12" t="s">
        <v>965</v>
      </c>
    </row>
    <row r="24" spans="2:29" ht="15.75" customHeight="1" thickTop="1" thickBot="1" x14ac:dyDescent="0.3">
      <c r="B24" s="18"/>
      <c r="C24" s="30" t="s">
        <v>329</v>
      </c>
      <c r="D24" s="31">
        <v>0</v>
      </c>
      <c r="E24" s="31">
        <v>0</v>
      </c>
      <c r="F24" s="31">
        <v>0</v>
      </c>
      <c r="G24" s="31">
        <v>0</v>
      </c>
      <c r="H24" s="29" t="s">
        <v>966</v>
      </c>
      <c r="K24" s="18"/>
      <c r="L24" s="30" t="s">
        <v>329</v>
      </c>
      <c r="M24" s="31">
        <v>0</v>
      </c>
      <c r="N24" s="31">
        <v>0</v>
      </c>
      <c r="O24" s="31">
        <v>0</v>
      </c>
      <c r="P24" s="31">
        <v>0</v>
      </c>
      <c r="Q24" s="29" t="s">
        <v>966</v>
      </c>
    </row>
    <row r="25" spans="2:29" ht="15.75" customHeight="1" thickTop="1" x14ac:dyDescent="0.25">
      <c r="B25" s="422" t="s">
        <v>262</v>
      </c>
      <c r="C25" s="423"/>
      <c r="D25" s="423"/>
      <c r="E25" s="423"/>
      <c r="F25" s="423"/>
      <c r="G25" s="423"/>
      <c r="H25" s="424"/>
      <c r="K25" s="422" t="s">
        <v>262</v>
      </c>
      <c r="L25" s="423"/>
      <c r="M25" s="423"/>
      <c r="N25" s="423"/>
      <c r="O25" s="423"/>
      <c r="P25" s="423"/>
      <c r="Q25" s="424"/>
    </row>
    <row r="26" spans="2:29" ht="15.75" customHeight="1" x14ac:dyDescent="0.25">
      <c r="B26" s="18"/>
      <c r="C26" s="20"/>
      <c r="D26" s="21"/>
      <c r="E26" s="21"/>
      <c r="F26" s="21"/>
      <c r="G26" s="21"/>
      <c r="H26" s="17"/>
      <c r="K26" s="18"/>
      <c r="L26" s="20"/>
      <c r="M26" s="20"/>
      <c r="N26" s="20"/>
      <c r="O26" s="20"/>
      <c r="P26" s="20"/>
      <c r="Q26" s="19"/>
    </row>
    <row r="27" spans="2:29" ht="15.75" customHeight="1" thickBot="1" x14ac:dyDescent="0.3">
      <c r="B27" s="418" t="s">
        <v>266</v>
      </c>
      <c r="C27" s="12" t="s">
        <v>260</v>
      </c>
      <c r="D27" s="13" t="s">
        <v>201</v>
      </c>
      <c r="E27" s="13" t="s">
        <v>202</v>
      </c>
      <c r="F27" s="13" t="s">
        <v>205</v>
      </c>
      <c r="G27" s="13" t="s">
        <v>204</v>
      </c>
      <c r="H27" s="14" t="s">
        <v>263</v>
      </c>
      <c r="K27" s="418" t="s">
        <v>266</v>
      </c>
      <c r="L27" s="12" t="s">
        <v>260</v>
      </c>
      <c r="M27" s="13" t="s">
        <v>201</v>
      </c>
      <c r="N27" s="13" t="s">
        <v>202</v>
      </c>
      <c r="O27" s="13" t="s">
        <v>205</v>
      </c>
      <c r="P27" s="13" t="s">
        <v>204</v>
      </c>
      <c r="Q27" s="14" t="s">
        <v>263</v>
      </c>
    </row>
    <row r="28" spans="2:29" ht="15.75" customHeight="1" thickTop="1" thickBot="1" x14ac:dyDescent="0.3">
      <c r="B28" s="419"/>
      <c r="C28" s="29" t="s">
        <v>1144</v>
      </c>
      <c r="D28" s="94">
        <f>(VLOOKUP(C28,MOUNTED!C2:AE56,29,FALSE)+(VLOOKUP('Comparison Tool'!C30,MOUNTED!C59:AE113,29,FALSE)))+D31+VLOOKUP(H31,Table3[[Name]:[ATK35]],35,0)</f>
        <v>690.03267640319996</v>
      </c>
      <c r="E28" s="93">
        <f>(VLOOKUP(C28,MOUNTED!C2:AF56,30,FALSE)+(VLOOKUP('Comparison Tool'!C30,MOUNTED!C59:AF113,30,FALSE)))+E31+VLOOKUP(H31,Table3[[Name]:[DEF36]],36,0)</f>
        <v>504.01350379519999</v>
      </c>
      <c r="F28" s="93">
        <f>(VLOOKUP(C28,MOUNTED!C2:AG56,31,FALSE)+(VLOOKUP('Comparison Tool'!C30,MOUNTED!C59:AG113,31,FALSE)))+F31+VLOOKUP(H31,Table3[[Name]:[HP37]],37,0)</f>
        <v>493.6635728384</v>
      </c>
      <c r="G28" s="93">
        <f>(VLOOKUP(C28,MOUNTED!C$2:AH$56,32,FALSE)+(VLOOKUP('Comparison Tool'!C30,MOUNTED!C$59:AH$113,32,FALSE)))+G31+VLOOKUP(H31,Table3[[Name]:[MS3]],34,0)</f>
        <v>61</v>
      </c>
      <c r="H28" s="302">
        <f>(MOUNTED!AW2*('Comparison Tool'!G28/100)+MOUNTED!AW2+MOUNTED!AW3)*(MOUNTED!AX2*('Comparison Tool'!D28/100)+MOUNTED!AX2+MOUNTED!AX3)-MOUNTED!AY2</f>
        <v>245910063693.41785</v>
      </c>
      <c r="K28" s="419"/>
      <c r="L28" s="29" t="s">
        <v>501</v>
      </c>
      <c r="M28" s="94">
        <f>(VLOOKUP(L28,SIEGE!C2:AE57,29,FALSE)+(VLOOKUP('Comparison Tool'!L30,SIEGE!C60:AE115,29,FALSE)))+M31+VLOOKUP(Q31,Table3[[Name]:[ATK44]],44,0)</f>
        <v>669.56570306560002</v>
      </c>
      <c r="N28" s="93">
        <f>(VLOOKUP(L28,SIEGE!C2:AF57,30,FALSE)+(VLOOKUP('Comparison Tool'!L30,SIEGE!C60:AF115,30,FALSE)))+N31+VLOOKUP(Q31,Table3[[Name]:[DEF45]],45,0)</f>
        <v>505.9808448</v>
      </c>
      <c r="O28" s="93">
        <f>(VLOOKUP(L28,SIEGE!C2:AG57,31,FALSE)+(VLOOKUP('Comparison Tool'!L30,SIEGE!C60:AG115,31,FALSE)))+O31+VLOOKUP(Q31,Table3[[Name]:[HP46]],46,0)</f>
        <v>525.90889082879994</v>
      </c>
      <c r="P28" s="93">
        <f>(VLOOKUP(L28,SIEGE!C2:AH57,32,FALSE)+(VLOOKUP('Comparison Tool'!L30,SIEGE!C60:AH115,32,FALSE)))+P31+VLOOKUP(Q31,Table3[[Name]:[MS3]],34,0)</f>
        <v>43</v>
      </c>
      <c r="Q28" s="302">
        <f>(SIEGE!AW2*('Comparison Tool'!P28/100)+SIEGE!AW2+SIEGE!AW3)*(SIEGE!AX2*('Comparison Tool'!M28/100)+SIEGE!AX2+SIEGE!AX3)-SIEGE!AY2</f>
        <v>63506022025.78717</v>
      </c>
    </row>
    <row r="29" spans="2:29" ht="15.75" customHeight="1" thickTop="1" thickBot="1" x14ac:dyDescent="0.3">
      <c r="B29" s="418"/>
      <c r="C29" s="15" t="s">
        <v>261</v>
      </c>
      <c r="D29" s="16">
        <f>D28-D21</f>
        <v>27</v>
      </c>
      <c r="E29" s="16">
        <f t="shared" ref="E29:G29" si="3">E28-E21</f>
        <v>30</v>
      </c>
      <c r="F29" s="16">
        <f t="shared" si="3"/>
        <v>-10</v>
      </c>
      <c r="G29" s="16">
        <f t="shared" si="3"/>
        <v>-2</v>
      </c>
      <c r="H29" s="303">
        <f>H28-H21</f>
        <v>4982881440.3874512</v>
      </c>
      <c r="K29" s="418"/>
      <c r="L29" s="15" t="s">
        <v>261</v>
      </c>
      <c r="M29" s="16">
        <f>M28-M21</f>
        <v>2</v>
      </c>
      <c r="N29" s="16">
        <f t="shared" ref="N29:P29" si="4">N28-N21</f>
        <v>4</v>
      </c>
      <c r="O29" s="16">
        <f t="shared" si="4"/>
        <v>0</v>
      </c>
      <c r="P29" s="16">
        <f t="shared" si="4"/>
        <v>-1</v>
      </c>
      <c r="Q29" s="303">
        <f>Q28-Q21</f>
        <v>-199201792.6204834</v>
      </c>
    </row>
    <row r="30" spans="2:29" ht="15.75" customHeight="1" thickTop="1" thickBot="1" x14ac:dyDescent="0.3">
      <c r="B30" s="419"/>
      <c r="C30" s="29" t="s">
        <v>1145</v>
      </c>
      <c r="D30" s="30" t="s">
        <v>201</v>
      </c>
      <c r="E30" s="30" t="s">
        <v>202</v>
      </c>
      <c r="F30" s="30" t="s">
        <v>205</v>
      </c>
      <c r="G30" s="30" t="s">
        <v>204</v>
      </c>
      <c r="H30" s="12" t="s">
        <v>965</v>
      </c>
      <c r="K30" s="419"/>
      <c r="L30" s="29" t="s">
        <v>1128</v>
      </c>
      <c r="M30" s="30" t="s">
        <v>201</v>
      </c>
      <c r="N30" s="30" t="s">
        <v>202</v>
      </c>
      <c r="O30" s="30" t="s">
        <v>205</v>
      </c>
      <c r="P30" s="30" t="s">
        <v>204</v>
      </c>
      <c r="Q30" s="12" t="s">
        <v>965</v>
      </c>
    </row>
    <row r="31" spans="2:29" ht="15.75" customHeight="1" thickTop="1" thickBot="1" x14ac:dyDescent="0.3">
      <c r="B31" s="22"/>
      <c r="C31" s="30" t="s">
        <v>329</v>
      </c>
      <c r="D31" s="31">
        <v>0</v>
      </c>
      <c r="E31" s="31">
        <v>0</v>
      </c>
      <c r="F31" s="31">
        <v>0</v>
      </c>
      <c r="G31" s="31">
        <v>0</v>
      </c>
      <c r="H31" s="29" t="s">
        <v>966</v>
      </c>
      <c r="K31" s="22"/>
      <c r="L31" s="30" t="s">
        <v>329</v>
      </c>
      <c r="M31" s="31">
        <v>0</v>
      </c>
      <c r="N31" s="31">
        <v>0</v>
      </c>
      <c r="O31" s="31">
        <v>0</v>
      </c>
      <c r="P31" s="31">
        <v>0</v>
      </c>
      <c r="Q31" s="29" t="s">
        <v>966</v>
      </c>
    </row>
  </sheetData>
  <sheetProtection autoFilter="0"/>
  <dataConsolidate/>
  <mergeCells count="46">
    <mergeCell ref="S2:AC3"/>
    <mergeCell ref="U8:U11"/>
    <mergeCell ref="U12:U15"/>
    <mergeCell ref="S7:T7"/>
    <mergeCell ref="AB7:AC7"/>
    <mergeCell ref="S8:T8"/>
    <mergeCell ref="AB4:AC4"/>
    <mergeCell ref="AB5:AC5"/>
    <mergeCell ref="AB6:AC6"/>
    <mergeCell ref="AB8:AC8"/>
    <mergeCell ref="AA4:AA7"/>
    <mergeCell ref="AA8:AA11"/>
    <mergeCell ref="AA12:AA15"/>
    <mergeCell ref="S4:T4"/>
    <mergeCell ref="S5:T5"/>
    <mergeCell ref="S6:T6"/>
    <mergeCell ref="U4:U7"/>
    <mergeCell ref="U16:U19"/>
    <mergeCell ref="AA16:AA19"/>
    <mergeCell ref="S12:T20"/>
    <mergeCell ref="S10:T10"/>
    <mergeCell ref="S11:T11"/>
    <mergeCell ref="S9:T9"/>
    <mergeCell ref="U20:V20"/>
    <mergeCell ref="Z20:AA20"/>
    <mergeCell ref="B2:H3"/>
    <mergeCell ref="K2:Q3"/>
    <mergeCell ref="B18:H19"/>
    <mergeCell ref="K18:Q19"/>
    <mergeCell ref="B4:B7"/>
    <mergeCell ref="B9:H9"/>
    <mergeCell ref="B11:B14"/>
    <mergeCell ref="K4:K7"/>
    <mergeCell ref="K9:Q9"/>
    <mergeCell ref="K11:K14"/>
    <mergeCell ref="B27:B30"/>
    <mergeCell ref="K20:K23"/>
    <mergeCell ref="K25:Q25"/>
    <mergeCell ref="K27:K30"/>
    <mergeCell ref="AB9:AC9"/>
    <mergeCell ref="AB10:AC10"/>
    <mergeCell ref="AB11:AC11"/>
    <mergeCell ref="AB12:AC20"/>
    <mergeCell ref="B20:B23"/>
    <mergeCell ref="B25:H25"/>
    <mergeCell ref="S21:AC21"/>
  </mergeCells>
  <conditionalFormatting sqref="D6:H6 D13:H13">
    <cfRule type="cellIs" dxfId="41" priority="17" operator="lessThan">
      <formula>0</formula>
    </cfRule>
    <cfRule type="cellIs" dxfId="40" priority="18" operator="greaterThan">
      <formula>0</formula>
    </cfRule>
  </conditionalFormatting>
  <conditionalFormatting sqref="D22:H22 D29:H29">
    <cfRule type="cellIs" dxfId="39" priority="11" operator="lessThan">
      <formula>0</formula>
    </cfRule>
    <cfRule type="cellIs" dxfId="38" priority="12" operator="greaterThan">
      <formula>0</formula>
    </cfRule>
  </conditionalFormatting>
  <conditionalFormatting sqref="M6:Q6 M13:Q13">
    <cfRule type="cellIs" dxfId="37" priority="13" operator="lessThan">
      <formula>0</formula>
    </cfRule>
    <cfRule type="cellIs" dxfId="36" priority="14" operator="greaterThan">
      <formula>0</formula>
    </cfRule>
  </conditionalFormatting>
  <conditionalFormatting sqref="M22:Q22 M29:Q29">
    <cfRule type="cellIs" dxfId="35" priority="9" operator="lessThan">
      <formula>0</formula>
    </cfRule>
    <cfRule type="cellIs" dxfId="34" priority="10" operator="greaterThan">
      <formula>0</formula>
    </cfRule>
  </conditionalFormatting>
  <conditionalFormatting sqref="X4:X20">
    <cfRule type="cellIs" dxfId="33" priority="4" operator="equal">
      <formula>"="</formula>
    </cfRule>
    <cfRule type="cellIs" dxfId="32" priority="5" operator="equal">
      <formula>"&gt;"</formula>
    </cfRule>
    <cfRule type="cellIs" dxfId="31" priority="6" operator="equal">
      <formula>"&lt;"</formula>
    </cfRule>
  </conditionalFormatting>
  <pageMargins left="0.7" right="0.7" top="0.75" bottom="0.75" header="0.3" footer="0.3"/>
  <pageSetup paperSize="9" orientation="portrait" r:id="rId1"/>
  <ignoredErrors>
    <ignoredError sqref="W20 Y20" unlockedFormula="1"/>
    <ignoredError sqref="X19:X20 X7 X11 X15" formula="1"/>
  </ignoredError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99F991FA-A157-4F10-A3C1-F90A0BC55AD8}">
          <x14:formula1>
            <xm:f>RANGED!$C$64:$C$117</xm:f>
          </x14:formula1>
          <xm:sqref>L14 L7</xm:sqref>
        </x14:dataValidation>
        <x14:dataValidation type="list" allowBlank="1" showInputMessage="1" showErrorMessage="1" xr:uid="{30D03242-C4C4-474B-B255-4C409D713B67}">
          <x14:formula1>
            <xm:f>SIEGE!$C$61:$C$109</xm:f>
          </x14:formula1>
          <xm:sqref>L30 L23</xm:sqref>
        </x14:dataValidation>
        <x14:dataValidation type="list" allowBlank="1" showInputMessage="1" showErrorMessage="1" xr:uid="{EF615355-0B5C-4581-8A0D-F90E960EF9D6}">
          <x14:formula1>
            <xm:f>MOUNTED!$C$60:$C$103</xm:f>
          </x14:formula1>
          <xm:sqref>C30</xm:sqref>
        </x14:dataValidation>
        <x14:dataValidation type="list" allowBlank="1" showInputMessage="1" showErrorMessage="1" xr:uid="{FDF6C3A6-DD19-4EE9-905B-BCE7ABFC7BDA}">
          <x14:formula1>
            <xm:f>Calculator!$U$2:$U$3</xm:f>
          </x14:formula1>
          <xm:sqref>D8:F8 D15:F15 D24:F24 D31:F31 M31:O31 M24:O24 M15:O15 M8:O8</xm:sqref>
        </x14:dataValidation>
        <x14:dataValidation type="list" allowBlank="1" showInputMessage="1" showErrorMessage="1" xr:uid="{80F24F05-9488-4E38-BA80-4D36ED853AED}">
          <x14:formula1>
            <xm:f>Calculator!$V$2:$V$3</xm:f>
          </x14:formula1>
          <xm:sqref>G8 G15 G24 G31 P31 P24 P15 P8</xm:sqref>
        </x14:dataValidation>
        <x14:dataValidation type="list" allowBlank="1" showInputMessage="1" showErrorMessage="1" xr:uid="{43FC4D0A-133A-438E-9BA4-379ADF6861E7}">
          <x14:formula1>
            <xm:f>WALL!$B$3:$B$102</xm:f>
          </x14:formula1>
          <xm:sqref>AB5:AC5 S5:T5</xm:sqref>
        </x14:dataValidation>
        <x14:dataValidation type="list" allowBlank="1" showInputMessage="1" showErrorMessage="1" xr:uid="{711E2E29-B54F-42E9-95C5-3033E17FD0FA}">
          <x14:formula1>
            <xm:f>WALL!$B$116:$B$215</xm:f>
          </x14:formula1>
          <xm:sqref>AB8:AC8 S8:T8</xm:sqref>
        </x14:dataValidation>
        <x14:dataValidation type="list" allowBlank="1" showInputMessage="1" showErrorMessage="1" xr:uid="{506F7993-F4BB-491B-9617-E4CEDE94F8AE}">
          <x14:formula1>
            <xm:f>GROUND!$C$57:$C$102</xm:f>
          </x14:formula1>
          <xm:sqref>C14 C7</xm:sqref>
        </x14:dataValidation>
        <x14:dataValidation type="list" allowBlank="1" showInputMessage="1" showErrorMessage="1" xr:uid="{1B55E6F6-7AF5-4C7E-B423-079285F4AC6F}">
          <x14:formula1>
            <xm:f>GROUND!$C$3:$C$48</xm:f>
          </x14:formula1>
          <xm:sqref>C12 C5</xm:sqref>
        </x14:dataValidation>
        <x14:dataValidation type="list" allowBlank="1" showInputMessage="1" showErrorMessage="1" xr:uid="{BEE973B9-8FF9-4AD3-9561-25750804C4E4}">
          <x14:formula1>
            <xm:f>MOUNTED!$C$3:$C$46</xm:f>
          </x14:formula1>
          <xm:sqref>C28</xm:sqref>
        </x14:dataValidation>
        <x14:dataValidation type="list" allowBlank="1" showInputMessage="1" showErrorMessage="1" xr:uid="{596F3102-525F-4019-9082-36D9A7E84913}">
          <x14:formula1>
            <xm:f>RANGED!$C$3:$C$56</xm:f>
          </x14:formula1>
          <xm:sqref>L5 L12</xm:sqref>
        </x14:dataValidation>
        <x14:dataValidation type="list" allowBlank="1" showInputMessage="1" showErrorMessage="1" xr:uid="{11E852C5-7EF9-4D8D-8D45-57BCC783E604}">
          <x14:formula1>
            <xm:f>SIEGE!$C$3:$C$51</xm:f>
          </x14:formula1>
          <xm:sqref>L28 L21</xm:sqref>
        </x14:dataValidation>
        <x14:dataValidation type="list" allowBlank="1" showInputMessage="1" showErrorMessage="1" xr:uid="{8D734623-06E6-4467-996D-0683FAB2A9ED}">
          <x14:formula1>
            <xm:f>MOUNTED!$C$3:$C$50</xm:f>
          </x14:formula1>
          <xm:sqref>C21</xm:sqref>
        </x14:dataValidation>
        <x14:dataValidation type="list" allowBlank="1" showInputMessage="1" showErrorMessage="1" xr:uid="{2A5723FC-F399-4A3B-AE37-2D2F3631DF74}">
          <x14:formula1>
            <xm:f>MOUNTED!$C$60:$C$107</xm:f>
          </x14:formula1>
          <xm:sqref>C23</xm:sqref>
        </x14:dataValidation>
        <x14:dataValidation type="list" allowBlank="1" showInputMessage="1" showErrorMessage="1" xr:uid="{C3B475AE-F7BB-4589-8174-F8E81438734E}">
          <x14:formula1>
            <xm:f>DRAGONS!$C$27:$C$43</xm:f>
          </x14:formula1>
          <xm:sqref>S11:T11 AB11:AC11</xm:sqref>
        </x14:dataValidation>
        <x14:dataValidation type="list" allowBlank="1" showInputMessage="1" showErrorMessage="1" xr:uid="{40785B26-0D0C-42B0-A6A8-39BA79E14D39}">
          <x14:formula1>
            <xm:f>DRAGONS!$C$4:$C$20</xm:f>
          </x14:formula1>
          <xm:sqref>H8 H15 H24 H31 Q31 Q24 Q15 Q8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EEBE1-D374-4E42-9755-2E74CC963472}">
  <sheetPr>
    <tabColor rgb="FF00B050"/>
  </sheetPr>
  <dimension ref="A1:AY107"/>
  <sheetViews>
    <sheetView showGridLines="0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3" sqref="C3"/>
    </sheetView>
  </sheetViews>
  <sheetFormatPr defaultColWidth="24.5703125" defaultRowHeight="14.25" customHeight="1" x14ac:dyDescent="0.25"/>
  <cols>
    <col min="1" max="1" width="4.140625" style="10" bestFit="1" customWidth="1"/>
    <col min="2" max="2" width="6.85546875" style="10" customWidth="1"/>
    <col min="3" max="3" width="21.5703125" style="390" customWidth="1"/>
    <col min="4" max="4" width="6.5703125" style="390" bestFit="1" customWidth="1"/>
    <col min="5" max="7" width="6" style="390" bestFit="1" customWidth="1"/>
    <col min="8" max="9" width="8.85546875" style="10" bestFit="1" customWidth="1"/>
    <col min="10" max="10" width="8" style="10" bestFit="1" customWidth="1"/>
    <col min="11" max="11" width="8.140625" style="10" bestFit="1" customWidth="1"/>
    <col min="12" max="13" width="7" style="10" bestFit="1" customWidth="1"/>
    <col min="14" max="14" width="6.140625" style="10" bestFit="1" customWidth="1"/>
    <col min="15" max="15" width="6.42578125" style="10" bestFit="1" customWidth="1"/>
    <col min="16" max="17" width="8" style="10" bestFit="1" customWidth="1"/>
    <col min="18" max="18" width="7.140625" style="10" bestFit="1" customWidth="1"/>
    <col min="19" max="19" width="7.42578125" style="10" bestFit="1" customWidth="1"/>
    <col min="20" max="21" width="8" style="10" bestFit="1" customWidth="1"/>
    <col min="22" max="22" width="7.140625" style="10" bestFit="1" customWidth="1"/>
    <col min="23" max="23" width="7.42578125" style="10" bestFit="1" customWidth="1"/>
    <col min="24" max="25" width="9" style="10" bestFit="1" customWidth="1"/>
    <col min="26" max="26" width="8.140625" style="10" bestFit="1" customWidth="1"/>
    <col min="27" max="27" width="8.42578125" style="10" bestFit="1" customWidth="1"/>
    <col min="28" max="29" width="9" style="10" bestFit="1" customWidth="1"/>
    <col min="30" max="30" width="8.140625" style="10" bestFit="1" customWidth="1"/>
    <col min="31" max="32" width="9" style="10" bestFit="1" customWidth="1"/>
    <col min="33" max="33" width="8.140625" style="10" bestFit="1" customWidth="1"/>
    <col min="34" max="34" width="8.42578125" style="10" bestFit="1" customWidth="1"/>
    <col min="35" max="35" width="9.85546875" style="405" bestFit="1" customWidth="1"/>
    <col min="36" max="36" width="9" style="11" customWidth="1"/>
    <col min="37" max="37" width="10" style="11" customWidth="1"/>
    <col min="38" max="38" width="7.42578125" style="11" customWidth="1"/>
    <col min="39" max="39" width="14.42578125" style="402" customWidth="1"/>
    <col min="40" max="40" width="15.42578125" style="402" customWidth="1"/>
    <col min="41" max="41" width="12.42578125" style="402" customWidth="1"/>
    <col min="42" max="42" width="9" style="401" customWidth="1"/>
    <col min="43" max="44" width="8" style="401" customWidth="1"/>
    <col min="45" max="46" width="12.42578125" style="10" customWidth="1"/>
    <col min="47" max="47" width="13.42578125" style="10" customWidth="1"/>
    <col min="48" max="48" width="2" style="10" customWidth="1"/>
    <col min="49" max="49" width="14.140625" style="10" bestFit="1" customWidth="1"/>
    <col min="50" max="50" width="9.85546875" style="10" bestFit="1" customWidth="1"/>
    <col min="51" max="51" width="15.5703125" style="10" bestFit="1" customWidth="1"/>
    <col min="52" max="52" width="3" style="10" customWidth="1"/>
    <col min="53" max="53" width="21.5703125" style="10" customWidth="1"/>
    <col min="54" max="54" width="9.42578125" style="10" bestFit="1" customWidth="1"/>
    <col min="55" max="55" width="10.42578125" style="10" bestFit="1" customWidth="1"/>
    <col min="56" max="56" width="14.7109375" style="10" bestFit="1" customWidth="1"/>
    <col min="57" max="16384" width="24.5703125" style="10"/>
  </cols>
  <sheetData>
    <row r="1" spans="1:51" s="60" customFormat="1" ht="17.25" customHeight="1" x14ac:dyDescent="0.25">
      <c r="A1" s="528" t="s">
        <v>109</v>
      </c>
      <c r="B1" s="528"/>
      <c r="C1" s="529"/>
      <c r="D1" s="545" t="s">
        <v>564</v>
      </c>
      <c r="E1" s="528"/>
      <c r="F1" s="528"/>
      <c r="G1" s="528"/>
      <c r="H1" s="541" t="s">
        <v>293</v>
      </c>
      <c r="I1" s="541"/>
      <c r="J1" s="541"/>
      <c r="K1" s="542"/>
      <c r="L1" s="539" t="s">
        <v>282</v>
      </c>
      <c r="M1" s="539"/>
      <c r="N1" s="539"/>
      <c r="O1" s="540"/>
      <c r="P1" s="548" t="s">
        <v>283</v>
      </c>
      <c r="Q1" s="548"/>
      <c r="R1" s="548"/>
      <c r="S1" s="549"/>
      <c r="T1" s="550" t="s">
        <v>284</v>
      </c>
      <c r="U1" s="550"/>
      <c r="V1" s="550"/>
      <c r="W1" s="551"/>
      <c r="X1" s="552" t="s">
        <v>285</v>
      </c>
      <c r="Y1" s="552"/>
      <c r="Z1" s="552"/>
      <c r="AA1" s="553"/>
      <c r="AB1" s="554" t="s">
        <v>327</v>
      </c>
      <c r="AC1" s="554"/>
      <c r="AD1" s="555"/>
      <c r="AE1" s="520" t="s">
        <v>5</v>
      </c>
      <c r="AF1" s="520"/>
      <c r="AG1" s="520"/>
      <c r="AH1" s="520"/>
      <c r="AI1" s="522"/>
      <c r="AJ1" s="520" t="s">
        <v>275</v>
      </c>
      <c r="AK1" s="520"/>
      <c r="AL1" s="520"/>
      <c r="AM1" s="520"/>
      <c r="AN1" s="520"/>
      <c r="AO1" s="521"/>
      <c r="AP1" s="520" t="s">
        <v>276</v>
      </c>
      <c r="AQ1" s="520"/>
      <c r="AR1" s="520"/>
      <c r="AS1" s="520"/>
      <c r="AT1" s="520"/>
      <c r="AU1" s="520"/>
      <c r="AW1" s="380" t="s">
        <v>230</v>
      </c>
      <c r="AX1" s="380" t="s">
        <v>201</v>
      </c>
      <c r="AY1" s="380" t="s">
        <v>257</v>
      </c>
    </row>
    <row r="2" spans="1:51" ht="14.25" customHeight="1" thickBot="1" x14ac:dyDescent="0.3">
      <c r="A2" s="379" t="s">
        <v>48</v>
      </c>
      <c r="B2" s="387" t="s">
        <v>331</v>
      </c>
      <c r="C2" s="391" t="s">
        <v>0</v>
      </c>
      <c r="D2" s="387" t="s">
        <v>565</v>
      </c>
      <c r="E2" s="387" t="s">
        <v>503</v>
      </c>
      <c r="F2" s="387" t="s">
        <v>504</v>
      </c>
      <c r="G2" s="387" t="s">
        <v>505</v>
      </c>
      <c r="H2" s="392" t="s">
        <v>289</v>
      </c>
      <c r="I2" s="391" t="s">
        <v>290</v>
      </c>
      <c r="J2" s="391" t="s">
        <v>291</v>
      </c>
      <c r="K2" s="391" t="s">
        <v>292</v>
      </c>
      <c r="L2" s="392" t="s">
        <v>270</v>
      </c>
      <c r="M2" s="391" t="s">
        <v>271</v>
      </c>
      <c r="N2" s="391" t="s">
        <v>272</v>
      </c>
      <c r="O2" s="391" t="s">
        <v>273</v>
      </c>
      <c r="P2" s="392" t="s">
        <v>537</v>
      </c>
      <c r="Q2" s="391" t="s">
        <v>538</v>
      </c>
      <c r="R2" s="391" t="s">
        <v>539</v>
      </c>
      <c r="S2" s="391" t="s">
        <v>540</v>
      </c>
      <c r="T2" s="392" t="s">
        <v>541</v>
      </c>
      <c r="U2" s="391" t="s">
        <v>542</v>
      </c>
      <c r="V2" s="391" t="s">
        <v>543</v>
      </c>
      <c r="W2" s="391" t="s">
        <v>544</v>
      </c>
      <c r="X2" s="392" t="s">
        <v>545</v>
      </c>
      <c r="Y2" s="391" t="s">
        <v>546</v>
      </c>
      <c r="Z2" s="391" t="s">
        <v>547</v>
      </c>
      <c r="AA2" s="391" t="s">
        <v>548</v>
      </c>
      <c r="AB2" s="392" t="s">
        <v>549</v>
      </c>
      <c r="AC2" s="391" t="s">
        <v>550</v>
      </c>
      <c r="AD2" s="391" t="s">
        <v>551</v>
      </c>
      <c r="AE2" s="392" t="s">
        <v>552</v>
      </c>
      <c r="AF2" s="391" t="s">
        <v>553</v>
      </c>
      <c r="AG2" s="391" t="s">
        <v>554</v>
      </c>
      <c r="AH2" s="391" t="s">
        <v>555</v>
      </c>
      <c r="AI2" s="393" t="s">
        <v>274</v>
      </c>
      <c r="AJ2" s="392" t="s">
        <v>556</v>
      </c>
      <c r="AK2" s="391" t="s">
        <v>557</v>
      </c>
      <c r="AL2" s="394" t="s">
        <v>277</v>
      </c>
      <c r="AM2" s="395" t="s">
        <v>558</v>
      </c>
      <c r="AN2" s="395" t="s">
        <v>559</v>
      </c>
      <c r="AO2" s="395" t="s">
        <v>281</v>
      </c>
      <c r="AP2" s="392" t="s">
        <v>560</v>
      </c>
      <c r="AQ2" s="391" t="s">
        <v>561</v>
      </c>
      <c r="AR2" s="391" t="s">
        <v>562</v>
      </c>
      <c r="AS2" s="395" t="s">
        <v>279</v>
      </c>
      <c r="AT2" s="395" t="s">
        <v>280</v>
      </c>
      <c r="AU2" s="395" t="s">
        <v>563</v>
      </c>
      <c r="AW2" s="396">
        <f>VLOOKUP(AX6,Calculator!P:Q,2,FALSE)</f>
        <v>660000</v>
      </c>
      <c r="AX2" s="396">
        <f>VLOOKUP(AX5,Calculator!G:H,2,FALSE)</f>
        <v>3570</v>
      </c>
      <c r="AY2" s="396">
        <f>(AW2+AW3)*(AX2+AX3)</f>
        <v>278521047000</v>
      </c>
    </row>
    <row r="3" spans="1:51" ht="14.25" customHeight="1" thickTop="1" x14ac:dyDescent="0.25">
      <c r="A3" s="10" t="s">
        <v>49</v>
      </c>
      <c r="B3" s="208" t="s">
        <v>332</v>
      </c>
      <c r="C3" s="183" t="s">
        <v>1148</v>
      </c>
      <c r="D3" s="125" t="str">
        <f>IF(ISNUMBER(MATCH(Table10[[#This Row],[General]],COVENANTS!$A$2:$A$100,0)), "Y","N")</f>
        <v>Y</v>
      </c>
      <c r="E3" s="125" t="str">
        <f>IF(ISNUMBER(MATCH(Table10[[#This Row],[General]],COVENANTS!$B$2:$B$100,0)), "Y","N")</f>
        <v>N</v>
      </c>
      <c r="F3" s="125" t="str">
        <f>IF(ISNUMBER(MATCH(Table10[[#This Row],[General]],COVENANTS!$C$2:$C$100,0)), "Y","N")</f>
        <v>N</v>
      </c>
      <c r="G3" s="125" t="str">
        <f>IF(ISNUMBER(MATCH(Table10[[#This Row],[General]],COVENANTS!$D$2:$D$100,0)), "Y","N")</f>
        <v>N</v>
      </c>
      <c r="H3" s="126">
        <v>25</v>
      </c>
      <c r="I3" s="127">
        <v>25</v>
      </c>
      <c r="J3" s="127">
        <v>25</v>
      </c>
      <c r="K3" s="127">
        <v>12</v>
      </c>
      <c r="L3" s="126">
        <v>60</v>
      </c>
      <c r="M3" s="127">
        <v>60</v>
      </c>
      <c r="N3" s="210">
        <v>40</v>
      </c>
      <c r="O3" s="210">
        <v>0</v>
      </c>
      <c r="P3" s="212">
        <v>150</v>
      </c>
      <c r="Q3" s="210">
        <v>100</v>
      </c>
      <c r="R3" s="210">
        <v>125</v>
      </c>
      <c r="S3" s="210">
        <v>10</v>
      </c>
      <c r="T3" s="212">
        <v>85</v>
      </c>
      <c r="U3" s="210">
        <v>75</v>
      </c>
      <c r="V3" s="210">
        <v>10</v>
      </c>
      <c r="W3" s="210">
        <v>6</v>
      </c>
      <c r="X3" s="212">
        <v>20</v>
      </c>
      <c r="Y3" s="210">
        <v>15</v>
      </c>
      <c r="Z3" s="210">
        <v>10</v>
      </c>
      <c r="AA3" s="210">
        <v>10</v>
      </c>
      <c r="AB3" s="214">
        <f t="shared" ref="AB3:AB34" si="0">900*0.1+(AM3-900)*0.2</f>
        <v>264.1965231616</v>
      </c>
      <c r="AC3" s="216">
        <f t="shared" ref="AC3:AC34" si="1">900*0.1+(AN3-900)*0.2</f>
        <v>245.47304407039996</v>
      </c>
      <c r="AD3" s="216">
        <f t="shared" ref="AD3:AD34" si="2">900*0.1+(AO3-900)*0.2</f>
        <v>247.25805557759998</v>
      </c>
      <c r="AE3" s="212">
        <f t="shared" ref="AE3:AE34" si="3">P3+T3+X3+AB3</f>
        <v>519.1965231616</v>
      </c>
      <c r="AF3" s="210">
        <f t="shared" ref="AF3:AF34" si="4">Q3+U3+Y3+AC3</f>
        <v>435.47304407039996</v>
      </c>
      <c r="AG3" s="210">
        <f t="shared" ref="AG3:AG34" si="5">R3+V3+Z3+AD3</f>
        <v>392.25805557759998</v>
      </c>
      <c r="AH3" s="210">
        <f t="shared" ref="AH3:AH34" si="6">S3+W3+AA3</f>
        <v>26</v>
      </c>
      <c r="AI3" s="296">
        <f t="shared" ref="AI3:AI34" si="7">(AW$2*(AH3/100)+AW$2+AW$3)*(AX$2*(AE3/100)+AX$2+AX$3)-AY$2</f>
        <v>84906064218.627197</v>
      </c>
      <c r="AJ3" s="212">
        <v>135</v>
      </c>
      <c r="AK3" s="210">
        <v>128</v>
      </c>
      <c r="AL3" s="210">
        <v>130</v>
      </c>
      <c r="AM3" s="218">
        <f t="shared" ref="AM3:AM34" si="8">(AJ3+AS3*($AX$9-1))+500+((AJ3+AS3*($AX$9-1))+500)*$AY$10</f>
        <v>1770.982615808</v>
      </c>
      <c r="AN3" s="220">
        <f t="shared" ref="AN3:AN34" si="9">(AK3+AT3*(AX$9-1))+500+((AK3+AT3*(AX$9-1))+500)*$AY$10</f>
        <v>1677.3652203519998</v>
      </c>
      <c r="AO3" s="220">
        <f t="shared" ref="AO3:AO34" si="10">(AL3+AU3*(AX$9-1))+500+((AL3+AU3*(AX$9-1))+500)*$AY$10</f>
        <v>1686.2902778879998</v>
      </c>
      <c r="AP3" s="222">
        <v>9.68</v>
      </c>
      <c r="AQ3" s="224">
        <v>8.92</v>
      </c>
      <c r="AR3" s="224">
        <v>8.98</v>
      </c>
      <c r="AS3" s="218">
        <f t="shared" ref="AS3:AS34" si="11">(((((1+20/100)*$AP3)*(1+20/100)))*(1+20/100))*(1+20/100)*(1+20/100)</f>
        <v>24.086937599999995</v>
      </c>
      <c r="AT3" s="220">
        <f t="shared" ref="AT3:AT34" si="12">(((((1+20/100)*$AQ3)*(1+20/100)))*(1+20/100))*(1+20/100)*(1+20/100)</f>
        <v>22.195814399999993</v>
      </c>
      <c r="AU3" s="220">
        <f t="shared" ref="AU3:AU34" si="13">(((((1+20/100)*$AR3)*(1+20/100)))*(1+20/100))*(1+20/100)*(1+20/100)</f>
        <v>22.345113599999994</v>
      </c>
      <c r="AW3" s="396">
        <f>AX8</f>
        <v>3055100</v>
      </c>
      <c r="AX3" s="396">
        <f>((AX7/100)*AX2)</f>
        <v>71400</v>
      </c>
    </row>
    <row r="4" spans="1:51" ht="14.25" customHeight="1" x14ac:dyDescent="0.25">
      <c r="A4" s="10" t="s">
        <v>50</v>
      </c>
      <c r="B4" s="104" t="s">
        <v>332</v>
      </c>
      <c r="C4" s="121" t="s">
        <v>816</v>
      </c>
      <c r="D4" s="135" t="str">
        <f>IF(ISNUMBER(MATCH(Table10[[#This Row],[General]],COVENANTS!$A$2:$A$100,0)), "Y","N")</f>
        <v>Y</v>
      </c>
      <c r="E4" s="135" t="str">
        <f>IF(ISNUMBER(MATCH(Table10[[#This Row],[General]],COVENANTS!$B$2:$B$100,0)), "Y","N")</f>
        <v>N</v>
      </c>
      <c r="F4" s="135" t="str">
        <f>IF(ISNUMBER(MATCH(Table10[[#This Row],[General]],COVENANTS!$C$2:$C$100,0)), "Y","N")</f>
        <v>N</v>
      </c>
      <c r="G4" s="135" t="str">
        <f>IF(ISNUMBER(MATCH(Table10[[#This Row],[General]],COVENANTS!$D$2:$D$100,0)), "Y","N")</f>
        <v>Y</v>
      </c>
      <c r="H4" s="122">
        <v>25</v>
      </c>
      <c r="I4" s="123">
        <v>25</v>
      </c>
      <c r="J4" s="123">
        <v>25</v>
      </c>
      <c r="K4" s="123">
        <v>12</v>
      </c>
      <c r="L4" s="122">
        <v>60</v>
      </c>
      <c r="M4" s="123">
        <v>60</v>
      </c>
      <c r="N4" s="105">
        <v>45</v>
      </c>
      <c r="O4" s="105">
        <v>0</v>
      </c>
      <c r="P4" s="106">
        <v>145</v>
      </c>
      <c r="Q4" s="105">
        <v>105</v>
      </c>
      <c r="R4" s="105">
        <v>75</v>
      </c>
      <c r="S4" s="105">
        <v>13</v>
      </c>
      <c r="T4" s="106">
        <v>75</v>
      </c>
      <c r="U4" s="105">
        <v>55</v>
      </c>
      <c r="V4" s="105">
        <v>65</v>
      </c>
      <c r="W4" s="105">
        <v>6</v>
      </c>
      <c r="X4" s="106">
        <v>27</v>
      </c>
      <c r="Y4" s="105">
        <v>18</v>
      </c>
      <c r="Z4" s="105">
        <v>15</v>
      </c>
      <c r="AA4" s="105">
        <v>5</v>
      </c>
      <c r="AB4" s="107">
        <f t="shared" si="0"/>
        <v>259.91632389119997</v>
      </c>
      <c r="AC4" s="108">
        <f t="shared" si="1"/>
        <v>242.10018580479991</v>
      </c>
      <c r="AD4" s="108">
        <f t="shared" si="2"/>
        <v>249.2995728384</v>
      </c>
      <c r="AE4" s="106">
        <f t="shared" si="3"/>
        <v>506.91632389119997</v>
      </c>
      <c r="AF4" s="105">
        <f t="shared" si="4"/>
        <v>420.10018580479993</v>
      </c>
      <c r="AG4" s="105">
        <f t="shared" si="5"/>
        <v>404.29957283839997</v>
      </c>
      <c r="AH4" s="105">
        <f t="shared" si="6"/>
        <v>24</v>
      </c>
      <c r="AI4" s="297">
        <f t="shared" si="7"/>
        <v>81973639587.15448</v>
      </c>
      <c r="AJ4" s="106">
        <v>133</v>
      </c>
      <c r="AK4" s="105">
        <v>126</v>
      </c>
      <c r="AL4" s="105">
        <v>130</v>
      </c>
      <c r="AM4" s="109">
        <f t="shared" si="8"/>
        <v>1749.5816194559998</v>
      </c>
      <c r="AN4" s="110">
        <f t="shared" si="9"/>
        <v>1660.5009290239996</v>
      </c>
      <c r="AO4" s="110">
        <f t="shared" si="10"/>
        <v>1696.497864192</v>
      </c>
      <c r="AP4" s="111">
        <v>9.51</v>
      </c>
      <c r="AQ4" s="112">
        <v>8.7899999999999991</v>
      </c>
      <c r="AR4" s="112">
        <v>9.07</v>
      </c>
      <c r="AS4" s="109">
        <f t="shared" si="11"/>
        <v>23.663923199999992</v>
      </c>
      <c r="AT4" s="110">
        <f t="shared" si="12"/>
        <v>21.872332799999992</v>
      </c>
      <c r="AU4" s="110">
        <f t="shared" si="13"/>
        <v>22.569062399999996</v>
      </c>
    </row>
    <row r="5" spans="1:51" ht="14.25" customHeight="1" x14ac:dyDescent="0.25">
      <c r="A5" s="10" t="s">
        <v>51</v>
      </c>
      <c r="B5" s="104" t="s">
        <v>333</v>
      </c>
      <c r="C5" s="121" t="s">
        <v>815</v>
      </c>
      <c r="D5" s="135" t="str">
        <f>IF(ISNUMBER(MATCH(Table10[[#This Row],[General]],COVENANTS!$A$2:$A$100,0)), "Y","N")</f>
        <v>Y</v>
      </c>
      <c r="E5" s="135" t="str">
        <f>IF(ISNUMBER(MATCH(Table10[[#This Row],[General]],COVENANTS!$B$2:$B$100,0)), "Y","N")</f>
        <v>N</v>
      </c>
      <c r="F5" s="135" t="str">
        <f>IF(ISNUMBER(MATCH(Table10[[#This Row],[General]],COVENANTS!$C$2:$C$100,0)), "Y","N")</f>
        <v>N</v>
      </c>
      <c r="G5" s="135" t="str">
        <f>IF(ISNUMBER(MATCH(Table10[[#This Row],[General]],COVENANTS!$D$2:$D$100,0)), "Y","N")</f>
        <v>Y</v>
      </c>
      <c r="H5" s="122">
        <v>25</v>
      </c>
      <c r="I5" s="123">
        <v>25</v>
      </c>
      <c r="J5" s="123">
        <v>25</v>
      </c>
      <c r="K5" s="123">
        <v>12</v>
      </c>
      <c r="L5" s="122">
        <v>60</v>
      </c>
      <c r="M5" s="123">
        <v>45</v>
      </c>
      <c r="N5" s="105">
        <v>60</v>
      </c>
      <c r="O5" s="105">
        <v>0</v>
      </c>
      <c r="P5" s="106">
        <v>130</v>
      </c>
      <c r="Q5" s="105">
        <v>95</v>
      </c>
      <c r="R5" s="105">
        <v>125</v>
      </c>
      <c r="S5" s="105">
        <v>8</v>
      </c>
      <c r="T5" s="106">
        <v>80</v>
      </c>
      <c r="U5" s="105">
        <v>20</v>
      </c>
      <c r="V5" s="105">
        <v>45</v>
      </c>
      <c r="W5" s="105">
        <v>8</v>
      </c>
      <c r="X5" s="106">
        <v>23</v>
      </c>
      <c r="Y5" s="105">
        <v>20</v>
      </c>
      <c r="Z5" s="105">
        <v>20</v>
      </c>
      <c r="AA5" s="105">
        <v>8</v>
      </c>
      <c r="AB5" s="107">
        <f t="shared" si="0"/>
        <v>256.72579512319987</v>
      </c>
      <c r="AC5" s="108">
        <f t="shared" si="1"/>
        <v>249.96524334079996</v>
      </c>
      <c r="AD5" s="108">
        <f t="shared" si="2"/>
        <v>244.58053831680002</v>
      </c>
      <c r="AE5" s="106">
        <f t="shared" si="3"/>
        <v>489.72579512319987</v>
      </c>
      <c r="AF5" s="105">
        <f t="shared" si="4"/>
        <v>384.96524334079993</v>
      </c>
      <c r="AG5" s="105">
        <f t="shared" si="5"/>
        <v>434.58053831680002</v>
      </c>
      <c r="AH5" s="105">
        <f t="shared" si="6"/>
        <v>24</v>
      </c>
      <c r="AI5" s="297">
        <f t="shared" si="7"/>
        <v>79596465366.526855</v>
      </c>
      <c r="AJ5" s="106">
        <v>134</v>
      </c>
      <c r="AK5" s="105">
        <v>131</v>
      </c>
      <c r="AL5" s="105">
        <v>127</v>
      </c>
      <c r="AM5" s="109">
        <f t="shared" si="8"/>
        <v>1733.6289756159995</v>
      </c>
      <c r="AN5" s="110">
        <f t="shared" si="9"/>
        <v>1699.8262167039998</v>
      </c>
      <c r="AO5" s="110">
        <f t="shared" si="10"/>
        <v>1672.902691584</v>
      </c>
      <c r="AP5" s="111">
        <v>9.36</v>
      </c>
      <c r="AQ5" s="112">
        <v>9.09</v>
      </c>
      <c r="AR5" s="112">
        <v>8.89</v>
      </c>
      <c r="AS5" s="109">
        <f t="shared" si="11"/>
        <v>23.290675199999992</v>
      </c>
      <c r="AT5" s="110">
        <f t="shared" si="12"/>
        <v>22.618828799999996</v>
      </c>
      <c r="AU5" s="110">
        <f t="shared" si="13"/>
        <v>22.121164799999995</v>
      </c>
      <c r="AW5" s="33" t="s">
        <v>255</v>
      </c>
      <c r="AX5" s="397" t="s">
        <v>250</v>
      </c>
    </row>
    <row r="6" spans="1:51" ht="14.25" customHeight="1" x14ac:dyDescent="0.25">
      <c r="A6" s="10" t="s">
        <v>52</v>
      </c>
      <c r="B6" s="120" t="s">
        <v>332</v>
      </c>
      <c r="C6" s="134" t="s">
        <v>82</v>
      </c>
      <c r="D6" s="135" t="str">
        <f>IF(ISNUMBER(MATCH(Table10[[#This Row],[General]],COVENANTS!$A$2:$A$100,0)), "Y","N")</f>
        <v>Y</v>
      </c>
      <c r="E6" s="135" t="str">
        <f>IF(ISNUMBER(MATCH(Table10[[#This Row],[General]],COVENANTS!$B$2:$B$100,0)), "Y","N")</f>
        <v>Y</v>
      </c>
      <c r="F6" s="135" t="str">
        <f>IF(ISNUMBER(MATCH(Table10[[#This Row],[General]],COVENANTS!$C$2:$C$100,0)), "Y","N")</f>
        <v>N</v>
      </c>
      <c r="G6" s="135" t="str">
        <f>IF(ISNUMBER(MATCH(Table10[[#This Row],[General]],COVENANTS!$D$2:$D$100,0)), "Y","N")</f>
        <v>N</v>
      </c>
      <c r="H6" s="122">
        <v>25</v>
      </c>
      <c r="I6" s="123">
        <v>25</v>
      </c>
      <c r="J6" s="123">
        <v>25</v>
      </c>
      <c r="K6" s="123">
        <v>12</v>
      </c>
      <c r="L6" s="122">
        <v>50</v>
      </c>
      <c r="M6" s="123">
        <v>40</v>
      </c>
      <c r="N6" s="123">
        <v>50</v>
      </c>
      <c r="O6" s="123">
        <v>0</v>
      </c>
      <c r="P6" s="122">
        <v>120</v>
      </c>
      <c r="Q6" s="123">
        <v>70</v>
      </c>
      <c r="R6" s="123">
        <v>80</v>
      </c>
      <c r="S6" s="123">
        <v>18</v>
      </c>
      <c r="T6" s="122">
        <v>60</v>
      </c>
      <c r="U6" s="123">
        <v>50</v>
      </c>
      <c r="V6" s="123">
        <v>50</v>
      </c>
      <c r="W6" s="123">
        <v>0</v>
      </c>
      <c r="X6" s="122">
        <v>15</v>
      </c>
      <c r="Y6" s="123">
        <v>15</v>
      </c>
      <c r="Z6" s="123">
        <v>30</v>
      </c>
      <c r="AA6" s="123">
        <v>5</v>
      </c>
      <c r="AB6" s="136">
        <f t="shared" si="0"/>
        <v>260.02447713279992</v>
      </c>
      <c r="AC6" s="137">
        <f t="shared" si="1"/>
        <v>254.21577210879991</v>
      </c>
      <c r="AD6" s="137">
        <f t="shared" si="2"/>
        <v>256.43961886720001</v>
      </c>
      <c r="AE6" s="122">
        <f t="shared" si="3"/>
        <v>455.02447713279992</v>
      </c>
      <c r="AF6" s="123">
        <f t="shared" si="4"/>
        <v>389.21577210879991</v>
      </c>
      <c r="AG6" s="123">
        <f t="shared" si="5"/>
        <v>416.43961886720001</v>
      </c>
      <c r="AH6" s="123">
        <f t="shared" si="6"/>
        <v>23</v>
      </c>
      <c r="AI6" s="298">
        <f t="shared" si="7"/>
        <v>74195815177.306213</v>
      </c>
      <c r="AJ6" s="122">
        <v>141</v>
      </c>
      <c r="AK6" s="123">
        <v>135</v>
      </c>
      <c r="AL6" s="123">
        <v>138</v>
      </c>
      <c r="AM6" s="138">
        <f t="shared" si="8"/>
        <v>1750.1223856639997</v>
      </c>
      <c r="AN6" s="139">
        <f t="shared" si="9"/>
        <v>1721.0788605439996</v>
      </c>
      <c r="AO6" s="139">
        <f t="shared" si="10"/>
        <v>1732.1980943359999</v>
      </c>
      <c r="AP6" s="140">
        <v>9.44</v>
      </c>
      <c r="AQ6" s="141">
        <v>9.24</v>
      </c>
      <c r="AR6" s="141">
        <v>9.31</v>
      </c>
      <c r="AS6" s="138">
        <f t="shared" si="11"/>
        <v>23.489740799999993</v>
      </c>
      <c r="AT6" s="139">
        <f t="shared" si="12"/>
        <v>22.992076799999992</v>
      </c>
      <c r="AU6" s="139">
        <f t="shared" si="13"/>
        <v>23.166259199999995</v>
      </c>
      <c r="AW6" s="33" t="s">
        <v>694</v>
      </c>
      <c r="AX6" s="397" t="s">
        <v>703</v>
      </c>
    </row>
    <row r="7" spans="1:51" ht="14.25" customHeight="1" x14ac:dyDescent="0.25">
      <c r="A7" s="10" t="s">
        <v>53</v>
      </c>
      <c r="B7" s="120" t="s">
        <v>333</v>
      </c>
      <c r="C7" s="121" t="s">
        <v>648</v>
      </c>
      <c r="D7" s="135" t="str">
        <f>IF(ISNUMBER(MATCH(Table10[[#This Row],[General]],COVENANTS!$A$2:$A$100,0)), "Y","N")</f>
        <v>Y</v>
      </c>
      <c r="E7" s="135" t="str">
        <f>IF(ISNUMBER(MATCH(Table10[[#This Row],[General]],COVENANTS!$B$2:$B$100,0)), "Y","N")</f>
        <v>N</v>
      </c>
      <c r="F7" s="135" t="str">
        <f>IF(ISNUMBER(MATCH(Table10[[#This Row],[General]],COVENANTS!$C$2:$C$100,0)), "Y","N")</f>
        <v>N</v>
      </c>
      <c r="G7" s="135" t="str">
        <f>IF(ISNUMBER(MATCH(Table10[[#This Row],[General]],COVENANTS!$D$2:$D$100,0)), "Y","N")</f>
        <v>N</v>
      </c>
      <c r="H7" s="122">
        <v>25</v>
      </c>
      <c r="I7" s="123">
        <v>25</v>
      </c>
      <c r="J7" s="123">
        <v>25</v>
      </c>
      <c r="K7" s="123">
        <v>12</v>
      </c>
      <c r="L7" s="122">
        <v>55</v>
      </c>
      <c r="M7" s="123">
        <v>55</v>
      </c>
      <c r="N7" s="123">
        <v>40</v>
      </c>
      <c r="O7" s="123">
        <v>0</v>
      </c>
      <c r="P7" s="122">
        <v>125</v>
      </c>
      <c r="Q7" s="123">
        <v>90</v>
      </c>
      <c r="R7" s="123">
        <v>65</v>
      </c>
      <c r="S7" s="123">
        <v>8</v>
      </c>
      <c r="T7" s="122">
        <v>75</v>
      </c>
      <c r="U7" s="123">
        <v>55</v>
      </c>
      <c r="V7" s="123">
        <v>20</v>
      </c>
      <c r="W7" s="123">
        <v>8</v>
      </c>
      <c r="X7" s="122">
        <v>15</v>
      </c>
      <c r="Y7" s="123">
        <v>10</v>
      </c>
      <c r="Z7" s="123">
        <v>5</v>
      </c>
      <c r="AA7" s="123">
        <v>6</v>
      </c>
      <c r="AB7" s="136">
        <f t="shared" si="0"/>
        <v>237.83482178559993</v>
      </c>
      <c r="AC7" s="137">
        <f t="shared" si="1"/>
        <v>243.24919731199998</v>
      </c>
      <c r="AD7" s="137">
        <f t="shared" si="2"/>
        <v>246.8043850752</v>
      </c>
      <c r="AE7" s="122">
        <f t="shared" si="3"/>
        <v>452.83482178559996</v>
      </c>
      <c r="AF7" s="123">
        <f t="shared" si="4"/>
        <v>398.24919731199998</v>
      </c>
      <c r="AG7" s="123">
        <f t="shared" si="5"/>
        <v>336.8043850752</v>
      </c>
      <c r="AH7" s="123">
        <f t="shared" si="6"/>
        <v>22</v>
      </c>
      <c r="AI7" s="298">
        <f t="shared" si="7"/>
        <v>73292037972.640564</v>
      </c>
      <c r="AJ7" s="122">
        <v>123</v>
      </c>
      <c r="AK7" s="123">
        <v>125</v>
      </c>
      <c r="AL7" s="123">
        <v>130</v>
      </c>
      <c r="AM7" s="138">
        <f t="shared" si="8"/>
        <v>1639.1741089279997</v>
      </c>
      <c r="AN7" s="139">
        <f t="shared" si="9"/>
        <v>1666.2459865599999</v>
      </c>
      <c r="AO7" s="139">
        <f t="shared" si="10"/>
        <v>1684.0219253759999</v>
      </c>
      <c r="AP7" s="140">
        <v>8.6300000000000008</v>
      </c>
      <c r="AQ7" s="141">
        <v>8.85</v>
      </c>
      <c r="AR7" s="141">
        <v>8.9600000000000009</v>
      </c>
      <c r="AS7" s="138">
        <f t="shared" si="11"/>
        <v>21.474201599999997</v>
      </c>
      <c r="AT7" s="139">
        <f t="shared" si="12"/>
        <v>22.021631999999993</v>
      </c>
      <c r="AU7" s="139">
        <f t="shared" si="13"/>
        <v>22.295347199999998</v>
      </c>
      <c r="AW7" s="33" t="s">
        <v>256</v>
      </c>
      <c r="AX7" s="397">
        <v>2000</v>
      </c>
    </row>
    <row r="8" spans="1:51" ht="14.25" customHeight="1" x14ac:dyDescent="0.25">
      <c r="A8" s="10" t="s">
        <v>54</v>
      </c>
      <c r="B8" s="104" t="s">
        <v>332</v>
      </c>
      <c r="C8" s="121" t="s">
        <v>688</v>
      </c>
      <c r="D8" s="135" t="str">
        <f>IF(ISNUMBER(MATCH(Table10[[#This Row],[General]],COVENANTS!$A$2:$A$100,0)), "Y","N")</f>
        <v>Y</v>
      </c>
      <c r="E8" s="135" t="str">
        <f>IF(ISNUMBER(MATCH(Table10[[#This Row],[General]],COVENANTS!$B$2:$B$100,0)), "Y","N")</f>
        <v>N</v>
      </c>
      <c r="F8" s="135" t="str">
        <f>IF(ISNUMBER(MATCH(Table10[[#This Row],[General]],COVENANTS!$C$2:$C$100,0)), "Y","N")</f>
        <v>N</v>
      </c>
      <c r="G8" s="135" t="str">
        <f>IF(ISNUMBER(MATCH(Table10[[#This Row],[General]],COVENANTS!$D$2:$D$100,0)), "Y","N")</f>
        <v>N</v>
      </c>
      <c r="H8" s="122">
        <v>25</v>
      </c>
      <c r="I8" s="123">
        <v>25</v>
      </c>
      <c r="J8" s="123">
        <v>25</v>
      </c>
      <c r="K8" s="123">
        <v>12</v>
      </c>
      <c r="L8" s="122">
        <v>55</v>
      </c>
      <c r="M8" s="123">
        <v>40</v>
      </c>
      <c r="N8" s="105">
        <v>55</v>
      </c>
      <c r="O8" s="105">
        <v>0</v>
      </c>
      <c r="P8" s="106">
        <v>135</v>
      </c>
      <c r="Q8" s="105">
        <v>100</v>
      </c>
      <c r="R8" s="105">
        <v>115</v>
      </c>
      <c r="S8" s="105">
        <v>10</v>
      </c>
      <c r="T8" s="106">
        <v>70</v>
      </c>
      <c r="U8" s="105">
        <v>60</v>
      </c>
      <c r="V8" s="105">
        <v>60</v>
      </c>
      <c r="W8" s="105">
        <v>0</v>
      </c>
      <c r="X8" s="106">
        <v>15</v>
      </c>
      <c r="Y8" s="105">
        <v>20</v>
      </c>
      <c r="Z8" s="105">
        <v>10</v>
      </c>
      <c r="AA8" s="105">
        <v>8</v>
      </c>
      <c r="AB8" s="107">
        <f t="shared" si="0"/>
        <v>245.23137356799998</v>
      </c>
      <c r="AC8" s="108">
        <f t="shared" si="1"/>
        <v>239.81699804159993</v>
      </c>
      <c r="AD8" s="108">
        <f t="shared" si="2"/>
        <v>245.23137356799998</v>
      </c>
      <c r="AE8" s="106">
        <f t="shared" si="3"/>
        <v>465.23137356799998</v>
      </c>
      <c r="AF8" s="105">
        <f t="shared" si="4"/>
        <v>419.81699804159996</v>
      </c>
      <c r="AG8" s="105">
        <f t="shared" si="5"/>
        <v>430.23137356799998</v>
      </c>
      <c r="AH8" s="105">
        <f t="shared" si="6"/>
        <v>18</v>
      </c>
      <c r="AI8" s="297">
        <f t="shared" si="7"/>
        <v>72582761103.468079</v>
      </c>
      <c r="AJ8" s="106">
        <v>129</v>
      </c>
      <c r="AK8" s="105">
        <v>127</v>
      </c>
      <c r="AL8" s="105">
        <v>129</v>
      </c>
      <c r="AM8" s="109">
        <f t="shared" si="8"/>
        <v>1676.1568678399999</v>
      </c>
      <c r="AN8" s="110">
        <f t="shared" si="9"/>
        <v>1649.0849902079997</v>
      </c>
      <c r="AO8" s="110">
        <f t="shared" si="10"/>
        <v>1676.1568678399999</v>
      </c>
      <c r="AP8" s="111">
        <v>8.9</v>
      </c>
      <c r="AQ8" s="112">
        <v>8.68</v>
      </c>
      <c r="AR8" s="112">
        <v>8.9</v>
      </c>
      <c r="AS8" s="109">
        <f t="shared" si="11"/>
        <v>22.146047999999997</v>
      </c>
      <c r="AT8" s="110">
        <f t="shared" si="12"/>
        <v>21.598617599999994</v>
      </c>
      <c r="AU8" s="110">
        <f t="shared" si="13"/>
        <v>22.146047999999997</v>
      </c>
      <c r="AW8" s="33" t="s">
        <v>258</v>
      </c>
      <c r="AX8" s="397">
        <v>3055100</v>
      </c>
    </row>
    <row r="9" spans="1:51" ht="14.25" customHeight="1" x14ac:dyDescent="0.25">
      <c r="A9" s="10" t="s">
        <v>55</v>
      </c>
      <c r="B9" s="104" t="s">
        <v>333</v>
      </c>
      <c r="C9" s="121" t="s">
        <v>1142</v>
      </c>
      <c r="D9" s="135" t="str">
        <f>IF(ISNUMBER(MATCH(Table10[[#This Row],[General]],COVENANTS!$A$2:$A$100,0)), "Y","N")</f>
        <v>Y</v>
      </c>
      <c r="E9" s="135" t="str">
        <f>IF(ISNUMBER(MATCH(Table10[[#This Row],[General]],COVENANTS!$B$2:$B$100,0)), "Y","N")</f>
        <v>N</v>
      </c>
      <c r="F9" s="135" t="str">
        <f>IF(ISNUMBER(MATCH(Table10[[#This Row],[General]],COVENANTS!$C$2:$C$100,0)), "Y","N")</f>
        <v>N</v>
      </c>
      <c r="G9" s="135" t="str">
        <f>IF(ISNUMBER(MATCH(Table10[[#This Row],[General]],COVENANTS!$D$2:$D$100,0)), "Y","N")</f>
        <v>N</v>
      </c>
      <c r="H9" s="122">
        <v>25</v>
      </c>
      <c r="I9" s="123">
        <v>25</v>
      </c>
      <c r="J9" s="123">
        <v>25</v>
      </c>
      <c r="K9" s="123">
        <v>12</v>
      </c>
      <c r="L9" s="122">
        <v>60</v>
      </c>
      <c r="M9" s="123">
        <v>60</v>
      </c>
      <c r="N9" s="105">
        <v>45</v>
      </c>
      <c r="O9" s="105">
        <v>0</v>
      </c>
      <c r="P9" s="106">
        <v>110</v>
      </c>
      <c r="Q9" s="105">
        <v>120</v>
      </c>
      <c r="R9" s="105">
        <v>105</v>
      </c>
      <c r="S9" s="105">
        <v>8</v>
      </c>
      <c r="T9" s="106">
        <v>75</v>
      </c>
      <c r="U9" s="105">
        <v>55</v>
      </c>
      <c r="V9" s="105">
        <v>55</v>
      </c>
      <c r="W9" s="105">
        <v>0</v>
      </c>
      <c r="X9" s="106">
        <v>20</v>
      </c>
      <c r="Y9" s="105">
        <v>15</v>
      </c>
      <c r="Z9" s="105">
        <v>10</v>
      </c>
      <c r="AA9" s="105">
        <v>10</v>
      </c>
      <c r="AB9" s="107">
        <f t="shared" si="0"/>
        <v>255.83328936959992</v>
      </c>
      <c r="AC9" s="108">
        <f t="shared" si="1"/>
        <v>237.16915128319994</v>
      </c>
      <c r="AD9" s="108">
        <f t="shared" si="2"/>
        <v>250.00974909439992</v>
      </c>
      <c r="AE9" s="106">
        <f t="shared" si="3"/>
        <v>460.83328936959992</v>
      </c>
      <c r="AF9" s="105">
        <f t="shared" si="4"/>
        <v>427.16915128319994</v>
      </c>
      <c r="AG9" s="105">
        <f t="shared" si="5"/>
        <v>420.00974909439992</v>
      </c>
      <c r="AH9" s="105">
        <f t="shared" si="6"/>
        <v>18</v>
      </c>
      <c r="AI9" s="297">
        <f t="shared" si="7"/>
        <v>71980794307.673706</v>
      </c>
      <c r="AJ9" s="106">
        <v>133</v>
      </c>
      <c r="AK9" s="105">
        <v>122</v>
      </c>
      <c r="AL9" s="105">
        <v>128</v>
      </c>
      <c r="AM9" s="109">
        <f t="shared" si="8"/>
        <v>1729.1664468479996</v>
      </c>
      <c r="AN9" s="110">
        <f t="shared" si="9"/>
        <v>1635.8457564159996</v>
      </c>
      <c r="AO9" s="110">
        <f t="shared" si="10"/>
        <v>1700.0487454719996</v>
      </c>
      <c r="AP9" s="111">
        <v>9.33</v>
      </c>
      <c r="AQ9" s="112">
        <v>8.61</v>
      </c>
      <c r="AR9" s="112">
        <v>9.1199999999999992</v>
      </c>
      <c r="AS9" s="109">
        <f t="shared" si="11"/>
        <v>23.216025599999995</v>
      </c>
      <c r="AT9" s="110">
        <f t="shared" si="12"/>
        <v>21.424435199999994</v>
      </c>
      <c r="AU9" s="110">
        <f t="shared" si="13"/>
        <v>22.693478399999993</v>
      </c>
      <c r="AW9" s="33" t="s">
        <v>278</v>
      </c>
      <c r="AX9" s="397">
        <v>44</v>
      </c>
    </row>
    <row r="10" spans="1:51" ht="14.25" customHeight="1" x14ac:dyDescent="0.25">
      <c r="A10" s="10" t="s">
        <v>56</v>
      </c>
      <c r="B10" s="120" t="s">
        <v>332</v>
      </c>
      <c r="C10" s="121" t="s">
        <v>630</v>
      </c>
      <c r="D10" s="135" t="str">
        <f>IF(ISNUMBER(MATCH(Table10[[#This Row],[General]],COVENANTS!$A$2:$A$100,0)), "Y","N")</f>
        <v>Y</v>
      </c>
      <c r="E10" s="135" t="str">
        <f>IF(ISNUMBER(MATCH(Table10[[#This Row],[General]],COVENANTS!$B$2:$B$100,0)), "Y","N")</f>
        <v>N</v>
      </c>
      <c r="F10" s="135" t="str">
        <f>IF(ISNUMBER(MATCH(Table10[[#This Row],[General]],COVENANTS!$C$2:$C$100,0)), "Y","N")</f>
        <v>N</v>
      </c>
      <c r="G10" s="135" t="str">
        <f>IF(ISNUMBER(MATCH(Table10[[#This Row],[General]],COVENANTS!$D$2:$D$100,0)), "Y","N")</f>
        <v>N</v>
      </c>
      <c r="H10" s="122">
        <v>25</v>
      </c>
      <c r="I10" s="123">
        <v>25</v>
      </c>
      <c r="J10" s="123">
        <v>25</v>
      </c>
      <c r="K10" s="123">
        <v>12</v>
      </c>
      <c r="L10" s="122">
        <v>55</v>
      </c>
      <c r="M10" s="123">
        <v>35</v>
      </c>
      <c r="N10" s="123">
        <v>35</v>
      </c>
      <c r="O10" s="123">
        <v>0</v>
      </c>
      <c r="P10" s="122">
        <v>130</v>
      </c>
      <c r="Q10" s="123">
        <v>100</v>
      </c>
      <c r="R10" s="123">
        <v>95</v>
      </c>
      <c r="S10" s="123">
        <v>10</v>
      </c>
      <c r="T10" s="122">
        <v>70</v>
      </c>
      <c r="U10" s="123">
        <v>60</v>
      </c>
      <c r="V10" s="123">
        <v>50</v>
      </c>
      <c r="W10" s="123">
        <v>0</v>
      </c>
      <c r="X10" s="122">
        <v>20</v>
      </c>
      <c r="Y10" s="123">
        <v>5</v>
      </c>
      <c r="Z10" s="123">
        <v>10</v>
      </c>
      <c r="AA10" s="123">
        <v>8</v>
      </c>
      <c r="AB10" s="136">
        <f t="shared" si="0"/>
        <v>240.75400954879998</v>
      </c>
      <c r="AC10" s="137">
        <f t="shared" si="1"/>
        <v>245.91187932160003</v>
      </c>
      <c r="AD10" s="137">
        <f t="shared" si="2"/>
        <v>240.33000954879995</v>
      </c>
      <c r="AE10" s="122">
        <f t="shared" si="3"/>
        <v>460.75400954880001</v>
      </c>
      <c r="AF10" s="123">
        <f t="shared" si="4"/>
        <v>410.91187932160005</v>
      </c>
      <c r="AG10" s="123">
        <f t="shared" si="5"/>
        <v>395.33000954879992</v>
      </c>
      <c r="AH10" s="123">
        <f t="shared" si="6"/>
        <v>18</v>
      </c>
      <c r="AI10" s="298">
        <f t="shared" si="7"/>
        <v>71969943260.366455</v>
      </c>
      <c r="AJ10" s="122">
        <v>125</v>
      </c>
      <c r="AK10" s="123">
        <v>129</v>
      </c>
      <c r="AL10" s="123">
        <v>123</v>
      </c>
      <c r="AM10" s="138">
        <f t="shared" si="8"/>
        <v>1653.7700477439998</v>
      </c>
      <c r="AN10" s="139">
        <f t="shared" si="9"/>
        <v>1679.559396608</v>
      </c>
      <c r="AO10" s="139">
        <f t="shared" si="10"/>
        <v>1651.6500477439997</v>
      </c>
      <c r="AP10" s="140">
        <v>8.74</v>
      </c>
      <c r="AQ10" s="141">
        <v>8.93</v>
      </c>
      <c r="AR10" s="141">
        <v>8.74</v>
      </c>
      <c r="AS10" s="138">
        <f t="shared" si="11"/>
        <v>21.747916799999995</v>
      </c>
      <c r="AT10" s="139">
        <f t="shared" si="12"/>
        <v>22.220697599999998</v>
      </c>
      <c r="AU10" s="139">
        <f t="shared" si="13"/>
        <v>21.747916799999995</v>
      </c>
      <c r="AW10" s="33" t="s">
        <v>802</v>
      </c>
      <c r="AX10" s="397" t="s">
        <v>808</v>
      </c>
      <c r="AY10" s="398">
        <f>VLOOKUP(AX10,Calculator!X2:Y13,2,0)</f>
        <v>0.06</v>
      </c>
    </row>
    <row r="11" spans="1:51" ht="14.25" customHeight="1" x14ac:dyDescent="0.25">
      <c r="A11" s="10" t="s">
        <v>57</v>
      </c>
      <c r="B11" s="120" t="s">
        <v>332</v>
      </c>
      <c r="C11" s="134" t="s">
        <v>305</v>
      </c>
      <c r="D11" s="135" t="str">
        <f>IF(ISNUMBER(MATCH(Table10[[#This Row],[General]],COVENANTS!$A$2:$A$100,0)), "Y","N")</f>
        <v>Y</v>
      </c>
      <c r="E11" s="135" t="str">
        <f>IF(ISNUMBER(MATCH(Table10[[#This Row],[General]],COVENANTS!$B$2:$B$100,0)), "Y","N")</f>
        <v>N</v>
      </c>
      <c r="F11" s="135" t="str">
        <f>IF(ISNUMBER(MATCH(Table10[[#This Row],[General]],COVENANTS!$C$2:$C$100,0)), "Y","N")</f>
        <v>Y</v>
      </c>
      <c r="G11" s="135" t="str">
        <f>IF(ISNUMBER(MATCH(Table10[[#This Row],[General]],COVENANTS!$D$2:$D$100,0)), "Y","N")</f>
        <v>Y</v>
      </c>
      <c r="H11" s="122">
        <v>25</v>
      </c>
      <c r="I11" s="123">
        <v>25</v>
      </c>
      <c r="J11" s="123">
        <v>25</v>
      </c>
      <c r="K11" s="123">
        <v>12</v>
      </c>
      <c r="L11" s="122">
        <v>50</v>
      </c>
      <c r="M11" s="123">
        <v>50</v>
      </c>
      <c r="N11" s="123">
        <v>35</v>
      </c>
      <c r="O11" s="123">
        <v>0</v>
      </c>
      <c r="P11" s="122">
        <v>120</v>
      </c>
      <c r="Q11" s="123">
        <v>100</v>
      </c>
      <c r="R11" s="123">
        <v>85</v>
      </c>
      <c r="S11" s="123">
        <v>10</v>
      </c>
      <c r="T11" s="122">
        <v>70</v>
      </c>
      <c r="U11" s="123">
        <v>55</v>
      </c>
      <c r="V11" s="123">
        <v>45</v>
      </c>
      <c r="W11" s="123">
        <v>0</v>
      </c>
      <c r="X11" s="122">
        <v>15</v>
      </c>
      <c r="Y11" s="123">
        <v>20</v>
      </c>
      <c r="Z11" s="123">
        <v>5</v>
      </c>
      <c r="AA11" s="123">
        <v>6</v>
      </c>
      <c r="AB11" s="136">
        <f t="shared" si="0"/>
        <v>244.32403256320001</v>
      </c>
      <c r="AC11" s="137">
        <f t="shared" si="1"/>
        <v>238.95416279040001</v>
      </c>
      <c r="AD11" s="137">
        <f t="shared" si="2"/>
        <v>242.97785630719997</v>
      </c>
      <c r="AE11" s="122">
        <f t="shared" si="3"/>
        <v>449.32403256320003</v>
      </c>
      <c r="AF11" s="123">
        <f t="shared" si="4"/>
        <v>413.95416279040001</v>
      </c>
      <c r="AG11" s="123">
        <f t="shared" si="5"/>
        <v>377.9778563072</v>
      </c>
      <c r="AH11" s="123">
        <f t="shared" si="6"/>
        <v>16</v>
      </c>
      <c r="AI11" s="298">
        <f t="shared" si="7"/>
        <v>69204176224.347656</v>
      </c>
      <c r="AJ11" s="122">
        <v>129</v>
      </c>
      <c r="AK11" s="123">
        <v>124</v>
      </c>
      <c r="AL11" s="123">
        <v>128</v>
      </c>
      <c r="AM11" s="138">
        <f t="shared" si="8"/>
        <v>1671.6201628159999</v>
      </c>
      <c r="AN11" s="139">
        <f t="shared" si="9"/>
        <v>1644.770813952</v>
      </c>
      <c r="AO11" s="139">
        <f t="shared" si="10"/>
        <v>1664.8892815359998</v>
      </c>
      <c r="AP11" s="140">
        <v>8.86</v>
      </c>
      <c r="AQ11" s="141">
        <v>8.67</v>
      </c>
      <c r="AR11" s="141">
        <v>8.81</v>
      </c>
      <c r="AS11" s="138">
        <f t="shared" si="11"/>
        <v>22.046515199999998</v>
      </c>
      <c r="AT11" s="139">
        <f t="shared" si="12"/>
        <v>21.573734399999999</v>
      </c>
      <c r="AU11" s="139">
        <f t="shared" si="13"/>
        <v>21.922099199999998</v>
      </c>
    </row>
    <row r="12" spans="1:51" ht="14.25" customHeight="1" x14ac:dyDescent="0.25">
      <c r="A12" s="10" t="s">
        <v>58</v>
      </c>
      <c r="B12" s="120" t="s">
        <v>333</v>
      </c>
      <c r="C12" s="134" t="s">
        <v>84</v>
      </c>
      <c r="D12" s="135" t="str">
        <f>IF(ISNUMBER(MATCH(Table10[[#This Row],[General]],COVENANTS!$A$2:$A$100,0)), "Y","N")</f>
        <v>Y</v>
      </c>
      <c r="E12" s="135" t="str">
        <f>IF(ISNUMBER(MATCH(Table10[[#This Row],[General]],COVENANTS!$B$2:$B$100,0)), "Y","N")</f>
        <v>N</v>
      </c>
      <c r="F12" s="135" t="str">
        <f>IF(ISNUMBER(MATCH(Table10[[#This Row],[General]],COVENANTS!$C$2:$C$100,0)), "Y","N")</f>
        <v>N</v>
      </c>
      <c r="G12" s="135" t="str">
        <f>IF(ISNUMBER(MATCH(Table10[[#This Row],[General]],COVENANTS!$D$2:$D$100,0)), "Y","N")</f>
        <v>Y</v>
      </c>
      <c r="H12" s="122">
        <v>25</v>
      </c>
      <c r="I12" s="123">
        <v>25</v>
      </c>
      <c r="J12" s="123">
        <v>25</v>
      </c>
      <c r="K12" s="123">
        <v>12</v>
      </c>
      <c r="L12" s="122">
        <v>50</v>
      </c>
      <c r="M12" s="123">
        <v>40</v>
      </c>
      <c r="N12" s="123">
        <v>50</v>
      </c>
      <c r="O12" s="123">
        <v>0</v>
      </c>
      <c r="P12" s="122">
        <v>115</v>
      </c>
      <c r="Q12" s="123">
        <v>60</v>
      </c>
      <c r="R12" s="123">
        <v>80</v>
      </c>
      <c r="S12" s="123">
        <v>10</v>
      </c>
      <c r="T12" s="122">
        <v>66</v>
      </c>
      <c r="U12" s="123">
        <v>45</v>
      </c>
      <c r="V12" s="123">
        <v>35</v>
      </c>
      <c r="W12" s="123">
        <v>0</v>
      </c>
      <c r="X12" s="122">
        <v>10</v>
      </c>
      <c r="Y12" s="123">
        <v>10</v>
      </c>
      <c r="Z12" s="123">
        <v>15</v>
      </c>
      <c r="AA12" s="123">
        <v>8</v>
      </c>
      <c r="AB12" s="136">
        <f t="shared" si="0"/>
        <v>240.55684479999999</v>
      </c>
      <c r="AC12" s="137">
        <f t="shared" si="1"/>
        <v>234.6887987712</v>
      </c>
      <c r="AD12" s="137">
        <f t="shared" si="2"/>
        <v>249.95040808959993</v>
      </c>
      <c r="AE12" s="122">
        <f t="shared" si="3"/>
        <v>431.55684480000002</v>
      </c>
      <c r="AF12" s="123">
        <f t="shared" si="4"/>
        <v>349.68879877120003</v>
      </c>
      <c r="AG12" s="123">
        <f t="shared" si="5"/>
        <v>379.95040808959993</v>
      </c>
      <c r="AH12" s="123">
        <f t="shared" si="6"/>
        <v>18</v>
      </c>
      <c r="AI12" s="298">
        <f t="shared" si="7"/>
        <v>67973720605.850342</v>
      </c>
      <c r="AJ12" s="122">
        <v>123</v>
      </c>
      <c r="AK12" s="123">
        <v>121</v>
      </c>
      <c r="AL12" s="123">
        <v>132</v>
      </c>
      <c r="AM12" s="138">
        <f t="shared" si="8"/>
        <v>1652.784224</v>
      </c>
      <c r="AN12" s="139">
        <f t="shared" si="9"/>
        <v>1623.4439938559999</v>
      </c>
      <c r="AO12" s="139">
        <f t="shared" si="10"/>
        <v>1699.7520404479997</v>
      </c>
      <c r="AP12" s="140">
        <v>8.75</v>
      </c>
      <c r="AQ12" s="141">
        <v>8.51</v>
      </c>
      <c r="AR12" s="141">
        <v>9.08</v>
      </c>
      <c r="AS12" s="138">
        <f t="shared" si="11"/>
        <v>21.772799999999997</v>
      </c>
      <c r="AT12" s="139">
        <f t="shared" si="12"/>
        <v>21.175603199999998</v>
      </c>
      <c r="AU12" s="139">
        <f t="shared" si="13"/>
        <v>22.593945599999994</v>
      </c>
      <c r="AW12" s="399"/>
    </row>
    <row r="13" spans="1:51" ht="14.25" customHeight="1" x14ac:dyDescent="0.25">
      <c r="A13" s="10" t="s">
        <v>59</v>
      </c>
      <c r="B13" s="120" t="s">
        <v>333</v>
      </c>
      <c r="C13" s="121" t="s">
        <v>500</v>
      </c>
      <c r="D13" s="135" t="str">
        <f>IF(ISNUMBER(MATCH(Table10[[#This Row],[General]],COVENANTS!$A$2:$A$100,0)), "Y","N")</f>
        <v>Y</v>
      </c>
      <c r="E13" s="135" t="str">
        <f>IF(ISNUMBER(MATCH(Table10[[#This Row],[General]],COVENANTS!$B$2:$B$100,0)), "Y","N")</f>
        <v>N</v>
      </c>
      <c r="F13" s="135" t="str">
        <f>IF(ISNUMBER(MATCH(Table10[[#This Row],[General]],COVENANTS!$C$2:$C$100,0)), "Y","N")</f>
        <v>N</v>
      </c>
      <c r="G13" s="135" t="str">
        <f>IF(ISNUMBER(MATCH(Table10[[#This Row],[General]],COVENANTS!$D$2:$D$100,0)), "Y","N")</f>
        <v>N</v>
      </c>
      <c r="H13" s="122">
        <v>25</v>
      </c>
      <c r="I13" s="123">
        <v>25</v>
      </c>
      <c r="J13" s="123">
        <v>25</v>
      </c>
      <c r="K13" s="123">
        <v>12</v>
      </c>
      <c r="L13" s="122">
        <v>50</v>
      </c>
      <c r="M13" s="123">
        <v>40</v>
      </c>
      <c r="N13" s="123">
        <v>50</v>
      </c>
      <c r="O13" s="123">
        <v>0</v>
      </c>
      <c r="P13" s="122">
        <v>130</v>
      </c>
      <c r="Q13" s="123">
        <v>80</v>
      </c>
      <c r="R13" s="123">
        <v>100</v>
      </c>
      <c r="S13" s="123">
        <v>0</v>
      </c>
      <c r="T13" s="122">
        <v>60</v>
      </c>
      <c r="U13" s="123">
        <v>20</v>
      </c>
      <c r="V13" s="123">
        <v>60</v>
      </c>
      <c r="W13" s="123">
        <v>8</v>
      </c>
      <c r="X13" s="122">
        <v>20</v>
      </c>
      <c r="Y13" s="123">
        <v>5</v>
      </c>
      <c r="Z13" s="123">
        <v>10</v>
      </c>
      <c r="AA13" s="123">
        <v>6</v>
      </c>
      <c r="AB13" s="136">
        <f t="shared" si="0"/>
        <v>237.60798653440003</v>
      </c>
      <c r="AC13" s="137">
        <f t="shared" si="1"/>
        <v>239.16616279039999</v>
      </c>
      <c r="AD13" s="137">
        <f t="shared" si="2"/>
        <v>246.78954982399998</v>
      </c>
      <c r="AE13" s="122">
        <f t="shared" si="3"/>
        <v>447.60798653440003</v>
      </c>
      <c r="AF13" s="123">
        <f t="shared" si="4"/>
        <v>344.16616279039999</v>
      </c>
      <c r="AG13" s="123">
        <f t="shared" si="5"/>
        <v>416.78954982400001</v>
      </c>
      <c r="AH13" s="123">
        <f t="shared" si="6"/>
        <v>14</v>
      </c>
      <c r="AI13" s="298">
        <f t="shared" si="7"/>
        <v>67769574491.651245</v>
      </c>
      <c r="AJ13" s="122">
        <v>123</v>
      </c>
      <c r="AK13" s="123">
        <v>125</v>
      </c>
      <c r="AL13" s="123">
        <v>131</v>
      </c>
      <c r="AM13" s="138">
        <f t="shared" si="8"/>
        <v>1638.0399326720001</v>
      </c>
      <c r="AN13" s="139">
        <f t="shared" si="9"/>
        <v>1645.830813952</v>
      </c>
      <c r="AO13" s="139">
        <f t="shared" si="10"/>
        <v>1683.9477491199998</v>
      </c>
      <c r="AP13" s="140">
        <v>8.6199999999999992</v>
      </c>
      <c r="AQ13" s="141">
        <v>8.67</v>
      </c>
      <c r="AR13" s="141">
        <v>8.9499999999999993</v>
      </c>
      <c r="AS13" s="138">
        <f t="shared" si="11"/>
        <v>21.449318399999999</v>
      </c>
      <c r="AT13" s="139">
        <f t="shared" si="12"/>
        <v>21.573734399999999</v>
      </c>
      <c r="AU13" s="139">
        <f t="shared" si="13"/>
        <v>22.270463999999993</v>
      </c>
    </row>
    <row r="14" spans="1:51" ht="14.25" customHeight="1" x14ac:dyDescent="0.25">
      <c r="A14" s="10" t="s">
        <v>60</v>
      </c>
      <c r="B14" s="120" t="s">
        <v>333</v>
      </c>
      <c r="C14" s="134" t="s">
        <v>85</v>
      </c>
      <c r="D14" s="135" t="str">
        <f>IF(ISNUMBER(MATCH(Table10[[#This Row],[General]],COVENANTS!$A$2:$A$100,0)), "Y","N")</f>
        <v>Y</v>
      </c>
      <c r="E14" s="135" t="str">
        <f>IF(ISNUMBER(MATCH(Table10[[#This Row],[General]],COVENANTS!$B$2:$B$100,0)), "Y","N")</f>
        <v>Y</v>
      </c>
      <c r="F14" s="135" t="str">
        <f>IF(ISNUMBER(MATCH(Table10[[#This Row],[General]],COVENANTS!$C$2:$C$100,0)), "Y","N")</f>
        <v>N</v>
      </c>
      <c r="G14" s="135" t="str">
        <f>IF(ISNUMBER(MATCH(Table10[[#This Row],[General]],COVENANTS!$D$2:$D$100,0)), "Y","N")</f>
        <v>N</v>
      </c>
      <c r="H14" s="122">
        <v>25</v>
      </c>
      <c r="I14" s="123">
        <v>25</v>
      </c>
      <c r="J14" s="123">
        <v>25</v>
      </c>
      <c r="K14" s="123">
        <v>12</v>
      </c>
      <c r="L14" s="122">
        <v>50</v>
      </c>
      <c r="M14" s="123">
        <v>40</v>
      </c>
      <c r="N14" s="123">
        <v>40</v>
      </c>
      <c r="O14" s="123">
        <v>0</v>
      </c>
      <c r="P14" s="122">
        <v>100</v>
      </c>
      <c r="Q14" s="123">
        <v>75</v>
      </c>
      <c r="R14" s="123">
        <v>75</v>
      </c>
      <c r="S14" s="123">
        <v>0</v>
      </c>
      <c r="T14" s="122">
        <v>61</v>
      </c>
      <c r="U14" s="123">
        <v>35</v>
      </c>
      <c r="V14" s="123">
        <v>45</v>
      </c>
      <c r="W14" s="123">
        <v>6</v>
      </c>
      <c r="X14" s="122">
        <v>20</v>
      </c>
      <c r="Y14" s="123">
        <v>10</v>
      </c>
      <c r="Z14" s="123">
        <v>10</v>
      </c>
      <c r="AA14" s="123">
        <v>10</v>
      </c>
      <c r="AB14" s="136">
        <f t="shared" si="0"/>
        <v>244.383373568</v>
      </c>
      <c r="AC14" s="137">
        <f t="shared" si="1"/>
        <v>253.97410160640004</v>
      </c>
      <c r="AD14" s="137">
        <f t="shared" si="2"/>
        <v>260.88731238399993</v>
      </c>
      <c r="AE14" s="122">
        <f t="shared" si="3"/>
        <v>425.38337356800002</v>
      </c>
      <c r="AF14" s="123">
        <f t="shared" si="4"/>
        <v>373.97410160640004</v>
      </c>
      <c r="AG14" s="123">
        <f t="shared" si="5"/>
        <v>390.88731238399993</v>
      </c>
      <c r="AH14" s="123">
        <f t="shared" si="6"/>
        <v>16</v>
      </c>
      <c r="AI14" s="298">
        <f t="shared" si="7"/>
        <v>65938694517.467957</v>
      </c>
      <c r="AJ14" s="122">
        <v>125</v>
      </c>
      <c r="AK14" s="123">
        <v>136</v>
      </c>
      <c r="AL14" s="123">
        <v>144</v>
      </c>
      <c r="AM14" s="138">
        <f t="shared" si="8"/>
        <v>1671.9168678399999</v>
      </c>
      <c r="AN14" s="139">
        <f t="shared" si="9"/>
        <v>1719.8705080320001</v>
      </c>
      <c r="AO14" s="139">
        <f t="shared" si="10"/>
        <v>1754.4365619199996</v>
      </c>
      <c r="AP14" s="140">
        <v>8.9</v>
      </c>
      <c r="AQ14" s="141">
        <v>9.2200000000000006</v>
      </c>
      <c r="AR14" s="141">
        <v>9.4499999999999993</v>
      </c>
      <c r="AS14" s="138">
        <f t="shared" si="11"/>
        <v>22.146047999999997</v>
      </c>
      <c r="AT14" s="139">
        <f t="shared" si="12"/>
        <v>22.9423104</v>
      </c>
      <c r="AU14" s="139">
        <f t="shared" si="13"/>
        <v>23.514623999999991</v>
      </c>
    </row>
    <row r="15" spans="1:51" ht="14.25" customHeight="1" x14ac:dyDescent="0.25">
      <c r="A15" s="10" t="s">
        <v>61</v>
      </c>
      <c r="B15" s="120" t="s">
        <v>332</v>
      </c>
      <c r="C15" s="134" t="s">
        <v>83</v>
      </c>
      <c r="D15" s="135" t="str">
        <f>IF(ISNUMBER(MATCH(Table10[[#This Row],[General]],COVENANTS!$A$2:$A$100,0)), "Y","N")</f>
        <v>N</v>
      </c>
      <c r="E15" s="135" t="str">
        <f>IF(ISNUMBER(MATCH(Table10[[#This Row],[General]],COVENANTS!$B$2:$B$100,0)), "Y","N")</f>
        <v>N</v>
      </c>
      <c r="F15" s="135" t="str">
        <f>IF(ISNUMBER(MATCH(Table10[[#This Row],[General]],COVENANTS!$C$2:$C$100,0)), "Y","N")</f>
        <v>N</v>
      </c>
      <c r="G15" s="135" t="str">
        <f>IF(ISNUMBER(MATCH(Table10[[#This Row],[General]],COVENANTS!$D$2:$D$100,0)), "Y","N")</f>
        <v>Y</v>
      </c>
      <c r="H15" s="122">
        <v>25</v>
      </c>
      <c r="I15" s="123">
        <v>25</v>
      </c>
      <c r="J15" s="123">
        <v>25</v>
      </c>
      <c r="K15" s="123">
        <v>12</v>
      </c>
      <c r="L15" s="122">
        <v>20</v>
      </c>
      <c r="M15" s="123">
        <v>0</v>
      </c>
      <c r="N15" s="123">
        <v>0</v>
      </c>
      <c r="O15" s="123">
        <v>0</v>
      </c>
      <c r="P15" s="122">
        <v>65</v>
      </c>
      <c r="Q15" s="123">
        <v>70</v>
      </c>
      <c r="R15" s="123">
        <v>50</v>
      </c>
      <c r="S15" s="123">
        <v>14</v>
      </c>
      <c r="T15" s="122">
        <v>50</v>
      </c>
      <c r="U15" s="123">
        <v>10</v>
      </c>
      <c r="V15" s="123">
        <v>20</v>
      </c>
      <c r="W15" s="123">
        <v>16</v>
      </c>
      <c r="X15" s="122">
        <v>0</v>
      </c>
      <c r="Y15" s="123">
        <v>0</v>
      </c>
      <c r="Z15" s="123">
        <v>0</v>
      </c>
      <c r="AA15" s="123">
        <v>0</v>
      </c>
      <c r="AB15" s="136">
        <f t="shared" si="0"/>
        <v>245.81856133119993</v>
      </c>
      <c r="AC15" s="137">
        <f t="shared" si="1"/>
        <v>237.34717429759999</v>
      </c>
      <c r="AD15" s="137">
        <f t="shared" si="2"/>
        <v>252.1996188672</v>
      </c>
      <c r="AE15" s="122">
        <f t="shared" si="3"/>
        <v>360.81856133119993</v>
      </c>
      <c r="AF15" s="123">
        <f t="shared" si="4"/>
        <v>317.34717429759996</v>
      </c>
      <c r="AG15" s="123">
        <f t="shared" si="5"/>
        <v>322.1996188672</v>
      </c>
      <c r="AH15" s="123">
        <f t="shared" si="6"/>
        <v>30</v>
      </c>
      <c r="AI15" s="298">
        <f t="shared" si="7"/>
        <v>65249572310.720764</v>
      </c>
      <c r="AJ15" s="122">
        <v>120</v>
      </c>
      <c r="AK15" s="123">
        <v>110</v>
      </c>
      <c r="AL15" s="123">
        <v>118</v>
      </c>
      <c r="AM15" s="138">
        <f t="shared" si="8"/>
        <v>1679.0928066559995</v>
      </c>
      <c r="AN15" s="139">
        <f t="shared" si="9"/>
        <v>1636.7358714879999</v>
      </c>
      <c r="AO15" s="139">
        <f t="shared" si="10"/>
        <v>1710.9980943359999</v>
      </c>
      <c r="AP15" s="140">
        <v>9.01</v>
      </c>
      <c r="AQ15" s="141">
        <v>8.73</v>
      </c>
      <c r="AR15" s="141">
        <v>9.31</v>
      </c>
      <c r="AS15" s="138">
        <f t="shared" si="11"/>
        <v>22.419763199999995</v>
      </c>
      <c r="AT15" s="139">
        <f t="shared" si="12"/>
        <v>21.723033599999997</v>
      </c>
      <c r="AU15" s="139">
        <f t="shared" si="13"/>
        <v>23.166259199999995</v>
      </c>
    </row>
    <row r="16" spans="1:51" ht="14.25" customHeight="1" x14ac:dyDescent="0.25">
      <c r="A16" s="10" t="s">
        <v>62</v>
      </c>
      <c r="B16" s="120" t="s">
        <v>332</v>
      </c>
      <c r="C16" s="134" t="s">
        <v>86</v>
      </c>
      <c r="D16" s="135" t="str">
        <f>IF(ISNUMBER(MATCH(Table10[[#This Row],[General]],COVENANTS!$A$2:$A$100,0)), "Y","N")</f>
        <v>Y</v>
      </c>
      <c r="E16" s="135" t="str">
        <f>IF(ISNUMBER(MATCH(Table10[[#This Row],[General]],COVENANTS!$B$2:$B$100,0)), "Y","N")</f>
        <v>N</v>
      </c>
      <c r="F16" s="135" t="str">
        <f>IF(ISNUMBER(MATCH(Table10[[#This Row],[General]],COVENANTS!$C$2:$C$100,0)), "Y","N")</f>
        <v>N</v>
      </c>
      <c r="G16" s="135" t="str">
        <f>IF(ISNUMBER(MATCH(Table10[[#This Row],[General]],COVENANTS!$D$2:$D$100,0)), "Y","N")</f>
        <v>Y</v>
      </c>
      <c r="H16" s="122">
        <v>25</v>
      </c>
      <c r="I16" s="123">
        <v>25</v>
      </c>
      <c r="J16" s="123">
        <v>25</v>
      </c>
      <c r="K16" s="123">
        <v>12</v>
      </c>
      <c r="L16" s="122">
        <v>45</v>
      </c>
      <c r="M16" s="123">
        <v>25</v>
      </c>
      <c r="N16" s="123">
        <v>45</v>
      </c>
      <c r="O16" s="123">
        <v>0</v>
      </c>
      <c r="P16" s="122">
        <v>85</v>
      </c>
      <c r="Q16" s="123">
        <v>40</v>
      </c>
      <c r="R16" s="123">
        <v>115</v>
      </c>
      <c r="S16" s="123">
        <v>6</v>
      </c>
      <c r="T16" s="122">
        <v>66</v>
      </c>
      <c r="U16" s="123">
        <v>30</v>
      </c>
      <c r="V16" s="123">
        <v>30</v>
      </c>
      <c r="W16" s="123">
        <v>6</v>
      </c>
      <c r="X16" s="122">
        <v>15</v>
      </c>
      <c r="Y16" s="123">
        <v>10</v>
      </c>
      <c r="Z16" s="123">
        <v>10</v>
      </c>
      <c r="AA16" s="123">
        <v>5</v>
      </c>
      <c r="AB16" s="136">
        <f t="shared" si="0"/>
        <v>243.38271457279993</v>
      </c>
      <c r="AC16" s="137">
        <f t="shared" si="1"/>
        <v>239.81269155840002</v>
      </c>
      <c r="AD16" s="137">
        <f t="shared" si="2"/>
        <v>251.94311311359994</v>
      </c>
      <c r="AE16" s="122">
        <f t="shared" si="3"/>
        <v>409.38271457279996</v>
      </c>
      <c r="AF16" s="123">
        <f t="shared" si="4"/>
        <v>319.81269155840005</v>
      </c>
      <c r="AG16" s="123">
        <f t="shared" si="5"/>
        <v>406.94311311359991</v>
      </c>
      <c r="AH16" s="123">
        <f t="shared" si="6"/>
        <v>17</v>
      </c>
      <c r="AI16" s="298">
        <f t="shared" si="7"/>
        <v>64347481546.395813</v>
      </c>
      <c r="AJ16" s="122">
        <v>116</v>
      </c>
      <c r="AK16" s="123">
        <v>112</v>
      </c>
      <c r="AL16" s="123">
        <v>120</v>
      </c>
      <c r="AM16" s="138">
        <f t="shared" si="8"/>
        <v>1666.9135728639997</v>
      </c>
      <c r="AN16" s="139">
        <f t="shared" si="9"/>
        <v>1649.063457792</v>
      </c>
      <c r="AO16" s="139">
        <f t="shared" si="10"/>
        <v>1709.7155655679996</v>
      </c>
      <c r="AP16" s="140">
        <v>8.94</v>
      </c>
      <c r="AQ16" s="141">
        <v>8.82</v>
      </c>
      <c r="AR16" s="141">
        <v>9.2799999999999994</v>
      </c>
      <c r="AS16" s="138">
        <f t="shared" si="11"/>
        <v>22.245580799999995</v>
      </c>
      <c r="AT16" s="139">
        <f t="shared" si="12"/>
        <v>21.946982399999996</v>
      </c>
      <c r="AU16" s="139">
        <f t="shared" si="13"/>
        <v>23.091609599999995</v>
      </c>
    </row>
    <row r="17" spans="1:47" ht="14.25" customHeight="1" x14ac:dyDescent="0.25">
      <c r="A17" s="10" t="s">
        <v>63</v>
      </c>
      <c r="B17" s="120" t="s">
        <v>332</v>
      </c>
      <c r="C17" s="134" t="s">
        <v>88</v>
      </c>
      <c r="D17" s="135" t="str">
        <f>IF(ISNUMBER(MATCH(Table10[[#This Row],[General]],COVENANTS!$A$2:$A$100,0)), "Y","N")</f>
        <v>Y</v>
      </c>
      <c r="E17" s="135" t="str">
        <f>IF(ISNUMBER(MATCH(Table10[[#This Row],[General]],COVENANTS!$B$2:$B$100,0)), "Y","N")</f>
        <v>N</v>
      </c>
      <c r="F17" s="135" t="str">
        <f>IF(ISNUMBER(MATCH(Table10[[#This Row],[General]],COVENANTS!$C$2:$C$100,0)), "Y","N")</f>
        <v>Y</v>
      </c>
      <c r="G17" s="135" t="str">
        <f>IF(ISNUMBER(MATCH(Table10[[#This Row],[General]],COVENANTS!$D$2:$D$100,0)), "Y","N")</f>
        <v>Y</v>
      </c>
      <c r="H17" s="122">
        <v>25</v>
      </c>
      <c r="I17" s="123">
        <v>25</v>
      </c>
      <c r="J17" s="123">
        <v>25</v>
      </c>
      <c r="K17" s="123">
        <v>12</v>
      </c>
      <c r="L17" s="122">
        <v>45</v>
      </c>
      <c r="M17" s="123">
        <v>45</v>
      </c>
      <c r="N17" s="123">
        <v>30</v>
      </c>
      <c r="O17" s="123">
        <v>0</v>
      </c>
      <c r="P17" s="122">
        <v>95</v>
      </c>
      <c r="Q17" s="123">
        <v>80</v>
      </c>
      <c r="R17" s="123">
        <v>45</v>
      </c>
      <c r="S17" s="123">
        <v>8</v>
      </c>
      <c r="T17" s="122">
        <v>60</v>
      </c>
      <c r="U17" s="123">
        <v>45</v>
      </c>
      <c r="V17" s="123">
        <v>35</v>
      </c>
      <c r="W17" s="123">
        <v>6</v>
      </c>
      <c r="X17" s="122">
        <v>10</v>
      </c>
      <c r="Y17" s="123">
        <v>10</v>
      </c>
      <c r="Z17" s="123">
        <v>10</v>
      </c>
      <c r="AA17" s="123">
        <v>0</v>
      </c>
      <c r="AB17" s="136">
        <f t="shared" si="0"/>
        <v>246.89339658239999</v>
      </c>
      <c r="AC17" s="137">
        <f t="shared" si="1"/>
        <v>245.10838507519998</v>
      </c>
      <c r="AD17" s="137">
        <f t="shared" si="2"/>
        <v>248.43673758719999</v>
      </c>
      <c r="AE17" s="122">
        <f t="shared" si="3"/>
        <v>411.89339658239999</v>
      </c>
      <c r="AF17" s="123">
        <f t="shared" si="4"/>
        <v>380.10838507519998</v>
      </c>
      <c r="AG17" s="123">
        <f t="shared" si="5"/>
        <v>338.43673758720001</v>
      </c>
      <c r="AH17" s="123">
        <f t="shared" si="6"/>
        <v>14</v>
      </c>
      <c r="AI17" s="298">
        <f t="shared" si="7"/>
        <v>62914970637.303284</v>
      </c>
      <c r="AJ17" s="122">
        <v>124</v>
      </c>
      <c r="AK17" s="123">
        <v>122</v>
      </c>
      <c r="AL17" s="123">
        <v>127</v>
      </c>
      <c r="AM17" s="138">
        <f t="shared" si="8"/>
        <v>1684.4669829119998</v>
      </c>
      <c r="AN17" s="139">
        <f t="shared" si="9"/>
        <v>1675.5419253759999</v>
      </c>
      <c r="AO17" s="139">
        <f t="shared" si="10"/>
        <v>1692.1836879359998</v>
      </c>
      <c r="AP17" s="140">
        <v>9.02</v>
      </c>
      <c r="AQ17" s="141">
        <v>8.9600000000000009</v>
      </c>
      <c r="AR17" s="141">
        <v>9.06</v>
      </c>
      <c r="AS17" s="138">
        <f t="shared" si="11"/>
        <v>22.444646399999996</v>
      </c>
      <c r="AT17" s="139">
        <f t="shared" si="12"/>
        <v>22.295347199999998</v>
      </c>
      <c r="AU17" s="139">
        <f t="shared" si="13"/>
        <v>22.544179199999999</v>
      </c>
    </row>
    <row r="18" spans="1:47" ht="14.25" customHeight="1" x14ac:dyDescent="0.25">
      <c r="A18" s="10" t="s">
        <v>64</v>
      </c>
      <c r="B18" s="120" t="s">
        <v>333</v>
      </c>
      <c r="C18" s="134" t="s">
        <v>87</v>
      </c>
      <c r="D18" s="135" t="str">
        <f>IF(ISNUMBER(MATCH(Table10[[#This Row],[General]],COVENANTS!$A$2:$A$100,0)), "Y","N")</f>
        <v>Y</v>
      </c>
      <c r="E18" s="135" t="str">
        <f>IF(ISNUMBER(MATCH(Table10[[#This Row],[General]],COVENANTS!$B$2:$B$100,0)), "Y","N")</f>
        <v>N</v>
      </c>
      <c r="F18" s="135" t="str">
        <f>IF(ISNUMBER(MATCH(Table10[[#This Row],[General]],COVENANTS!$C$2:$C$100,0)), "Y","N")</f>
        <v>N</v>
      </c>
      <c r="G18" s="135" t="str">
        <f>IF(ISNUMBER(MATCH(Table10[[#This Row],[General]],COVENANTS!$D$2:$D$100,0)), "Y","N")</f>
        <v>N</v>
      </c>
      <c r="H18" s="122">
        <v>25</v>
      </c>
      <c r="I18" s="123">
        <v>25</v>
      </c>
      <c r="J18" s="123">
        <v>25</v>
      </c>
      <c r="K18" s="123">
        <v>12</v>
      </c>
      <c r="L18" s="122">
        <v>45</v>
      </c>
      <c r="M18" s="123">
        <v>35</v>
      </c>
      <c r="N18" s="123">
        <v>45</v>
      </c>
      <c r="O18" s="123">
        <v>0</v>
      </c>
      <c r="P18" s="122">
        <v>100</v>
      </c>
      <c r="Q18" s="123">
        <v>65</v>
      </c>
      <c r="R18" s="123">
        <v>85</v>
      </c>
      <c r="S18" s="123">
        <v>8</v>
      </c>
      <c r="T18" s="122">
        <v>60</v>
      </c>
      <c r="U18" s="123">
        <v>50</v>
      </c>
      <c r="V18" s="123">
        <v>50</v>
      </c>
      <c r="W18" s="123">
        <v>6</v>
      </c>
      <c r="X18" s="122">
        <v>10</v>
      </c>
      <c r="Y18" s="123">
        <v>5</v>
      </c>
      <c r="Z18" s="123">
        <v>5</v>
      </c>
      <c r="AA18" s="123">
        <v>0</v>
      </c>
      <c r="AB18" s="136">
        <f t="shared" si="0"/>
        <v>240.81335055359997</v>
      </c>
      <c r="AC18" s="137">
        <f t="shared" si="1"/>
        <v>234.73330452479999</v>
      </c>
      <c r="AD18" s="137">
        <f t="shared" si="2"/>
        <v>250.20691384319994</v>
      </c>
      <c r="AE18" s="122">
        <f t="shared" si="3"/>
        <v>410.8133505536</v>
      </c>
      <c r="AF18" s="123">
        <f t="shared" si="4"/>
        <v>354.73330452480002</v>
      </c>
      <c r="AG18" s="123">
        <f t="shared" si="5"/>
        <v>390.20691384319991</v>
      </c>
      <c r="AH18" s="123">
        <f t="shared" si="6"/>
        <v>14</v>
      </c>
      <c r="AI18" s="298">
        <f t="shared" si="7"/>
        <v>62768162410.712097</v>
      </c>
      <c r="AJ18" s="122">
        <v>121</v>
      </c>
      <c r="AK18" s="123">
        <v>118</v>
      </c>
      <c r="AL18" s="123">
        <v>130</v>
      </c>
      <c r="AM18" s="138">
        <f t="shared" si="8"/>
        <v>1654.0667527679998</v>
      </c>
      <c r="AN18" s="139">
        <f t="shared" si="9"/>
        <v>1623.666522624</v>
      </c>
      <c r="AO18" s="139">
        <f t="shared" si="10"/>
        <v>1701.0345692159997</v>
      </c>
      <c r="AP18" s="140">
        <v>8.7799999999999994</v>
      </c>
      <c r="AQ18" s="141">
        <v>8.5399999999999991</v>
      </c>
      <c r="AR18" s="141">
        <v>9.11</v>
      </c>
      <c r="AS18" s="138">
        <f t="shared" si="11"/>
        <v>21.847449599999994</v>
      </c>
      <c r="AT18" s="139">
        <f t="shared" si="12"/>
        <v>21.250252799999995</v>
      </c>
      <c r="AU18" s="139">
        <f t="shared" si="13"/>
        <v>22.668595199999995</v>
      </c>
    </row>
    <row r="19" spans="1:47" ht="14.25" customHeight="1" x14ac:dyDescent="0.25">
      <c r="A19" s="10" t="s">
        <v>65</v>
      </c>
      <c r="B19" s="120" t="s">
        <v>332</v>
      </c>
      <c r="C19" s="134" t="s">
        <v>294</v>
      </c>
      <c r="D19" s="135" t="str">
        <f>IF(ISNUMBER(MATCH(Table10[[#This Row],[General]],COVENANTS!$A$2:$A$100,0)), "Y","N")</f>
        <v>N</v>
      </c>
      <c r="E19" s="135" t="str">
        <f>IF(ISNUMBER(MATCH(Table10[[#This Row],[General]],COVENANTS!$B$2:$B$100,0)), "Y","N")</f>
        <v>N</v>
      </c>
      <c r="F19" s="135" t="str">
        <f>IF(ISNUMBER(MATCH(Table10[[#This Row],[General]],COVENANTS!$C$2:$C$100,0)), "Y","N")</f>
        <v>Y</v>
      </c>
      <c r="G19" s="135" t="str">
        <f>IF(ISNUMBER(MATCH(Table10[[#This Row],[General]],COVENANTS!$D$2:$D$100,0)), "Y","N")</f>
        <v>N</v>
      </c>
      <c r="H19" s="122">
        <v>25</v>
      </c>
      <c r="I19" s="123">
        <v>25</v>
      </c>
      <c r="J19" s="123">
        <v>25</v>
      </c>
      <c r="K19" s="123">
        <v>12</v>
      </c>
      <c r="L19" s="122">
        <v>35</v>
      </c>
      <c r="M19" s="123">
        <v>0</v>
      </c>
      <c r="N19" s="123">
        <v>0</v>
      </c>
      <c r="O19" s="123">
        <v>0</v>
      </c>
      <c r="P19" s="122">
        <v>70</v>
      </c>
      <c r="Q19" s="123">
        <v>10</v>
      </c>
      <c r="R19" s="123"/>
      <c r="S19" s="123">
        <v>20</v>
      </c>
      <c r="T19" s="122">
        <v>46</v>
      </c>
      <c r="U19" s="123">
        <v>20</v>
      </c>
      <c r="V19" s="123">
        <v>10</v>
      </c>
      <c r="W19" s="123">
        <v>6</v>
      </c>
      <c r="X19" s="122">
        <v>0</v>
      </c>
      <c r="Y19" s="123">
        <v>0</v>
      </c>
      <c r="Z19" s="123">
        <v>0</v>
      </c>
      <c r="AA19" s="123">
        <v>0</v>
      </c>
      <c r="AB19" s="136">
        <f t="shared" si="0"/>
        <v>237.66732753919993</v>
      </c>
      <c r="AC19" s="137">
        <f t="shared" si="1"/>
        <v>239.54135055359998</v>
      </c>
      <c r="AD19" s="137">
        <f t="shared" si="2"/>
        <v>246.78524334079995</v>
      </c>
      <c r="AE19" s="122">
        <f t="shared" si="3"/>
        <v>353.66732753919996</v>
      </c>
      <c r="AF19" s="123">
        <f t="shared" si="4"/>
        <v>269.54135055359995</v>
      </c>
      <c r="AG19" s="123">
        <f t="shared" si="5"/>
        <v>256.78524334079998</v>
      </c>
      <c r="AH19" s="123">
        <f t="shared" si="6"/>
        <v>26</v>
      </c>
      <c r="AI19" s="298">
        <f t="shared" si="7"/>
        <v>61938029229.493896</v>
      </c>
      <c r="AJ19" s="122">
        <v>119</v>
      </c>
      <c r="AK19" s="123">
        <v>115</v>
      </c>
      <c r="AL19" s="123">
        <v>116</v>
      </c>
      <c r="AM19" s="138">
        <f t="shared" si="8"/>
        <v>1638.3366376959996</v>
      </c>
      <c r="AN19" s="139">
        <f t="shared" si="9"/>
        <v>1647.7067527679999</v>
      </c>
      <c r="AO19" s="139">
        <f t="shared" si="10"/>
        <v>1683.9262167039997</v>
      </c>
      <c r="AP19" s="140">
        <v>8.66</v>
      </c>
      <c r="AQ19" s="141">
        <v>8.7799999999999994</v>
      </c>
      <c r="AR19" s="141">
        <v>9.09</v>
      </c>
      <c r="AS19" s="138">
        <f t="shared" si="11"/>
        <v>21.548851199999994</v>
      </c>
      <c r="AT19" s="139">
        <f t="shared" si="12"/>
        <v>21.847449599999994</v>
      </c>
      <c r="AU19" s="139">
        <f t="shared" si="13"/>
        <v>22.618828799999996</v>
      </c>
    </row>
    <row r="20" spans="1:47" ht="14.25" customHeight="1" x14ac:dyDescent="0.25">
      <c r="A20" s="10" t="s">
        <v>66</v>
      </c>
      <c r="B20" s="120" t="s">
        <v>332</v>
      </c>
      <c r="C20" s="134" t="s">
        <v>89</v>
      </c>
      <c r="D20" s="135" t="str">
        <f>IF(ISNUMBER(MATCH(Table10[[#This Row],[General]],COVENANTS!$A$2:$A$100,0)), "Y","N")</f>
        <v>N</v>
      </c>
      <c r="E20" s="135" t="str">
        <f>IF(ISNUMBER(MATCH(Table10[[#This Row],[General]],COVENANTS!$B$2:$B$100,0)), "Y","N")</f>
        <v>N</v>
      </c>
      <c r="F20" s="135" t="str">
        <f>IF(ISNUMBER(MATCH(Table10[[#This Row],[General]],COVENANTS!$C$2:$C$100,0)), "Y","N")</f>
        <v>Y</v>
      </c>
      <c r="G20" s="135" t="str">
        <f>IF(ISNUMBER(MATCH(Table10[[#This Row],[General]],COVENANTS!$D$2:$D$100,0)), "Y","N")</f>
        <v>N</v>
      </c>
      <c r="H20" s="122">
        <v>25</v>
      </c>
      <c r="I20" s="123">
        <v>25</v>
      </c>
      <c r="J20" s="123">
        <v>25</v>
      </c>
      <c r="K20" s="123">
        <v>12</v>
      </c>
      <c r="L20" s="122">
        <v>45</v>
      </c>
      <c r="M20" s="123">
        <v>30</v>
      </c>
      <c r="N20" s="123">
        <v>30</v>
      </c>
      <c r="O20" s="123">
        <v>0</v>
      </c>
      <c r="P20" s="122">
        <v>95</v>
      </c>
      <c r="Q20" s="123">
        <v>70</v>
      </c>
      <c r="R20" s="123">
        <v>80</v>
      </c>
      <c r="S20" s="123">
        <v>14</v>
      </c>
      <c r="T20" s="122">
        <v>60</v>
      </c>
      <c r="U20" s="123">
        <v>55</v>
      </c>
      <c r="V20" s="123">
        <v>20</v>
      </c>
      <c r="W20" s="123">
        <v>0</v>
      </c>
      <c r="X20" s="122">
        <v>0</v>
      </c>
      <c r="Y20" s="123">
        <v>0</v>
      </c>
      <c r="Z20" s="123">
        <v>0</v>
      </c>
      <c r="AA20" s="123">
        <v>0</v>
      </c>
      <c r="AB20" s="136">
        <f t="shared" si="0"/>
        <v>247.39157283840001</v>
      </c>
      <c r="AC20" s="137">
        <f t="shared" si="1"/>
        <v>240.40418580479991</v>
      </c>
      <c r="AD20" s="137">
        <f t="shared" si="2"/>
        <v>243.38271457279993</v>
      </c>
      <c r="AE20" s="122">
        <f t="shared" si="3"/>
        <v>402.39157283840001</v>
      </c>
      <c r="AF20" s="123">
        <f t="shared" si="4"/>
        <v>365.40418580479991</v>
      </c>
      <c r="AG20" s="123">
        <f t="shared" si="5"/>
        <v>343.38271457279996</v>
      </c>
      <c r="AH20" s="123">
        <f t="shared" si="6"/>
        <v>14</v>
      </c>
      <c r="AI20" s="298">
        <f t="shared" si="7"/>
        <v>61623409114.884827</v>
      </c>
      <c r="AJ20" s="122">
        <v>121</v>
      </c>
      <c r="AK20" s="123">
        <v>118</v>
      </c>
      <c r="AL20" s="123">
        <v>116</v>
      </c>
      <c r="AM20" s="138">
        <f t="shared" si="8"/>
        <v>1686.957864192</v>
      </c>
      <c r="AN20" s="139">
        <f t="shared" si="9"/>
        <v>1652.0209290239995</v>
      </c>
      <c r="AO20" s="139">
        <f t="shared" si="10"/>
        <v>1666.9135728639997</v>
      </c>
      <c r="AP20" s="140">
        <v>9.07</v>
      </c>
      <c r="AQ20" s="141">
        <v>8.7899999999999991</v>
      </c>
      <c r="AR20" s="141">
        <v>8.94</v>
      </c>
      <c r="AS20" s="138">
        <f t="shared" si="11"/>
        <v>22.569062399999996</v>
      </c>
      <c r="AT20" s="139">
        <f t="shared" si="12"/>
        <v>21.872332799999992</v>
      </c>
      <c r="AU20" s="139">
        <f t="shared" si="13"/>
        <v>22.245580799999995</v>
      </c>
    </row>
    <row r="21" spans="1:47" ht="14.25" customHeight="1" x14ac:dyDescent="0.25">
      <c r="A21" s="10" t="s">
        <v>67</v>
      </c>
      <c r="B21" s="120" t="s">
        <v>333</v>
      </c>
      <c r="C21" s="134" t="s">
        <v>512</v>
      </c>
      <c r="D21" s="135" t="str">
        <f>IF(ISNUMBER(MATCH(Table10[[#This Row],[General]],COVENANTS!$A$2:$A$100,0)), "Y","N")</f>
        <v>Y</v>
      </c>
      <c r="E21" s="135" t="str">
        <f>IF(ISNUMBER(MATCH(Table10[[#This Row],[General]],COVENANTS!$B$2:$B$100,0)), "Y","N")</f>
        <v>N</v>
      </c>
      <c r="F21" s="135" t="str">
        <f>IF(ISNUMBER(MATCH(Table10[[#This Row],[General]],COVENANTS!$C$2:$C$100,0)), "Y","N")</f>
        <v>Y</v>
      </c>
      <c r="G21" s="135" t="str">
        <f>IF(ISNUMBER(MATCH(Table10[[#This Row],[General]],COVENANTS!$D$2:$D$100,0)), "Y","N")</f>
        <v>N</v>
      </c>
      <c r="H21" s="122">
        <v>25</v>
      </c>
      <c r="I21" s="123">
        <v>25</v>
      </c>
      <c r="J21" s="123">
        <v>25</v>
      </c>
      <c r="K21" s="123">
        <v>12</v>
      </c>
      <c r="L21" s="122">
        <v>40</v>
      </c>
      <c r="M21" s="123">
        <v>10</v>
      </c>
      <c r="N21" s="123">
        <v>40</v>
      </c>
      <c r="O21" s="123">
        <v>0</v>
      </c>
      <c r="P21" s="122">
        <v>90</v>
      </c>
      <c r="Q21" s="123">
        <v>70</v>
      </c>
      <c r="R21" s="123">
        <v>55</v>
      </c>
      <c r="S21" s="123">
        <v>8</v>
      </c>
      <c r="T21" s="122">
        <v>60</v>
      </c>
      <c r="U21" s="123">
        <v>35</v>
      </c>
      <c r="V21" s="123">
        <v>20</v>
      </c>
      <c r="W21" s="123">
        <v>0</v>
      </c>
      <c r="X21" s="122">
        <v>15</v>
      </c>
      <c r="Y21" s="123">
        <v>5</v>
      </c>
      <c r="Z21" s="123">
        <v>5</v>
      </c>
      <c r="AA21" s="123">
        <v>5</v>
      </c>
      <c r="AB21" s="136">
        <f t="shared" si="0"/>
        <v>240.44869155839999</v>
      </c>
      <c r="AC21" s="137">
        <f t="shared" si="1"/>
        <v>242.0068678143999</v>
      </c>
      <c r="AD21" s="137">
        <f t="shared" si="2"/>
        <v>249.84225484800004</v>
      </c>
      <c r="AE21" s="122">
        <f t="shared" si="3"/>
        <v>405.44869155840001</v>
      </c>
      <c r="AF21" s="123">
        <f t="shared" si="4"/>
        <v>352.00686781439993</v>
      </c>
      <c r="AG21" s="123">
        <f t="shared" si="5"/>
        <v>329.84225484800004</v>
      </c>
      <c r="AH21" s="123">
        <f t="shared" si="6"/>
        <v>13</v>
      </c>
      <c r="AI21" s="298">
        <f t="shared" si="7"/>
        <v>61448622563.272278</v>
      </c>
      <c r="AJ21" s="122">
        <v>115</v>
      </c>
      <c r="AK21" s="123">
        <v>117</v>
      </c>
      <c r="AL21" s="123">
        <v>124</v>
      </c>
      <c r="AM21" s="138">
        <f t="shared" si="8"/>
        <v>1652.2434577919998</v>
      </c>
      <c r="AN21" s="139">
        <f t="shared" si="9"/>
        <v>1660.0343390719995</v>
      </c>
      <c r="AO21" s="139">
        <f t="shared" si="10"/>
        <v>1699.2112742400002</v>
      </c>
      <c r="AP21" s="140">
        <v>8.82</v>
      </c>
      <c r="AQ21" s="141">
        <v>8.8699999999999992</v>
      </c>
      <c r="AR21" s="141">
        <v>9.15</v>
      </c>
      <c r="AS21" s="138">
        <f t="shared" si="11"/>
        <v>21.946982399999996</v>
      </c>
      <c r="AT21" s="139">
        <f t="shared" si="12"/>
        <v>22.071398399999993</v>
      </c>
      <c r="AU21" s="139">
        <f t="shared" si="13"/>
        <v>22.768128000000001</v>
      </c>
    </row>
    <row r="22" spans="1:47" ht="14.25" customHeight="1" x14ac:dyDescent="0.25">
      <c r="A22" s="10" t="s">
        <v>68</v>
      </c>
      <c r="B22" s="120" t="s">
        <v>332</v>
      </c>
      <c r="C22" s="134" t="s">
        <v>91</v>
      </c>
      <c r="D22" s="135" t="str">
        <f>IF(ISNUMBER(MATCH(Table10[[#This Row],[General]],COVENANTS!$A$2:$A$100,0)), "Y","N")</f>
        <v>N</v>
      </c>
      <c r="E22" s="135" t="str">
        <f>IF(ISNUMBER(MATCH(Table10[[#This Row],[General]],COVENANTS!$B$2:$B$100,0)), "Y","N")</f>
        <v>N</v>
      </c>
      <c r="F22" s="135" t="str">
        <f>IF(ISNUMBER(MATCH(Table10[[#This Row],[General]],COVENANTS!$C$2:$C$100,0)), "Y","N")</f>
        <v>Y</v>
      </c>
      <c r="G22" s="135" t="str">
        <f>IF(ISNUMBER(MATCH(Table10[[#This Row],[General]],COVENANTS!$D$2:$D$100,0)), "Y","N")</f>
        <v>N</v>
      </c>
      <c r="H22" s="122">
        <v>25</v>
      </c>
      <c r="I22" s="123">
        <v>25</v>
      </c>
      <c r="J22" s="123">
        <v>25</v>
      </c>
      <c r="K22" s="123">
        <v>12</v>
      </c>
      <c r="L22" s="122">
        <v>40</v>
      </c>
      <c r="M22" s="123">
        <v>25</v>
      </c>
      <c r="N22" s="123">
        <v>25</v>
      </c>
      <c r="O22" s="123">
        <v>0</v>
      </c>
      <c r="P22" s="122">
        <v>75</v>
      </c>
      <c r="Q22" s="123">
        <v>70</v>
      </c>
      <c r="R22" s="123">
        <v>70</v>
      </c>
      <c r="S22" s="123">
        <v>10</v>
      </c>
      <c r="T22" s="122">
        <v>60</v>
      </c>
      <c r="U22" s="123">
        <v>45</v>
      </c>
      <c r="V22" s="123">
        <v>35</v>
      </c>
      <c r="W22" s="123">
        <v>6</v>
      </c>
      <c r="X22" s="122">
        <v>0</v>
      </c>
      <c r="Y22" s="123">
        <v>0</v>
      </c>
      <c r="Z22" s="123">
        <v>0</v>
      </c>
      <c r="AA22" s="123">
        <v>0</v>
      </c>
      <c r="AB22" s="136">
        <f t="shared" si="0"/>
        <v>246.00089082879995</v>
      </c>
      <c r="AC22" s="137">
        <f t="shared" si="1"/>
        <v>247.16473758719997</v>
      </c>
      <c r="AD22" s="137">
        <f t="shared" si="2"/>
        <v>240.87269155839999</v>
      </c>
      <c r="AE22" s="122">
        <f t="shared" si="3"/>
        <v>381.00089082879992</v>
      </c>
      <c r="AF22" s="123">
        <f t="shared" si="4"/>
        <v>362.16473758719997</v>
      </c>
      <c r="AG22" s="123">
        <f t="shared" si="5"/>
        <v>345.87269155839999</v>
      </c>
      <c r="AH22" s="123">
        <f t="shared" si="6"/>
        <v>16</v>
      </c>
      <c r="AI22" s="298">
        <f t="shared" si="7"/>
        <v>59884968698.14856</v>
      </c>
      <c r="AJ22" s="122">
        <v>123</v>
      </c>
      <c r="AK22" s="123">
        <v>121</v>
      </c>
      <c r="AL22" s="123">
        <v>117</v>
      </c>
      <c r="AM22" s="138">
        <f t="shared" si="8"/>
        <v>1680.0044541439997</v>
      </c>
      <c r="AN22" s="139">
        <f t="shared" si="9"/>
        <v>1685.8236879359997</v>
      </c>
      <c r="AO22" s="139">
        <f t="shared" si="10"/>
        <v>1654.363457792</v>
      </c>
      <c r="AP22" s="140">
        <v>8.99</v>
      </c>
      <c r="AQ22" s="141">
        <v>9.06</v>
      </c>
      <c r="AR22" s="141">
        <v>8.82</v>
      </c>
      <c r="AS22" s="138">
        <f t="shared" si="11"/>
        <v>22.369996799999999</v>
      </c>
      <c r="AT22" s="139">
        <f t="shared" si="12"/>
        <v>22.544179199999999</v>
      </c>
      <c r="AU22" s="139">
        <f t="shared" si="13"/>
        <v>21.946982399999996</v>
      </c>
    </row>
    <row r="23" spans="1:47" ht="14.25" customHeight="1" x14ac:dyDescent="0.25">
      <c r="A23" s="10" t="s">
        <v>69</v>
      </c>
      <c r="B23" s="120" t="s">
        <v>333</v>
      </c>
      <c r="C23" s="134" t="s">
        <v>92</v>
      </c>
      <c r="D23" s="135" t="str">
        <f>IF(ISNUMBER(MATCH(Table10[[#This Row],[General]],COVENANTS!$A$2:$A$100,0)), "Y","N")</f>
        <v>Y</v>
      </c>
      <c r="E23" s="135" t="str">
        <f>IF(ISNUMBER(MATCH(Table10[[#This Row],[General]],COVENANTS!$B$2:$B$100,0)), "Y","N")</f>
        <v>N</v>
      </c>
      <c r="F23" s="135" t="str">
        <f>IF(ISNUMBER(MATCH(Table10[[#This Row],[General]],COVENANTS!$C$2:$C$100,0)), "Y","N")</f>
        <v>Y</v>
      </c>
      <c r="G23" s="135" t="str">
        <f>IF(ISNUMBER(MATCH(Table10[[#This Row],[General]],COVENANTS!$D$2:$D$100,0)), "Y","N")</f>
        <v>Y</v>
      </c>
      <c r="H23" s="122">
        <v>0</v>
      </c>
      <c r="I23" s="123">
        <v>25</v>
      </c>
      <c r="J23" s="123">
        <v>25</v>
      </c>
      <c r="K23" s="123">
        <v>12</v>
      </c>
      <c r="L23" s="122">
        <v>45</v>
      </c>
      <c r="M23" s="123">
        <v>35</v>
      </c>
      <c r="N23" s="123">
        <v>35</v>
      </c>
      <c r="O23" s="123">
        <v>0</v>
      </c>
      <c r="P23" s="122">
        <v>95</v>
      </c>
      <c r="Q23" s="123">
        <v>65</v>
      </c>
      <c r="R23" s="123">
        <v>75</v>
      </c>
      <c r="S23" s="123">
        <v>5</v>
      </c>
      <c r="T23" s="122">
        <v>40</v>
      </c>
      <c r="U23" s="123">
        <v>50</v>
      </c>
      <c r="V23" s="123">
        <v>60</v>
      </c>
      <c r="W23" s="123">
        <v>0</v>
      </c>
      <c r="X23" s="122">
        <v>10</v>
      </c>
      <c r="Y23" s="123">
        <v>10</v>
      </c>
      <c r="Z23" s="123">
        <v>10</v>
      </c>
      <c r="AA23" s="123">
        <v>8</v>
      </c>
      <c r="AB23" s="136">
        <f t="shared" si="0"/>
        <v>239.95051530239994</v>
      </c>
      <c r="AC23" s="137">
        <f t="shared" si="1"/>
        <v>235.69998653440004</v>
      </c>
      <c r="AD23" s="137">
        <f t="shared" si="2"/>
        <v>247.78590233599999</v>
      </c>
      <c r="AE23" s="122">
        <f t="shared" si="3"/>
        <v>384.95051530239994</v>
      </c>
      <c r="AF23" s="123">
        <f t="shared" si="4"/>
        <v>360.69998653440007</v>
      </c>
      <c r="AG23" s="123">
        <f t="shared" si="5"/>
        <v>392.78590233599999</v>
      </c>
      <c r="AH23" s="123">
        <f t="shared" si="6"/>
        <v>13</v>
      </c>
      <c r="AI23" s="298">
        <f t="shared" si="7"/>
        <v>58667181365.980225</v>
      </c>
      <c r="AJ23" s="122">
        <v>118</v>
      </c>
      <c r="AK23" s="123">
        <v>114</v>
      </c>
      <c r="AL23" s="123">
        <v>125</v>
      </c>
      <c r="AM23" s="138">
        <f t="shared" si="8"/>
        <v>1649.7525765119997</v>
      </c>
      <c r="AN23" s="139">
        <f t="shared" si="9"/>
        <v>1628.4999326720001</v>
      </c>
      <c r="AO23" s="139">
        <f t="shared" si="10"/>
        <v>1688.9295116799999</v>
      </c>
      <c r="AP23" s="140">
        <v>8.77</v>
      </c>
      <c r="AQ23" s="141">
        <v>8.6199999999999992</v>
      </c>
      <c r="AR23" s="141">
        <v>9.0500000000000007</v>
      </c>
      <c r="AS23" s="138">
        <f t="shared" si="11"/>
        <v>21.822566399999992</v>
      </c>
      <c r="AT23" s="139">
        <f t="shared" si="12"/>
        <v>21.449318399999999</v>
      </c>
      <c r="AU23" s="139">
        <f t="shared" si="13"/>
        <v>22.519295999999997</v>
      </c>
    </row>
    <row r="24" spans="1:47" ht="14.25" customHeight="1" x14ac:dyDescent="0.25">
      <c r="A24" s="10" t="s">
        <v>70</v>
      </c>
      <c r="B24" s="120" t="s">
        <v>332</v>
      </c>
      <c r="C24" s="134" t="s">
        <v>93</v>
      </c>
      <c r="D24" s="135" t="str">
        <f>IF(ISNUMBER(MATCH(Table10[[#This Row],[General]],COVENANTS!$A$2:$A$100,0)), "Y","N")</f>
        <v>N</v>
      </c>
      <c r="E24" s="135" t="str">
        <f>IF(ISNUMBER(MATCH(Table10[[#This Row],[General]],COVENANTS!$B$2:$B$100,0)), "Y","N")</f>
        <v>N</v>
      </c>
      <c r="F24" s="135" t="str">
        <f>IF(ISNUMBER(MATCH(Table10[[#This Row],[General]],COVENANTS!$C$2:$C$100,0)), "Y","N")</f>
        <v>N</v>
      </c>
      <c r="G24" s="135" t="str">
        <f>IF(ISNUMBER(MATCH(Table10[[#This Row],[General]],COVENANTS!$D$2:$D$100,0)), "Y","N")</f>
        <v>N</v>
      </c>
      <c r="H24" s="122">
        <v>25</v>
      </c>
      <c r="I24" s="123">
        <v>25</v>
      </c>
      <c r="J24" s="123">
        <v>25</v>
      </c>
      <c r="K24" s="123">
        <v>12</v>
      </c>
      <c r="L24" s="122">
        <v>30</v>
      </c>
      <c r="M24" s="123">
        <v>0</v>
      </c>
      <c r="N24" s="123">
        <v>30</v>
      </c>
      <c r="O24" s="123">
        <v>0</v>
      </c>
      <c r="P24" s="122">
        <v>65</v>
      </c>
      <c r="Q24" s="123">
        <v>70</v>
      </c>
      <c r="R24" s="123">
        <v>50</v>
      </c>
      <c r="S24" s="123">
        <v>14</v>
      </c>
      <c r="T24" s="122">
        <v>60</v>
      </c>
      <c r="U24" s="123">
        <v>10</v>
      </c>
      <c r="V24" s="123">
        <v>50</v>
      </c>
      <c r="W24" s="123">
        <v>0</v>
      </c>
      <c r="X24" s="122">
        <v>0</v>
      </c>
      <c r="Y24" s="123">
        <v>15</v>
      </c>
      <c r="Z24" s="123">
        <v>15</v>
      </c>
      <c r="AA24" s="123">
        <v>0</v>
      </c>
      <c r="AB24" s="136">
        <f t="shared" si="0"/>
        <v>246.81491384319997</v>
      </c>
      <c r="AC24" s="137">
        <f t="shared" si="1"/>
        <v>241.17370306559997</v>
      </c>
      <c r="AD24" s="137">
        <f t="shared" si="2"/>
        <v>248.32858434560004</v>
      </c>
      <c r="AE24" s="122">
        <f t="shared" si="3"/>
        <v>371.81491384319997</v>
      </c>
      <c r="AF24" s="123">
        <f t="shared" si="4"/>
        <v>336.17370306559997</v>
      </c>
      <c r="AG24" s="123">
        <f t="shared" si="5"/>
        <v>363.32858434560001</v>
      </c>
      <c r="AH24" s="123">
        <f t="shared" si="6"/>
        <v>14</v>
      </c>
      <c r="AI24" s="298">
        <f t="shared" si="7"/>
        <v>57467192655.150024</v>
      </c>
      <c r="AJ24" s="122">
        <v>114</v>
      </c>
      <c r="AK24" s="123">
        <v>112</v>
      </c>
      <c r="AL24" s="123">
        <v>119</v>
      </c>
      <c r="AM24" s="138">
        <f t="shared" si="8"/>
        <v>1684.0745692159999</v>
      </c>
      <c r="AN24" s="139">
        <f t="shared" si="9"/>
        <v>1655.8685153279998</v>
      </c>
      <c r="AO24" s="139">
        <f t="shared" si="10"/>
        <v>1691.6429217280001</v>
      </c>
      <c r="AP24" s="140">
        <v>9.11</v>
      </c>
      <c r="AQ24" s="141">
        <v>8.8800000000000008</v>
      </c>
      <c r="AR24" s="141">
        <v>9.1300000000000008</v>
      </c>
      <c r="AS24" s="138">
        <f t="shared" si="11"/>
        <v>22.668595199999995</v>
      </c>
      <c r="AT24" s="139">
        <f t="shared" si="12"/>
        <v>22.096281599999998</v>
      </c>
      <c r="AU24" s="139">
        <f t="shared" si="13"/>
        <v>22.718361600000001</v>
      </c>
    </row>
    <row r="25" spans="1:47" ht="14.25" customHeight="1" x14ac:dyDescent="0.25">
      <c r="A25" s="10" t="s">
        <v>71</v>
      </c>
      <c r="B25" s="120" t="s">
        <v>333</v>
      </c>
      <c r="C25" s="134" t="s">
        <v>296</v>
      </c>
      <c r="D25" s="135" t="str">
        <f>IF(ISNUMBER(MATCH(Table10[[#This Row],[General]],COVENANTS!$A$2:$A$100,0)), "Y","N")</f>
        <v>N</v>
      </c>
      <c r="E25" s="135" t="str">
        <f>IF(ISNUMBER(MATCH(Table10[[#This Row],[General]],COVENANTS!$B$2:$B$100,0)), "Y","N")</f>
        <v>N</v>
      </c>
      <c r="F25" s="135" t="str">
        <f>IF(ISNUMBER(MATCH(Table10[[#This Row],[General]],COVENANTS!$C$2:$C$100,0)), "Y","N")</f>
        <v>N</v>
      </c>
      <c r="G25" s="135" t="str">
        <f>IF(ISNUMBER(MATCH(Table10[[#This Row],[General]],COVENANTS!$D$2:$D$100,0)), "Y","N")</f>
        <v>N</v>
      </c>
      <c r="H25" s="122">
        <v>25</v>
      </c>
      <c r="I25" s="123">
        <v>25</v>
      </c>
      <c r="J25" s="123">
        <v>25</v>
      </c>
      <c r="K25" s="123">
        <v>12</v>
      </c>
      <c r="L25" s="122">
        <v>40</v>
      </c>
      <c r="M25" s="123">
        <v>40</v>
      </c>
      <c r="N25" s="123">
        <v>40</v>
      </c>
      <c r="O25" s="123">
        <v>0</v>
      </c>
      <c r="P25" s="122">
        <v>70</v>
      </c>
      <c r="Q25" s="123">
        <v>80</v>
      </c>
      <c r="R25" s="123">
        <v>90</v>
      </c>
      <c r="S25" s="123">
        <v>8</v>
      </c>
      <c r="T25" s="122">
        <v>55</v>
      </c>
      <c r="U25" s="123">
        <v>45</v>
      </c>
      <c r="V25" s="123">
        <v>45</v>
      </c>
      <c r="W25" s="123">
        <v>6</v>
      </c>
      <c r="X25" s="122">
        <v>0</v>
      </c>
      <c r="Y25" s="123">
        <v>0</v>
      </c>
      <c r="Z25" s="123">
        <v>0</v>
      </c>
      <c r="AA25" s="123">
        <v>0</v>
      </c>
      <c r="AB25" s="136">
        <f t="shared" si="0"/>
        <v>246.30190233599998</v>
      </c>
      <c r="AC25" s="137">
        <f t="shared" si="1"/>
        <v>245.63623183359996</v>
      </c>
      <c r="AD25" s="137">
        <f t="shared" si="2"/>
        <v>248.55541959679999</v>
      </c>
      <c r="AE25" s="122">
        <f t="shared" si="3"/>
        <v>371.30190233600001</v>
      </c>
      <c r="AF25" s="123">
        <f t="shared" si="4"/>
        <v>370.63623183359994</v>
      </c>
      <c r="AG25" s="123">
        <f t="shared" si="5"/>
        <v>383.55541959679999</v>
      </c>
      <c r="AH25" s="123">
        <f t="shared" si="6"/>
        <v>14</v>
      </c>
      <c r="AI25" s="298">
        <f t="shared" si="7"/>
        <v>57397460155.252258</v>
      </c>
      <c r="AJ25" s="122">
        <v>118</v>
      </c>
      <c r="AK25" s="123">
        <v>117</v>
      </c>
      <c r="AL25" s="123">
        <v>119</v>
      </c>
      <c r="AM25" s="138">
        <f t="shared" si="8"/>
        <v>1681.5095116799998</v>
      </c>
      <c r="AN25" s="139">
        <f t="shared" si="9"/>
        <v>1678.1811591679998</v>
      </c>
      <c r="AO25" s="139">
        <f t="shared" si="10"/>
        <v>1692.777097984</v>
      </c>
      <c r="AP25" s="140">
        <v>9.0500000000000007</v>
      </c>
      <c r="AQ25" s="141">
        <v>9.0299999999999994</v>
      </c>
      <c r="AR25" s="141">
        <v>9.14</v>
      </c>
      <c r="AS25" s="138">
        <f t="shared" si="11"/>
        <v>22.519295999999997</v>
      </c>
      <c r="AT25" s="139">
        <f t="shared" si="12"/>
        <v>22.469529599999994</v>
      </c>
      <c r="AU25" s="139">
        <f t="shared" si="13"/>
        <v>22.743244799999999</v>
      </c>
    </row>
    <row r="26" spans="1:47" ht="14.25" customHeight="1" x14ac:dyDescent="0.25">
      <c r="A26" s="10" t="s">
        <v>72</v>
      </c>
      <c r="B26" s="120" t="s">
        <v>333</v>
      </c>
      <c r="C26" s="142" t="s">
        <v>95</v>
      </c>
      <c r="D26" s="135" t="str">
        <f>IF(ISNUMBER(MATCH(Table10[[#This Row],[General]],COVENANTS!$A$2:$A$100,0)), "Y","N")</f>
        <v>N</v>
      </c>
      <c r="E26" s="135" t="str">
        <f>IF(ISNUMBER(MATCH(Table10[[#This Row],[General]],COVENANTS!$B$2:$B$100,0)), "Y","N")</f>
        <v>Y</v>
      </c>
      <c r="F26" s="135" t="str">
        <f>IF(ISNUMBER(MATCH(Table10[[#This Row],[General]],COVENANTS!$C$2:$C$100,0)), "Y","N")</f>
        <v>Y</v>
      </c>
      <c r="G26" s="135" t="str">
        <f>IF(ISNUMBER(MATCH(Table10[[#This Row],[General]],COVENANTS!$D$2:$D$100,0)), "Y","N")</f>
        <v>N</v>
      </c>
      <c r="H26" s="122">
        <v>0</v>
      </c>
      <c r="I26" s="123">
        <v>25</v>
      </c>
      <c r="J26" s="123">
        <v>25</v>
      </c>
      <c r="K26" s="123">
        <v>12</v>
      </c>
      <c r="L26" s="122">
        <v>35</v>
      </c>
      <c r="M26" s="123">
        <v>35</v>
      </c>
      <c r="N26" s="123">
        <v>0</v>
      </c>
      <c r="O26" s="123">
        <v>0</v>
      </c>
      <c r="P26" s="122">
        <v>70</v>
      </c>
      <c r="Q26" s="123">
        <v>70</v>
      </c>
      <c r="R26" s="123">
        <v>30</v>
      </c>
      <c r="S26" s="123">
        <v>12</v>
      </c>
      <c r="T26" s="122">
        <v>60</v>
      </c>
      <c r="U26" s="123">
        <v>35</v>
      </c>
      <c r="V26" s="123">
        <v>40</v>
      </c>
      <c r="W26" s="123">
        <v>0</v>
      </c>
      <c r="X26" s="122">
        <v>0</v>
      </c>
      <c r="Y26" s="123">
        <v>0</v>
      </c>
      <c r="Z26" s="123">
        <v>0</v>
      </c>
      <c r="AA26" s="123">
        <v>0</v>
      </c>
      <c r="AB26" s="136">
        <f t="shared" si="0"/>
        <v>240.66069155839998</v>
      </c>
      <c r="AC26" s="137">
        <f t="shared" si="1"/>
        <v>238.66368005119995</v>
      </c>
      <c r="AD26" s="137">
        <f t="shared" si="2"/>
        <v>249.60058434560003</v>
      </c>
      <c r="AE26" s="122">
        <f t="shared" si="3"/>
        <v>370.6606915584</v>
      </c>
      <c r="AF26" s="123">
        <f t="shared" si="4"/>
        <v>343.66368005119995</v>
      </c>
      <c r="AG26" s="123">
        <f t="shared" si="5"/>
        <v>319.60058434560005</v>
      </c>
      <c r="AH26" s="123">
        <f t="shared" si="6"/>
        <v>12</v>
      </c>
      <c r="AI26" s="298">
        <f t="shared" si="7"/>
        <v>56146027672.687317</v>
      </c>
      <c r="AJ26" s="122">
        <v>116</v>
      </c>
      <c r="AK26" s="123">
        <v>113</v>
      </c>
      <c r="AL26" s="123">
        <v>125</v>
      </c>
      <c r="AM26" s="138">
        <f t="shared" si="8"/>
        <v>1653.3034577919998</v>
      </c>
      <c r="AN26" s="139">
        <f t="shared" si="9"/>
        <v>1643.3184002559997</v>
      </c>
      <c r="AO26" s="139">
        <f t="shared" si="10"/>
        <v>1698.002921728</v>
      </c>
      <c r="AP26" s="140">
        <v>8.82</v>
      </c>
      <c r="AQ26" s="141">
        <v>8.76</v>
      </c>
      <c r="AR26" s="141">
        <v>9.1300000000000008</v>
      </c>
      <c r="AS26" s="138">
        <f t="shared" si="11"/>
        <v>21.946982399999996</v>
      </c>
      <c r="AT26" s="139">
        <f t="shared" si="12"/>
        <v>21.797683199999991</v>
      </c>
      <c r="AU26" s="139">
        <f t="shared" si="13"/>
        <v>22.718361600000001</v>
      </c>
    </row>
    <row r="27" spans="1:47" ht="14.25" customHeight="1" x14ac:dyDescent="0.25">
      <c r="A27" s="10" t="s">
        <v>73</v>
      </c>
      <c r="B27" s="120" t="s">
        <v>332</v>
      </c>
      <c r="C27" s="142" t="s">
        <v>94</v>
      </c>
      <c r="D27" s="135" t="str">
        <f>IF(ISNUMBER(MATCH(Table10[[#This Row],[General]],COVENANTS!$A$2:$A$100,0)), "Y","N")</f>
        <v>N</v>
      </c>
      <c r="E27" s="135" t="str">
        <f>IF(ISNUMBER(MATCH(Table10[[#This Row],[General]],COVENANTS!$B$2:$B$100,0)), "Y","N")</f>
        <v>N</v>
      </c>
      <c r="F27" s="135" t="str">
        <f>IF(ISNUMBER(MATCH(Table10[[#This Row],[General]],COVENANTS!$C$2:$C$100,0)), "Y","N")</f>
        <v>Y</v>
      </c>
      <c r="G27" s="135" t="str">
        <f>IF(ISNUMBER(MATCH(Table10[[#This Row],[General]],COVENANTS!$D$2:$D$100,0)), "Y","N")</f>
        <v>N</v>
      </c>
      <c r="H27" s="122">
        <v>25</v>
      </c>
      <c r="I27" s="123">
        <v>25</v>
      </c>
      <c r="J27" s="123">
        <v>25</v>
      </c>
      <c r="K27" s="123">
        <v>12</v>
      </c>
      <c r="L27" s="122">
        <v>25</v>
      </c>
      <c r="M27" s="123">
        <v>0</v>
      </c>
      <c r="N27" s="123">
        <v>10</v>
      </c>
      <c r="O27" s="123">
        <v>0</v>
      </c>
      <c r="P27" s="122">
        <v>50</v>
      </c>
      <c r="Q27" s="123">
        <v>25</v>
      </c>
      <c r="R27" s="123">
        <v>30</v>
      </c>
      <c r="S27" s="123">
        <v>14</v>
      </c>
      <c r="T27" s="122">
        <v>41</v>
      </c>
      <c r="U27" s="123">
        <v>0</v>
      </c>
      <c r="V27" s="123">
        <v>10</v>
      </c>
      <c r="W27" s="123">
        <v>6</v>
      </c>
      <c r="X27" s="122">
        <v>0</v>
      </c>
      <c r="Y27" s="123">
        <v>0</v>
      </c>
      <c r="Z27" s="123">
        <v>0</v>
      </c>
      <c r="AA27" s="123">
        <v>0</v>
      </c>
      <c r="AB27" s="136">
        <f t="shared" si="0"/>
        <v>238.21000954879997</v>
      </c>
      <c r="AC27" s="137">
        <f t="shared" si="1"/>
        <v>245.21223183359999</v>
      </c>
      <c r="AD27" s="137">
        <f t="shared" si="2"/>
        <v>246.98240808959991</v>
      </c>
      <c r="AE27" s="122">
        <f t="shared" si="3"/>
        <v>329.21000954879997</v>
      </c>
      <c r="AF27" s="123">
        <f t="shared" si="4"/>
        <v>270.21223183359996</v>
      </c>
      <c r="AG27" s="123">
        <f t="shared" si="5"/>
        <v>286.98240808959991</v>
      </c>
      <c r="AH27" s="123">
        <f t="shared" si="6"/>
        <v>20</v>
      </c>
      <c r="AI27" s="298">
        <f t="shared" si="7"/>
        <v>55110226650.146179</v>
      </c>
      <c r="AJ27" s="122">
        <v>113</v>
      </c>
      <c r="AK27" s="123">
        <v>115</v>
      </c>
      <c r="AL27" s="123">
        <v>118</v>
      </c>
      <c r="AM27" s="138">
        <f t="shared" si="8"/>
        <v>1641.0500477439998</v>
      </c>
      <c r="AN27" s="139">
        <f t="shared" si="9"/>
        <v>1676.0611591679999</v>
      </c>
      <c r="AO27" s="139">
        <f t="shared" si="10"/>
        <v>1684.9120404479995</v>
      </c>
      <c r="AP27" s="140">
        <v>8.74</v>
      </c>
      <c r="AQ27" s="141">
        <v>9.0299999999999994</v>
      </c>
      <c r="AR27" s="141">
        <v>9.08</v>
      </c>
      <c r="AS27" s="138">
        <f t="shared" si="11"/>
        <v>21.747916799999995</v>
      </c>
      <c r="AT27" s="139">
        <f t="shared" si="12"/>
        <v>22.469529599999994</v>
      </c>
      <c r="AU27" s="139">
        <f t="shared" si="13"/>
        <v>22.593945599999994</v>
      </c>
    </row>
    <row r="28" spans="1:47" ht="14.25" customHeight="1" x14ac:dyDescent="0.25">
      <c r="A28" s="10" t="s">
        <v>74</v>
      </c>
      <c r="B28" s="120" t="s">
        <v>332</v>
      </c>
      <c r="C28" s="142" t="s">
        <v>97</v>
      </c>
      <c r="D28" s="135" t="str">
        <f>IF(ISNUMBER(MATCH(Table10[[#This Row],[General]],COVENANTS!$A$2:$A$100,0)), "Y","N")</f>
        <v>N</v>
      </c>
      <c r="E28" s="135" t="str">
        <f>IF(ISNUMBER(MATCH(Table10[[#This Row],[General]],COVENANTS!$B$2:$B$100,0)), "Y","N")</f>
        <v>Y</v>
      </c>
      <c r="F28" s="135" t="str">
        <f>IF(ISNUMBER(MATCH(Table10[[#This Row],[General]],COVENANTS!$C$2:$C$100,0)), "Y","N")</f>
        <v>Y</v>
      </c>
      <c r="G28" s="135" t="str">
        <f>IF(ISNUMBER(MATCH(Table10[[#This Row],[General]],COVENANTS!$D$2:$D$100,0)), "Y","N")</f>
        <v>Y</v>
      </c>
      <c r="H28" s="122">
        <v>25</v>
      </c>
      <c r="I28" s="123">
        <v>25</v>
      </c>
      <c r="J28" s="123">
        <v>25</v>
      </c>
      <c r="K28" s="123">
        <v>12</v>
      </c>
      <c r="L28" s="122">
        <v>40</v>
      </c>
      <c r="M28" s="123">
        <v>0</v>
      </c>
      <c r="N28" s="123">
        <v>35</v>
      </c>
      <c r="O28" s="123">
        <v>0</v>
      </c>
      <c r="P28" s="122">
        <v>75</v>
      </c>
      <c r="Q28" s="123">
        <v>65</v>
      </c>
      <c r="R28" s="123">
        <v>75</v>
      </c>
      <c r="S28" s="123">
        <v>8</v>
      </c>
      <c r="T28" s="122">
        <v>55</v>
      </c>
      <c r="U28" s="123">
        <v>20</v>
      </c>
      <c r="V28" s="123">
        <v>50</v>
      </c>
      <c r="W28" s="123">
        <v>0</v>
      </c>
      <c r="X28" s="122">
        <v>0</v>
      </c>
      <c r="Y28" s="123">
        <v>0</v>
      </c>
      <c r="Z28" s="123">
        <v>0</v>
      </c>
      <c r="AA28" s="123">
        <v>0</v>
      </c>
      <c r="AB28" s="136">
        <f t="shared" si="0"/>
        <v>245.81856133119993</v>
      </c>
      <c r="AC28" s="137">
        <f t="shared" si="1"/>
        <v>240.2366915584</v>
      </c>
      <c r="AD28" s="137">
        <f t="shared" si="2"/>
        <v>245.39456133119995</v>
      </c>
      <c r="AE28" s="122">
        <f t="shared" si="3"/>
        <v>375.81856133119993</v>
      </c>
      <c r="AF28" s="123">
        <f t="shared" si="4"/>
        <v>325.23669155840003</v>
      </c>
      <c r="AG28" s="123">
        <f t="shared" si="5"/>
        <v>370.39456133119995</v>
      </c>
      <c r="AH28" s="123">
        <f t="shared" si="6"/>
        <v>8</v>
      </c>
      <c r="AI28" s="298">
        <f t="shared" si="7"/>
        <v>54511285233.461853</v>
      </c>
      <c r="AJ28" s="122">
        <v>120</v>
      </c>
      <c r="AK28" s="123">
        <v>114</v>
      </c>
      <c r="AL28" s="123">
        <v>118</v>
      </c>
      <c r="AM28" s="138">
        <f t="shared" si="8"/>
        <v>1679.0928066559995</v>
      </c>
      <c r="AN28" s="139">
        <f t="shared" si="9"/>
        <v>1651.1834577919999</v>
      </c>
      <c r="AO28" s="139">
        <f t="shared" si="10"/>
        <v>1676.9728066559996</v>
      </c>
      <c r="AP28" s="140">
        <v>9.01</v>
      </c>
      <c r="AQ28" s="141">
        <v>8.82</v>
      </c>
      <c r="AR28" s="141">
        <v>9.01</v>
      </c>
      <c r="AS28" s="138">
        <f t="shared" si="11"/>
        <v>22.419763199999995</v>
      </c>
      <c r="AT28" s="139">
        <f t="shared" si="12"/>
        <v>21.946982399999996</v>
      </c>
      <c r="AU28" s="139">
        <f t="shared" si="13"/>
        <v>22.419763199999995</v>
      </c>
    </row>
    <row r="29" spans="1:47" ht="14.25" customHeight="1" x14ac:dyDescent="0.25">
      <c r="A29" s="10" t="s">
        <v>75</v>
      </c>
      <c r="B29" s="120" t="s">
        <v>333</v>
      </c>
      <c r="C29" s="134" t="s">
        <v>98</v>
      </c>
      <c r="D29" s="135" t="str">
        <f>IF(ISNUMBER(MATCH(Table10[[#This Row],[General]],COVENANTS!$A$2:$A$100,0)), "Y","N")</f>
        <v>N</v>
      </c>
      <c r="E29" s="135" t="str">
        <f>IF(ISNUMBER(MATCH(Table10[[#This Row],[General]],COVENANTS!$B$2:$B$100,0)), "Y","N")</f>
        <v>N</v>
      </c>
      <c r="F29" s="135" t="str">
        <f>IF(ISNUMBER(MATCH(Table10[[#This Row],[General]],COVENANTS!$C$2:$C$100,0)), "Y","N")</f>
        <v>Y</v>
      </c>
      <c r="G29" s="135" t="str">
        <f>IF(ISNUMBER(MATCH(Table10[[#This Row],[General]],COVENANTS!$D$2:$D$100,0)), "Y","N")</f>
        <v>N</v>
      </c>
      <c r="H29" s="122">
        <v>25</v>
      </c>
      <c r="I29" s="123">
        <v>25</v>
      </c>
      <c r="J29" s="123">
        <v>25</v>
      </c>
      <c r="K29" s="123">
        <v>12</v>
      </c>
      <c r="L29" s="122">
        <v>35</v>
      </c>
      <c r="M29" s="123">
        <v>15</v>
      </c>
      <c r="N29" s="123">
        <v>35</v>
      </c>
      <c r="O29" s="123">
        <v>0</v>
      </c>
      <c r="P29" s="122">
        <v>85</v>
      </c>
      <c r="Q29" s="123">
        <v>45</v>
      </c>
      <c r="R29" s="123">
        <v>60</v>
      </c>
      <c r="S29" s="123">
        <v>0</v>
      </c>
      <c r="T29" s="122">
        <v>55</v>
      </c>
      <c r="U29" s="123">
        <v>35</v>
      </c>
      <c r="V29" s="123">
        <v>35</v>
      </c>
      <c r="W29" s="123">
        <v>6</v>
      </c>
      <c r="X29" s="122">
        <v>0</v>
      </c>
      <c r="Y29" s="123">
        <v>0</v>
      </c>
      <c r="Z29" s="123">
        <v>0</v>
      </c>
      <c r="AA29" s="123">
        <v>0</v>
      </c>
      <c r="AB29" s="136">
        <f t="shared" si="0"/>
        <v>242.92904407039995</v>
      </c>
      <c r="AC29" s="137">
        <f t="shared" si="1"/>
        <v>240.60135055359999</v>
      </c>
      <c r="AD29" s="137">
        <f t="shared" si="2"/>
        <v>245.62139658239994</v>
      </c>
      <c r="AE29" s="122">
        <f t="shared" si="3"/>
        <v>382.92904407039998</v>
      </c>
      <c r="AF29" s="123">
        <f t="shared" si="4"/>
        <v>320.60135055360001</v>
      </c>
      <c r="AG29" s="123">
        <f t="shared" si="5"/>
        <v>340.62139658239994</v>
      </c>
      <c r="AH29" s="123">
        <f t="shared" si="6"/>
        <v>6</v>
      </c>
      <c r="AI29" s="298">
        <f t="shared" si="7"/>
        <v>54297689439.22937</v>
      </c>
      <c r="AJ29" s="122">
        <v>116</v>
      </c>
      <c r="AK29" s="123">
        <v>120</v>
      </c>
      <c r="AL29" s="123">
        <v>118</v>
      </c>
      <c r="AM29" s="138">
        <f t="shared" si="8"/>
        <v>1664.6452203519998</v>
      </c>
      <c r="AN29" s="139">
        <f t="shared" si="9"/>
        <v>1653.0067527679998</v>
      </c>
      <c r="AO29" s="139">
        <f t="shared" si="10"/>
        <v>1678.1069829119997</v>
      </c>
      <c r="AP29" s="140">
        <v>8.92</v>
      </c>
      <c r="AQ29" s="141">
        <v>8.7799999999999994</v>
      </c>
      <c r="AR29" s="141">
        <v>9.02</v>
      </c>
      <c r="AS29" s="138">
        <f t="shared" si="11"/>
        <v>22.195814399999993</v>
      </c>
      <c r="AT29" s="139">
        <f t="shared" si="12"/>
        <v>21.847449599999994</v>
      </c>
      <c r="AU29" s="139">
        <f t="shared" si="13"/>
        <v>22.444646399999996</v>
      </c>
    </row>
    <row r="30" spans="1:47" ht="14.25" customHeight="1" x14ac:dyDescent="0.25">
      <c r="A30" s="10" t="s">
        <v>76</v>
      </c>
      <c r="B30" s="120" t="s">
        <v>333</v>
      </c>
      <c r="C30" s="142" t="s">
        <v>96</v>
      </c>
      <c r="D30" s="135" t="str">
        <f>IF(ISNUMBER(MATCH(Table10[[#This Row],[General]],COVENANTS!$A$2:$A$100,0)), "Y","N")</f>
        <v>N</v>
      </c>
      <c r="E30" s="135" t="str">
        <f>IF(ISNUMBER(MATCH(Table10[[#This Row],[General]],COVENANTS!$B$2:$B$100,0)), "Y","N")</f>
        <v>Y</v>
      </c>
      <c r="F30" s="135" t="str">
        <f>IF(ISNUMBER(MATCH(Table10[[#This Row],[General]],COVENANTS!$C$2:$C$100,0)), "Y","N")</f>
        <v>N</v>
      </c>
      <c r="G30" s="135" t="str">
        <f>IF(ISNUMBER(MATCH(Table10[[#This Row],[General]],COVENANTS!$D$2:$D$100,0)), "Y","N")</f>
        <v>N</v>
      </c>
      <c r="H30" s="122">
        <v>25</v>
      </c>
      <c r="I30" s="123">
        <v>25</v>
      </c>
      <c r="J30" s="123">
        <v>25</v>
      </c>
      <c r="K30" s="123">
        <v>12</v>
      </c>
      <c r="L30" s="122">
        <v>15</v>
      </c>
      <c r="M30" s="123">
        <v>15</v>
      </c>
      <c r="N30" s="123">
        <v>20</v>
      </c>
      <c r="O30" s="123">
        <v>0</v>
      </c>
      <c r="P30" s="122">
        <v>45</v>
      </c>
      <c r="Q30" s="123">
        <v>40</v>
      </c>
      <c r="R30" s="123">
        <v>45</v>
      </c>
      <c r="S30" s="123">
        <v>10</v>
      </c>
      <c r="T30" s="122">
        <v>46</v>
      </c>
      <c r="U30" s="123">
        <v>10</v>
      </c>
      <c r="V30" s="123">
        <v>36</v>
      </c>
      <c r="W30" s="123">
        <v>10</v>
      </c>
      <c r="X30" s="122">
        <v>0</v>
      </c>
      <c r="Y30" s="123">
        <v>0</v>
      </c>
      <c r="Z30" s="123">
        <v>0</v>
      </c>
      <c r="AA30" s="123">
        <v>0</v>
      </c>
      <c r="AB30" s="136">
        <f t="shared" si="0"/>
        <v>217.17367219200003</v>
      </c>
      <c r="AC30" s="137">
        <f t="shared" si="1"/>
        <v>246.72590233599999</v>
      </c>
      <c r="AD30" s="137">
        <f t="shared" si="2"/>
        <v>250.38493685759997</v>
      </c>
      <c r="AE30" s="122">
        <f t="shared" si="3"/>
        <v>308.17367219200003</v>
      </c>
      <c r="AF30" s="123">
        <f t="shared" si="4"/>
        <v>296.72590233599999</v>
      </c>
      <c r="AG30" s="123">
        <f t="shared" si="5"/>
        <v>331.3849368576</v>
      </c>
      <c r="AH30" s="123">
        <f t="shared" si="6"/>
        <v>20</v>
      </c>
      <c r="AI30" s="298">
        <f t="shared" si="7"/>
        <v>52221065154.1474</v>
      </c>
      <c r="AJ30" s="122">
        <v>109</v>
      </c>
      <c r="AK30" s="123">
        <v>120</v>
      </c>
      <c r="AL30" s="123">
        <v>118</v>
      </c>
      <c r="AM30" s="138">
        <f t="shared" si="8"/>
        <v>1535.86836096</v>
      </c>
      <c r="AN30" s="139">
        <f t="shared" si="9"/>
        <v>1683.62951168</v>
      </c>
      <c r="AO30" s="139">
        <f t="shared" si="10"/>
        <v>1701.9246842879998</v>
      </c>
      <c r="AP30" s="140">
        <v>7.85</v>
      </c>
      <c r="AQ30" s="141">
        <v>9.0500000000000007</v>
      </c>
      <c r="AR30" s="141">
        <v>9.23</v>
      </c>
      <c r="AS30" s="138">
        <f t="shared" si="11"/>
        <v>19.533311999999999</v>
      </c>
      <c r="AT30" s="139">
        <f t="shared" si="12"/>
        <v>22.519295999999997</v>
      </c>
      <c r="AU30" s="139">
        <f t="shared" si="13"/>
        <v>22.967193599999998</v>
      </c>
    </row>
    <row r="31" spans="1:47" ht="14.25" customHeight="1" x14ac:dyDescent="0.25">
      <c r="A31" s="10" t="s">
        <v>77</v>
      </c>
      <c r="B31" s="120" t="s">
        <v>332</v>
      </c>
      <c r="C31" s="134" t="s">
        <v>100</v>
      </c>
      <c r="D31" s="135" t="str">
        <f>IF(ISNUMBER(MATCH(Table10[[#This Row],[General]],COVENANTS!$A$2:$A$100,0)), "Y","N")</f>
        <v>N</v>
      </c>
      <c r="E31" s="135" t="str">
        <f>IF(ISNUMBER(MATCH(Table10[[#This Row],[General]],COVENANTS!$B$2:$B$100,0)), "Y","N")</f>
        <v>N</v>
      </c>
      <c r="F31" s="135" t="str">
        <f>IF(ISNUMBER(MATCH(Table10[[#This Row],[General]],COVENANTS!$C$2:$C$100,0)), "Y","N")</f>
        <v>Y</v>
      </c>
      <c r="G31" s="135" t="str">
        <f>IF(ISNUMBER(MATCH(Table10[[#This Row],[General]],COVENANTS!$D$2:$D$100,0)), "Y","N")</f>
        <v>N</v>
      </c>
      <c r="H31" s="122">
        <v>25</v>
      </c>
      <c r="I31" s="123">
        <v>25</v>
      </c>
      <c r="J31" s="123">
        <v>25</v>
      </c>
      <c r="K31" s="123">
        <v>12</v>
      </c>
      <c r="L31" s="122">
        <v>35</v>
      </c>
      <c r="M31" s="123">
        <v>0</v>
      </c>
      <c r="N31" s="123">
        <v>30</v>
      </c>
      <c r="O31" s="123">
        <v>0</v>
      </c>
      <c r="P31" s="122">
        <v>65</v>
      </c>
      <c r="Q31" s="123">
        <v>35</v>
      </c>
      <c r="R31" s="123">
        <v>50</v>
      </c>
      <c r="S31" s="123">
        <v>0</v>
      </c>
      <c r="T31" s="122">
        <v>60</v>
      </c>
      <c r="U31" s="123">
        <v>20</v>
      </c>
      <c r="V31" s="123">
        <v>30</v>
      </c>
      <c r="W31" s="123">
        <v>6</v>
      </c>
      <c r="X31" s="122">
        <v>0</v>
      </c>
      <c r="Y31" s="123">
        <v>0</v>
      </c>
      <c r="Z31" s="123">
        <v>0</v>
      </c>
      <c r="AA31" s="123">
        <v>0</v>
      </c>
      <c r="AB31" s="136">
        <f t="shared" si="0"/>
        <v>242.03653831680001</v>
      </c>
      <c r="AC31" s="137">
        <f t="shared" si="1"/>
        <v>247.61840808959994</v>
      </c>
      <c r="AD31" s="137">
        <f t="shared" si="2"/>
        <v>241.61253831679997</v>
      </c>
      <c r="AE31" s="122">
        <f t="shared" si="3"/>
        <v>367.03653831680003</v>
      </c>
      <c r="AF31" s="123">
        <f t="shared" si="4"/>
        <v>302.61840808959994</v>
      </c>
      <c r="AG31" s="123">
        <f t="shared" si="5"/>
        <v>321.61253831679994</v>
      </c>
      <c r="AH31" s="123">
        <f t="shared" si="6"/>
        <v>6</v>
      </c>
      <c r="AI31" s="298">
        <f t="shared" si="7"/>
        <v>52167413627.925781</v>
      </c>
      <c r="AJ31" s="122">
        <v>115</v>
      </c>
      <c r="AK31" s="123">
        <v>121</v>
      </c>
      <c r="AL31" s="123">
        <v>113</v>
      </c>
      <c r="AM31" s="138">
        <f t="shared" si="8"/>
        <v>1660.1826915839999</v>
      </c>
      <c r="AN31" s="139">
        <f t="shared" si="9"/>
        <v>1688.0920404479996</v>
      </c>
      <c r="AO31" s="139">
        <f t="shared" si="10"/>
        <v>1658.0626915839998</v>
      </c>
      <c r="AP31" s="140">
        <v>8.89</v>
      </c>
      <c r="AQ31" s="141">
        <v>9.08</v>
      </c>
      <c r="AR31" s="141">
        <v>8.89</v>
      </c>
      <c r="AS31" s="138">
        <f t="shared" si="11"/>
        <v>22.121164799999995</v>
      </c>
      <c r="AT31" s="139">
        <f t="shared" si="12"/>
        <v>22.593945599999994</v>
      </c>
      <c r="AU31" s="139">
        <f t="shared" si="13"/>
        <v>22.121164799999995</v>
      </c>
    </row>
    <row r="32" spans="1:47" ht="14.25" customHeight="1" x14ac:dyDescent="0.25">
      <c r="A32" s="10" t="s">
        <v>78</v>
      </c>
      <c r="B32" s="120" t="s">
        <v>333</v>
      </c>
      <c r="C32" s="134" t="s">
        <v>99</v>
      </c>
      <c r="D32" s="135" t="str">
        <f>IF(ISNUMBER(MATCH(Table10[[#This Row],[General]],COVENANTS!$A$2:$A$100,0)), "Y","N")</f>
        <v>N</v>
      </c>
      <c r="E32" s="135" t="str">
        <f>IF(ISNUMBER(MATCH(Table10[[#This Row],[General]],COVENANTS!$B$2:$B$100,0)), "Y","N")</f>
        <v>N</v>
      </c>
      <c r="F32" s="135" t="str">
        <f>IF(ISNUMBER(MATCH(Table10[[#This Row],[General]],COVENANTS!$C$2:$C$100,0)), "Y","N")</f>
        <v>N</v>
      </c>
      <c r="G32" s="135" t="str">
        <f>IF(ISNUMBER(MATCH(Table10[[#This Row],[General]],COVENANTS!$D$2:$D$100,0)), "Y","N")</f>
        <v>N</v>
      </c>
      <c r="H32" s="122">
        <v>0</v>
      </c>
      <c r="I32" s="123">
        <v>25</v>
      </c>
      <c r="J32" s="123">
        <v>25</v>
      </c>
      <c r="K32" s="123">
        <v>12</v>
      </c>
      <c r="L32" s="122">
        <v>30</v>
      </c>
      <c r="M32" s="123">
        <v>0</v>
      </c>
      <c r="N32" s="123">
        <v>15</v>
      </c>
      <c r="O32" s="123">
        <v>0</v>
      </c>
      <c r="P32" s="122">
        <v>50</v>
      </c>
      <c r="Q32" s="123">
        <v>30</v>
      </c>
      <c r="R32" s="123">
        <v>25</v>
      </c>
      <c r="S32" s="123">
        <v>14</v>
      </c>
      <c r="T32" s="122">
        <v>30</v>
      </c>
      <c r="U32" s="123">
        <v>10</v>
      </c>
      <c r="V32" s="123">
        <v>50</v>
      </c>
      <c r="W32" s="123">
        <v>0</v>
      </c>
      <c r="X32" s="122">
        <v>0</v>
      </c>
      <c r="Y32" s="123">
        <v>0</v>
      </c>
      <c r="Z32" s="123">
        <v>0</v>
      </c>
      <c r="AA32" s="123">
        <v>0</v>
      </c>
      <c r="AB32" s="136">
        <f t="shared" si="0"/>
        <v>242.03653831680001</v>
      </c>
      <c r="AC32" s="137">
        <f t="shared" si="1"/>
        <v>246.82974909439997</v>
      </c>
      <c r="AD32" s="137">
        <f t="shared" si="2"/>
        <v>246.42058434559999</v>
      </c>
      <c r="AE32" s="122">
        <f t="shared" si="3"/>
        <v>322.03653831680003</v>
      </c>
      <c r="AF32" s="123">
        <f t="shared" si="4"/>
        <v>286.82974909439997</v>
      </c>
      <c r="AG32" s="123">
        <f t="shared" si="5"/>
        <v>321.42058434559999</v>
      </c>
      <c r="AH32" s="123">
        <f t="shared" si="6"/>
        <v>14</v>
      </c>
      <c r="AI32" s="298">
        <f t="shared" si="7"/>
        <v>50700930071.191406</v>
      </c>
      <c r="AJ32" s="122">
        <v>115</v>
      </c>
      <c r="AK32" s="123">
        <v>113</v>
      </c>
      <c r="AL32" s="123">
        <v>110</v>
      </c>
      <c r="AM32" s="138">
        <f t="shared" si="8"/>
        <v>1660.1826915839999</v>
      </c>
      <c r="AN32" s="139">
        <f t="shared" si="9"/>
        <v>1684.1487454719997</v>
      </c>
      <c r="AO32" s="139">
        <f t="shared" si="10"/>
        <v>1682.102921728</v>
      </c>
      <c r="AP32" s="140">
        <v>8.89</v>
      </c>
      <c r="AQ32" s="141">
        <v>9.1199999999999992</v>
      </c>
      <c r="AR32" s="141">
        <v>9.1300000000000008</v>
      </c>
      <c r="AS32" s="138">
        <f t="shared" si="11"/>
        <v>22.121164799999995</v>
      </c>
      <c r="AT32" s="139">
        <f t="shared" si="12"/>
        <v>22.693478399999993</v>
      </c>
      <c r="AU32" s="139">
        <f t="shared" si="13"/>
        <v>22.718361600000001</v>
      </c>
    </row>
    <row r="33" spans="1:47" ht="14.25" customHeight="1" x14ac:dyDescent="0.25">
      <c r="A33" s="10" t="s">
        <v>79</v>
      </c>
      <c r="B33" s="120" t="s">
        <v>332</v>
      </c>
      <c r="C33" s="134" t="s">
        <v>103</v>
      </c>
      <c r="D33" s="135" t="str">
        <f>IF(ISNUMBER(MATCH(Table10[[#This Row],[General]],COVENANTS!$A$2:$A$100,0)), "Y","N")</f>
        <v>N</v>
      </c>
      <c r="E33" s="135" t="str">
        <f>IF(ISNUMBER(MATCH(Table10[[#This Row],[General]],COVENANTS!$B$2:$B$100,0)), "Y","N")</f>
        <v>N</v>
      </c>
      <c r="F33" s="135" t="str">
        <f>IF(ISNUMBER(MATCH(Table10[[#This Row],[General]],COVENANTS!$C$2:$C$100,0)), "Y","N")</f>
        <v>Y</v>
      </c>
      <c r="G33" s="135" t="str">
        <f>IF(ISNUMBER(MATCH(Table10[[#This Row],[General]],COVENANTS!$D$2:$D$100,0)), "Y","N")</f>
        <v>Y</v>
      </c>
      <c r="H33" s="122">
        <v>25</v>
      </c>
      <c r="I33" s="123">
        <v>25</v>
      </c>
      <c r="J33" s="123">
        <v>25</v>
      </c>
      <c r="K33" s="123">
        <v>12</v>
      </c>
      <c r="L33" s="122">
        <v>30</v>
      </c>
      <c r="M33" s="123">
        <v>0</v>
      </c>
      <c r="N33" s="123">
        <v>20</v>
      </c>
      <c r="O33" s="123">
        <v>0</v>
      </c>
      <c r="P33" s="122">
        <v>60</v>
      </c>
      <c r="Q33" s="123">
        <v>50</v>
      </c>
      <c r="R33" s="123">
        <v>40</v>
      </c>
      <c r="S33" s="123">
        <v>0</v>
      </c>
      <c r="T33" s="122">
        <v>50</v>
      </c>
      <c r="U33" s="123">
        <v>10</v>
      </c>
      <c r="V33" s="123">
        <v>50</v>
      </c>
      <c r="W33" s="123">
        <v>6</v>
      </c>
      <c r="X33" s="122">
        <v>0</v>
      </c>
      <c r="Y33" s="123">
        <v>0</v>
      </c>
      <c r="Z33" s="123">
        <v>0</v>
      </c>
      <c r="AA33" s="123">
        <v>0</v>
      </c>
      <c r="AB33" s="136">
        <f t="shared" si="0"/>
        <v>245.19739658239996</v>
      </c>
      <c r="AC33" s="137">
        <f t="shared" si="1"/>
        <v>244.5168908288</v>
      </c>
      <c r="AD33" s="137">
        <f t="shared" si="2"/>
        <v>247.23891384319995</v>
      </c>
      <c r="AE33" s="122">
        <f t="shared" si="3"/>
        <v>355.19739658239996</v>
      </c>
      <c r="AF33" s="123">
        <f t="shared" si="4"/>
        <v>304.5168908288</v>
      </c>
      <c r="AG33" s="123">
        <f t="shared" si="5"/>
        <v>337.23891384319995</v>
      </c>
      <c r="AH33" s="123">
        <f t="shared" si="6"/>
        <v>6</v>
      </c>
      <c r="AI33" s="298">
        <f t="shared" si="7"/>
        <v>50580462038.641357</v>
      </c>
      <c r="AJ33" s="122">
        <v>116</v>
      </c>
      <c r="AK33" s="123">
        <v>116</v>
      </c>
      <c r="AL33" s="123">
        <v>116</v>
      </c>
      <c r="AM33" s="138">
        <f t="shared" si="8"/>
        <v>1675.9869829119998</v>
      </c>
      <c r="AN33" s="139">
        <f t="shared" si="9"/>
        <v>1672.5844541439999</v>
      </c>
      <c r="AO33" s="139">
        <f t="shared" si="10"/>
        <v>1686.1945692159998</v>
      </c>
      <c r="AP33" s="140">
        <v>9.02</v>
      </c>
      <c r="AQ33" s="141">
        <v>8.99</v>
      </c>
      <c r="AR33" s="141">
        <v>9.11</v>
      </c>
      <c r="AS33" s="138">
        <f t="shared" si="11"/>
        <v>22.444646399999996</v>
      </c>
      <c r="AT33" s="139">
        <f t="shared" si="12"/>
        <v>22.369996799999999</v>
      </c>
      <c r="AU33" s="139">
        <f t="shared" si="13"/>
        <v>22.668595199999995</v>
      </c>
    </row>
    <row r="34" spans="1:47" ht="14.25" customHeight="1" x14ac:dyDescent="0.25">
      <c r="A34" s="10" t="s">
        <v>80</v>
      </c>
      <c r="B34" s="120" t="s">
        <v>332</v>
      </c>
      <c r="C34" s="134" t="s">
        <v>104</v>
      </c>
      <c r="D34" s="135" t="str">
        <f>IF(ISNUMBER(MATCH(Table10[[#This Row],[General]],COVENANTS!$A$2:$A$100,0)), "Y","N")</f>
        <v>N</v>
      </c>
      <c r="E34" s="135" t="str">
        <f>IF(ISNUMBER(MATCH(Table10[[#This Row],[General]],COVENANTS!$B$2:$B$100,0)), "Y","N")</f>
        <v>N</v>
      </c>
      <c r="F34" s="135" t="str">
        <f>IF(ISNUMBER(MATCH(Table10[[#This Row],[General]],COVENANTS!$C$2:$C$100,0)), "Y","N")</f>
        <v>Y</v>
      </c>
      <c r="G34" s="135" t="str">
        <f>IF(ISNUMBER(MATCH(Table10[[#This Row],[General]],COVENANTS!$D$2:$D$100,0)), "Y","N")</f>
        <v>N</v>
      </c>
      <c r="H34" s="122">
        <v>25</v>
      </c>
      <c r="I34" s="123">
        <v>25</v>
      </c>
      <c r="J34" s="123">
        <v>25</v>
      </c>
      <c r="K34" s="123">
        <v>12</v>
      </c>
      <c r="L34" s="122">
        <v>30</v>
      </c>
      <c r="M34" s="123">
        <v>0</v>
      </c>
      <c r="N34" s="123">
        <v>30</v>
      </c>
      <c r="O34" s="123">
        <v>8</v>
      </c>
      <c r="P34" s="122">
        <v>50</v>
      </c>
      <c r="Q34" s="123">
        <v>80</v>
      </c>
      <c r="R34" s="123">
        <v>60</v>
      </c>
      <c r="S34" s="123">
        <v>8</v>
      </c>
      <c r="T34" s="122">
        <v>50</v>
      </c>
      <c r="U34" s="123">
        <v>50</v>
      </c>
      <c r="V34" s="123">
        <v>20</v>
      </c>
      <c r="W34" s="123">
        <v>0</v>
      </c>
      <c r="X34" s="122">
        <v>0</v>
      </c>
      <c r="Y34" s="123">
        <v>0</v>
      </c>
      <c r="Z34" s="123">
        <v>0</v>
      </c>
      <c r="AA34" s="123">
        <v>0</v>
      </c>
      <c r="AB34" s="136">
        <f t="shared" si="0"/>
        <v>241.58286781439992</v>
      </c>
      <c r="AC34" s="137">
        <f t="shared" si="1"/>
        <v>246.92306708479998</v>
      </c>
      <c r="AD34" s="137">
        <f t="shared" si="2"/>
        <v>243.33820881919993</v>
      </c>
      <c r="AE34" s="122">
        <f t="shared" si="3"/>
        <v>341.58286781439995</v>
      </c>
      <c r="AF34" s="123">
        <f t="shared" si="4"/>
        <v>376.92306708479998</v>
      </c>
      <c r="AG34" s="123">
        <f t="shared" si="5"/>
        <v>323.33820881919996</v>
      </c>
      <c r="AH34" s="123">
        <f t="shared" si="6"/>
        <v>8</v>
      </c>
      <c r="AI34" s="298">
        <f t="shared" si="7"/>
        <v>49906104128.672241</v>
      </c>
      <c r="AJ34" s="122">
        <v>115</v>
      </c>
      <c r="AK34" s="123">
        <v>122</v>
      </c>
      <c r="AL34" s="123">
        <v>119</v>
      </c>
      <c r="AM34" s="138">
        <f t="shared" si="8"/>
        <v>1657.9143390719996</v>
      </c>
      <c r="AN34" s="139">
        <f t="shared" si="9"/>
        <v>1684.6153354239998</v>
      </c>
      <c r="AO34" s="139">
        <f t="shared" si="10"/>
        <v>1666.6910440959996</v>
      </c>
      <c r="AP34" s="140">
        <v>8.8699999999999992</v>
      </c>
      <c r="AQ34" s="141">
        <v>9.0399999999999991</v>
      </c>
      <c r="AR34" s="141">
        <v>8.91</v>
      </c>
      <c r="AS34" s="138">
        <f t="shared" si="11"/>
        <v>22.071398399999993</v>
      </c>
      <c r="AT34" s="139">
        <f t="shared" si="12"/>
        <v>22.494412799999996</v>
      </c>
      <c r="AU34" s="139">
        <f t="shared" si="13"/>
        <v>22.170931199999995</v>
      </c>
    </row>
    <row r="35" spans="1:47" ht="14.25" customHeight="1" x14ac:dyDescent="0.25">
      <c r="A35" s="10" t="s">
        <v>81</v>
      </c>
      <c r="B35" s="120" t="s">
        <v>333</v>
      </c>
      <c r="C35" s="142" t="s">
        <v>101</v>
      </c>
      <c r="D35" s="135" t="str">
        <f>IF(ISNUMBER(MATCH(Table10[[#This Row],[General]],COVENANTS!$A$2:$A$100,0)), "Y","N")</f>
        <v>N</v>
      </c>
      <c r="E35" s="135" t="str">
        <f>IF(ISNUMBER(MATCH(Table10[[#This Row],[General]],COVENANTS!$B$2:$B$100,0)), "Y","N")</f>
        <v>Y</v>
      </c>
      <c r="F35" s="135" t="str">
        <f>IF(ISNUMBER(MATCH(Table10[[#This Row],[General]],COVENANTS!$C$2:$C$100,0)), "Y","N")</f>
        <v>N</v>
      </c>
      <c r="G35" s="135" t="str">
        <f>IF(ISNUMBER(MATCH(Table10[[#This Row],[General]],COVENANTS!$D$2:$D$100,0)), "Y","N")</f>
        <v>N</v>
      </c>
      <c r="H35" s="122">
        <v>25</v>
      </c>
      <c r="I35" s="123">
        <v>25</v>
      </c>
      <c r="J35" s="123">
        <v>25</v>
      </c>
      <c r="K35" s="123">
        <v>12</v>
      </c>
      <c r="L35" s="122">
        <v>15</v>
      </c>
      <c r="M35" s="123">
        <v>0</v>
      </c>
      <c r="N35" s="123">
        <v>25</v>
      </c>
      <c r="O35" s="123">
        <v>0</v>
      </c>
      <c r="P35" s="122">
        <v>45</v>
      </c>
      <c r="Q35" s="123">
        <v>20</v>
      </c>
      <c r="R35" s="123">
        <v>50</v>
      </c>
      <c r="S35" s="123">
        <v>14</v>
      </c>
      <c r="T35" s="122">
        <v>26</v>
      </c>
      <c r="U35" s="123">
        <v>0</v>
      </c>
      <c r="V35" s="123">
        <v>10</v>
      </c>
      <c r="W35" s="123">
        <v>0</v>
      </c>
      <c r="X35" s="122">
        <v>0</v>
      </c>
      <c r="Y35" s="123">
        <v>0</v>
      </c>
      <c r="Z35" s="123">
        <v>0</v>
      </c>
      <c r="AA35" s="123">
        <v>0</v>
      </c>
      <c r="AB35" s="136">
        <f t="shared" ref="AB35:AB53" si="14">900*0.1+(AM35-900)*0.2</f>
        <v>238.04251530239995</v>
      </c>
      <c r="AC35" s="137">
        <f t="shared" ref="AC35:AC53" si="15">900*0.1+(AN35-900)*0.2</f>
        <v>242.64286781439992</v>
      </c>
      <c r="AD35" s="137">
        <f t="shared" ref="AD35:AD53" si="16">900*0.1+(AO35-900)*0.2</f>
        <v>243.62438507519997</v>
      </c>
      <c r="AE35" s="122">
        <f t="shared" ref="AE35:AE53" si="17">P35+T35+X35+AB35</f>
        <v>309.04251530239992</v>
      </c>
      <c r="AF35" s="123">
        <f t="shared" ref="AF35:AF53" si="18">Q35+U35+Y35+AC35</f>
        <v>262.64286781439989</v>
      </c>
      <c r="AG35" s="123">
        <f t="shared" ref="AG35:AG53" si="19">R35+V35+Z35+AD35</f>
        <v>303.62438507519994</v>
      </c>
      <c r="AH35" s="123">
        <f t="shared" ref="AH35:AH53" si="20">S35+W35+AA35</f>
        <v>14</v>
      </c>
      <c r="AI35" s="298">
        <f t="shared" ref="AI35:AI53" si="21">(AW$2*(AH35/100)+AW$2+AW$3)*(AX$2*(AE35/100)+AX$2+AX$3)-AY$2</f>
        <v>48934681759.395813</v>
      </c>
      <c r="AJ35" s="122">
        <v>109</v>
      </c>
      <c r="AK35" s="123">
        <v>120</v>
      </c>
      <c r="AL35" s="123">
        <v>115</v>
      </c>
      <c r="AM35" s="138">
        <f t="shared" ref="AM35:AM53" si="22">(AJ35+AS35*($AX$9-1))+500+((AJ35+AS35*($AX$9-1))+500)*$AY$10</f>
        <v>1640.2125765119997</v>
      </c>
      <c r="AN35" s="139">
        <f t="shared" ref="AN35:AN53" si="23">(AK35+AT35*(AX$9-1))+500+((AK35+AT35*(AX$9-1))+500)*$AY$10</f>
        <v>1663.2143390719996</v>
      </c>
      <c r="AO35" s="139">
        <f t="shared" ref="AO35:AO53" si="24">(AL35+AU35*(AX$9-1))+500+((AL35+AU35*(AX$9-1))+500)*$AY$10</f>
        <v>1668.1219253759998</v>
      </c>
      <c r="AP35" s="140">
        <v>8.77</v>
      </c>
      <c r="AQ35" s="141">
        <v>8.8699999999999992</v>
      </c>
      <c r="AR35" s="141">
        <v>8.9600000000000009</v>
      </c>
      <c r="AS35" s="138">
        <f t="shared" ref="AS35:AS53" si="25">(((((1+20/100)*$AP35)*(1+20/100)))*(1+20/100))*(1+20/100)*(1+20/100)</f>
        <v>21.822566399999992</v>
      </c>
      <c r="AT35" s="139">
        <f t="shared" ref="AT35:AT53" si="26">(((((1+20/100)*$AQ35)*(1+20/100)))*(1+20/100))*(1+20/100)*(1+20/100)</f>
        <v>22.071398399999993</v>
      </c>
      <c r="AU35" s="139">
        <f t="shared" ref="AU35:AU53" si="27">(((((1+20/100)*$AR35)*(1+20/100)))*(1+20/100))*(1+20/100)*(1+20/100)</f>
        <v>22.295347199999998</v>
      </c>
    </row>
    <row r="36" spans="1:47" ht="14.25" customHeight="1" x14ac:dyDescent="0.25">
      <c r="A36" s="10" t="s">
        <v>207</v>
      </c>
      <c r="B36" s="120" t="s">
        <v>333</v>
      </c>
      <c r="C36" s="142" t="s">
        <v>106</v>
      </c>
      <c r="D36" s="135" t="str">
        <f>IF(ISNUMBER(MATCH(Table10[[#This Row],[General]],COVENANTS!$A$2:$A$100,0)), "Y","N")</f>
        <v>N</v>
      </c>
      <c r="E36" s="135" t="str">
        <f>IF(ISNUMBER(MATCH(Table10[[#This Row],[General]],COVENANTS!$B$2:$B$100,0)), "Y","N")</f>
        <v>N</v>
      </c>
      <c r="F36" s="135" t="str">
        <f>IF(ISNUMBER(MATCH(Table10[[#This Row],[General]],COVENANTS!$C$2:$C$100,0)), "Y","N")</f>
        <v>Y</v>
      </c>
      <c r="G36" s="135" t="str">
        <f>IF(ISNUMBER(MATCH(Table10[[#This Row],[General]],COVENANTS!$D$2:$D$100,0)), "Y","N")</f>
        <v>N</v>
      </c>
      <c r="H36" s="122">
        <v>0</v>
      </c>
      <c r="I36" s="123">
        <v>25</v>
      </c>
      <c r="J36" s="123">
        <v>25</v>
      </c>
      <c r="K36" s="123">
        <v>12</v>
      </c>
      <c r="L36" s="122">
        <v>35</v>
      </c>
      <c r="M36" s="123">
        <v>15</v>
      </c>
      <c r="N36" s="123">
        <v>15</v>
      </c>
      <c r="O36" s="123">
        <v>0</v>
      </c>
      <c r="P36" s="122">
        <v>65</v>
      </c>
      <c r="Q36" s="123">
        <v>35</v>
      </c>
      <c r="R36" s="123">
        <v>35</v>
      </c>
      <c r="S36" s="123">
        <v>0</v>
      </c>
      <c r="T36" s="122">
        <v>60</v>
      </c>
      <c r="U36" s="123">
        <v>25</v>
      </c>
      <c r="V36" s="123">
        <v>35</v>
      </c>
      <c r="W36" s="123">
        <v>0</v>
      </c>
      <c r="X36" s="122">
        <v>0</v>
      </c>
      <c r="Y36" s="123">
        <v>0</v>
      </c>
      <c r="Z36" s="123">
        <v>0</v>
      </c>
      <c r="AA36" s="123">
        <v>0</v>
      </c>
      <c r="AB36" s="136">
        <f t="shared" si="14"/>
        <v>239.75335055359997</v>
      </c>
      <c r="AC36" s="137">
        <f t="shared" si="15"/>
        <v>242.44570306559996</v>
      </c>
      <c r="AD36" s="137">
        <f t="shared" si="16"/>
        <v>245.84823183360001</v>
      </c>
      <c r="AE36" s="122">
        <f t="shared" si="17"/>
        <v>364.75335055359994</v>
      </c>
      <c r="AF36" s="123">
        <f t="shared" si="18"/>
        <v>302.44570306559996</v>
      </c>
      <c r="AG36" s="123">
        <f t="shared" si="19"/>
        <v>315.84823183360004</v>
      </c>
      <c r="AH36" s="123">
        <f t="shared" si="20"/>
        <v>0</v>
      </c>
      <c r="AI36" s="298">
        <f t="shared" si="21"/>
        <v>48376897663.307922</v>
      </c>
      <c r="AJ36" s="122">
        <v>116</v>
      </c>
      <c r="AK36" s="123">
        <v>118</v>
      </c>
      <c r="AL36" s="123">
        <v>118</v>
      </c>
      <c r="AM36" s="138">
        <f t="shared" si="22"/>
        <v>1648.7667527679998</v>
      </c>
      <c r="AN36" s="139">
        <f t="shared" si="23"/>
        <v>1662.2285153279997</v>
      </c>
      <c r="AO36" s="139">
        <f t="shared" si="24"/>
        <v>1679.241159168</v>
      </c>
      <c r="AP36" s="140">
        <v>8.7799999999999994</v>
      </c>
      <c r="AQ36" s="141">
        <v>8.8800000000000008</v>
      </c>
      <c r="AR36" s="141">
        <v>9.0299999999999994</v>
      </c>
      <c r="AS36" s="138">
        <f t="shared" si="25"/>
        <v>21.847449599999994</v>
      </c>
      <c r="AT36" s="139">
        <f t="shared" si="26"/>
        <v>22.096281599999998</v>
      </c>
      <c r="AU36" s="139">
        <f t="shared" si="27"/>
        <v>22.469529599999994</v>
      </c>
    </row>
    <row r="37" spans="1:47" ht="14.25" customHeight="1" x14ac:dyDescent="0.25">
      <c r="A37" s="10" t="s">
        <v>210</v>
      </c>
      <c r="B37" s="120" t="s">
        <v>333</v>
      </c>
      <c r="C37" s="142" t="s">
        <v>102</v>
      </c>
      <c r="D37" s="135" t="str">
        <f>IF(ISNUMBER(MATCH(Table10[[#This Row],[General]],COVENANTS!$A$2:$A$100,0)), "Y","N")</f>
        <v>N</v>
      </c>
      <c r="E37" s="135" t="str">
        <f>IF(ISNUMBER(MATCH(Table10[[#This Row],[General]],COVENANTS!$B$2:$B$100,0)), "Y","N")</f>
        <v>N</v>
      </c>
      <c r="F37" s="135" t="str">
        <f>IF(ISNUMBER(MATCH(Table10[[#This Row],[General]],COVENANTS!$C$2:$C$100,0)), "Y","N")</f>
        <v>N</v>
      </c>
      <c r="G37" s="135" t="str">
        <f>IF(ISNUMBER(MATCH(Table10[[#This Row],[General]],COVENANTS!$D$2:$D$100,0)), "Y","N")</f>
        <v>N</v>
      </c>
      <c r="H37" s="122">
        <v>25</v>
      </c>
      <c r="I37" s="123">
        <v>25</v>
      </c>
      <c r="J37" s="123">
        <v>25</v>
      </c>
      <c r="K37" s="123">
        <v>12</v>
      </c>
      <c r="L37" s="122">
        <v>35</v>
      </c>
      <c r="M37" s="123">
        <v>0</v>
      </c>
      <c r="N37" s="123">
        <v>0</v>
      </c>
      <c r="O37" s="123">
        <v>0</v>
      </c>
      <c r="P37" s="122">
        <v>75</v>
      </c>
      <c r="Q37" s="123">
        <v>20</v>
      </c>
      <c r="R37" s="123">
        <v>20</v>
      </c>
      <c r="S37" s="123">
        <v>10</v>
      </c>
      <c r="T37" s="122">
        <v>36</v>
      </c>
      <c r="U37" s="123">
        <v>0</v>
      </c>
      <c r="V37" s="123">
        <v>30</v>
      </c>
      <c r="W37" s="123">
        <v>0</v>
      </c>
      <c r="X37" s="122">
        <v>0</v>
      </c>
      <c r="Y37" s="123">
        <v>0</v>
      </c>
      <c r="Z37" s="123">
        <v>0</v>
      </c>
      <c r="AA37" s="123">
        <v>0</v>
      </c>
      <c r="AB37" s="136">
        <f t="shared" si="14"/>
        <v>210.63995566079998</v>
      </c>
      <c r="AC37" s="137">
        <f t="shared" si="15"/>
        <v>216.62668369919999</v>
      </c>
      <c r="AD37" s="137">
        <f t="shared" si="16"/>
        <v>242.06620881919994</v>
      </c>
      <c r="AE37" s="122">
        <f t="shared" si="17"/>
        <v>321.63995566079996</v>
      </c>
      <c r="AF37" s="123">
        <f t="shared" si="18"/>
        <v>236.62668369919999</v>
      </c>
      <c r="AG37" s="123">
        <f t="shared" si="19"/>
        <v>292.06620881919991</v>
      </c>
      <c r="AH37" s="123">
        <f t="shared" si="20"/>
        <v>10</v>
      </c>
      <c r="AI37" s="298">
        <f t="shared" si="21"/>
        <v>48364676257.661133</v>
      </c>
      <c r="AJ37" s="122">
        <v>106</v>
      </c>
      <c r="AK37" s="123">
        <v>100</v>
      </c>
      <c r="AL37" s="123">
        <v>113</v>
      </c>
      <c r="AM37" s="138">
        <f t="shared" si="22"/>
        <v>1503.1997783039999</v>
      </c>
      <c r="AN37" s="139">
        <f t="shared" si="23"/>
        <v>1533.1334184959999</v>
      </c>
      <c r="AO37" s="139">
        <f t="shared" si="24"/>
        <v>1660.3310440959997</v>
      </c>
      <c r="AP37" s="140">
        <v>7.59</v>
      </c>
      <c r="AQ37" s="141">
        <v>7.91</v>
      </c>
      <c r="AR37" s="141">
        <v>8.91</v>
      </c>
      <c r="AS37" s="138">
        <f t="shared" si="25"/>
        <v>18.886348799999997</v>
      </c>
      <c r="AT37" s="139">
        <f t="shared" si="26"/>
        <v>19.682611199999997</v>
      </c>
      <c r="AU37" s="139">
        <f t="shared" si="27"/>
        <v>22.170931199999995</v>
      </c>
    </row>
    <row r="38" spans="1:47" ht="14.25" customHeight="1" x14ac:dyDescent="0.25">
      <c r="A38" s="10" t="s">
        <v>211</v>
      </c>
      <c r="B38" s="120" t="s">
        <v>332</v>
      </c>
      <c r="C38" s="134" t="s">
        <v>105</v>
      </c>
      <c r="D38" s="135" t="str">
        <f>IF(ISNUMBER(MATCH(Table10[[#This Row],[General]],COVENANTS!$A$2:$A$100,0)), "Y","N")</f>
        <v>N</v>
      </c>
      <c r="E38" s="135" t="str">
        <f>IF(ISNUMBER(MATCH(Table10[[#This Row],[General]],COVENANTS!$B$2:$B$100,0)), "Y","N")</f>
        <v>N</v>
      </c>
      <c r="F38" s="135" t="str">
        <f>IF(ISNUMBER(MATCH(Table10[[#This Row],[General]],COVENANTS!$C$2:$C$100,0)), "Y","N")</f>
        <v>Y</v>
      </c>
      <c r="G38" s="135" t="str">
        <f>IF(ISNUMBER(MATCH(Table10[[#This Row],[General]],COVENANTS!$D$2:$D$100,0)), "Y","N")</f>
        <v>N</v>
      </c>
      <c r="H38" s="122">
        <v>25</v>
      </c>
      <c r="I38" s="123">
        <v>25</v>
      </c>
      <c r="J38" s="123">
        <v>25</v>
      </c>
      <c r="K38" s="123">
        <v>12</v>
      </c>
      <c r="L38" s="122">
        <v>30</v>
      </c>
      <c r="M38" s="123">
        <v>0</v>
      </c>
      <c r="N38" s="123">
        <v>40</v>
      </c>
      <c r="O38" s="123">
        <v>0</v>
      </c>
      <c r="P38" s="122">
        <v>65</v>
      </c>
      <c r="Q38" s="123">
        <v>60</v>
      </c>
      <c r="R38" s="123">
        <v>55</v>
      </c>
      <c r="S38" s="123">
        <v>0</v>
      </c>
      <c r="T38" s="122">
        <v>30</v>
      </c>
      <c r="U38" s="123">
        <v>36</v>
      </c>
      <c r="V38" s="123">
        <v>46</v>
      </c>
      <c r="W38" s="123">
        <v>6</v>
      </c>
      <c r="X38" s="122">
        <v>0</v>
      </c>
      <c r="Y38" s="123">
        <v>0</v>
      </c>
      <c r="Z38" s="123">
        <v>0</v>
      </c>
      <c r="AA38" s="123">
        <v>0</v>
      </c>
      <c r="AB38" s="136">
        <f t="shared" si="14"/>
        <v>234.83715128319997</v>
      </c>
      <c r="AC38" s="137">
        <f t="shared" si="15"/>
        <v>245.89273758719997</v>
      </c>
      <c r="AD38" s="137">
        <f t="shared" si="16"/>
        <v>232.75112826879999</v>
      </c>
      <c r="AE38" s="122">
        <f t="shared" si="17"/>
        <v>329.8371512832</v>
      </c>
      <c r="AF38" s="123">
        <f t="shared" si="18"/>
        <v>341.89273758719997</v>
      </c>
      <c r="AG38" s="123">
        <f t="shared" si="19"/>
        <v>333.75112826880002</v>
      </c>
      <c r="AH38" s="123">
        <f t="shared" si="20"/>
        <v>6</v>
      </c>
      <c r="AI38" s="298">
        <f t="shared" si="21"/>
        <v>47181104003.652222</v>
      </c>
      <c r="AJ38" s="122">
        <v>111</v>
      </c>
      <c r="AK38" s="123">
        <v>115</v>
      </c>
      <c r="AL38" s="123">
        <v>114</v>
      </c>
      <c r="AM38" s="138">
        <f t="shared" si="22"/>
        <v>1624.1857564159998</v>
      </c>
      <c r="AN38" s="139">
        <f t="shared" si="23"/>
        <v>1679.4636879359998</v>
      </c>
      <c r="AO38" s="139">
        <f t="shared" si="24"/>
        <v>1613.755641344</v>
      </c>
      <c r="AP38" s="140">
        <v>8.61</v>
      </c>
      <c r="AQ38" s="141">
        <v>9.06</v>
      </c>
      <c r="AR38" s="141">
        <v>8.49</v>
      </c>
      <c r="AS38" s="138">
        <f t="shared" si="25"/>
        <v>21.424435199999994</v>
      </c>
      <c r="AT38" s="139">
        <f t="shared" si="26"/>
        <v>22.544179199999999</v>
      </c>
      <c r="AU38" s="139">
        <f t="shared" si="27"/>
        <v>21.125836799999998</v>
      </c>
    </row>
    <row r="39" spans="1:47" ht="14.25" customHeight="1" x14ac:dyDescent="0.25">
      <c r="A39" s="10" t="s">
        <v>212</v>
      </c>
      <c r="B39" s="120" t="s">
        <v>333</v>
      </c>
      <c r="C39" s="142" t="s">
        <v>295</v>
      </c>
      <c r="D39" s="135" t="str">
        <f>IF(ISNUMBER(MATCH(Table10[[#This Row],[General]],COVENANTS!$A$2:$A$100,0)), "Y","N")</f>
        <v>N</v>
      </c>
      <c r="E39" s="135" t="str">
        <f>IF(ISNUMBER(MATCH(Table10[[#This Row],[General]],COVENANTS!$B$2:$B$100,0)), "Y","N")</f>
        <v>N</v>
      </c>
      <c r="F39" s="135" t="str">
        <f>IF(ISNUMBER(MATCH(Table10[[#This Row],[General]],COVENANTS!$C$2:$C$100,0)), "Y","N")</f>
        <v>N</v>
      </c>
      <c r="G39" s="135" t="str">
        <f>IF(ISNUMBER(MATCH(Table10[[#This Row],[General]],COVENANTS!$D$2:$D$100,0)), "Y","N")</f>
        <v>N</v>
      </c>
      <c r="H39" s="122">
        <v>25</v>
      </c>
      <c r="I39" s="123">
        <v>25</v>
      </c>
      <c r="J39" s="123">
        <v>25</v>
      </c>
      <c r="K39" s="123">
        <v>12</v>
      </c>
      <c r="L39" s="122">
        <v>20</v>
      </c>
      <c r="M39" s="123">
        <v>0</v>
      </c>
      <c r="N39" s="123">
        <v>0</v>
      </c>
      <c r="O39" s="123">
        <v>0</v>
      </c>
      <c r="P39" s="122">
        <v>40</v>
      </c>
      <c r="Q39" s="123">
        <v>30</v>
      </c>
      <c r="R39" s="123">
        <v>0</v>
      </c>
      <c r="S39" s="123">
        <v>10</v>
      </c>
      <c r="T39" s="122">
        <v>32</v>
      </c>
      <c r="U39" s="123">
        <v>0</v>
      </c>
      <c r="V39" s="123">
        <v>10</v>
      </c>
      <c r="W39" s="123">
        <v>0</v>
      </c>
      <c r="X39" s="122">
        <v>0</v>
      </c>
      <c r="Y39" s="123">
        <v>0</v>
      </c>
      <c r="Z39" s="123">
        <v>0</v>
      </c>
      <c r="AA39" s="123">
        <v>0</v>
      </c>
      <c r="AB39" s="136">
        <f t="shared" si="14"/>
        <v>229.57543475199995</v>
      </c>
      <c r="AC39" s="137">
        <f t="shared" si="15"/>
        <v>230.72444625920002</v>
      </c>
      <c r="AD39" s="137">
        <f t="shared" si="16"/>
        <v>245.11891384319998</v>
      </c>
      <c r="AE39" s="122">
        <f t="shared" si="17"/>
        <v>301.57543475199998</v>
      </c>
      <c r="AF39" s="123">
        <f t="shared" si="18"/>
        <v>260.72444625920002</v>
      </c>
      <c r="AG39" s="123">
        <f t="shared" si="19"/>
        <v>255.11891384319998</v>
      </c>
      <c r="AH39" s="123">
        <f t="shared" si="20"/>
        <v>10</v>
      </c>
      <c r="AI39" s="298">
        <f t="shared" si="21"/>
        <v>45656261485.36615</v>
      </c>
      <c r="AJ39" s="122">
        <v>114</v>
      </c>
      <c r="AK39" s="123">
        <v>113</v>
      </c>
      <c r="AL39" s="123">
        <v>106</v>
      </c>
      <c r="AM39" s="138">
        <f t="shared" si="22"/>
        <v>1597.8771737599998</v>
      </c>
      <c r="AN39" s="139">
        <f t="shared" si="23"/>
        <v>1603.6222312960001</v>
      </c>
      <c r="AO39" s="139">
        <f t="shared" si="24"/>
        <v>1675.5945692159999</v>
      </c>
      <c r="AP39" s="140">
        <v>8.35</v>
      </c>
      <c r="AQ39" s="141">
        <v>8.41</v>
      </c>
      <c r="AR39" s="141">
        <v>9.11</v>
      </c>
      <c r="AS39" s="138">
        <f t="shared" si="25"/>
        <v>20.777471999999996</v>
      </c>
      <c r="AT39" s="139">
        <f t="shared" si="26"/>
        <v>20.926771200000001</v>
      </c>
      <c r="AU39" s="139">
        <f t="shared" si="27"/>
        <v>22.668595199999995</v>
      </c>
    </row>
    <row r="40" spans="1:47" ht="14.25" customHeight="1" x14ac:dyDescent="0.25">
      <c r="A40" s="10" t="s">
        <v>213</v>
      </c>
      <c r="B40" s="209" t="s">
        <v>332</v>
      </c>
      <c r="C40" s="134" t="s">
        <v>108</v>
      </c>
      <c r="D40" s="135" t="str">
        <f>IF(ISNUMBER(MATCH(Table10[[#This Row],[General]],COVENANTS!$A$2:$A$100,0)), "Y","N")</f>
        <v>N</v>
      </c>
      <c r="E40" s="135" t="str">
        <f>IF(ISNUMBER(MATCH(Table10[[#This Row],[General]],COVENANTS!$B$2:$B$100,0)), "Y","N")</f>
        <v>N</v>
      </c>
      <c r="F40" s="135" t="str">
        <f>IF(ISNUMBER(MATCH(Table10[[#This Row],[General]],COVENANTS!$C$2:$C$100,0)), "Y","N")</f>
        <v>Y</v>
      </c>
      <c r="G40" s="135" t="str">
        <f>IF(ISNUMBER(MATCH(Table10[[#This Row],[General]],COVENANTS!$D$2:$D$100,0)), "Y","N")</f>
        <v>N</v>
      </c>
      <c r="H40" s="122">
        <v>25</v>
      </c>
      <c r="I40" s="123">
        <v>25</v>
      </c>
      <c r="J40" s="123">
        <v>25</v>
      </c>
      <c r="K40" s="123">
        <v>12</v>
      </c>
      <c r="L40" s="122">
        <v>30</v>
      </c>
      <c r="M40" s="123">
        <v>15</v>
      </c>
      <c r="N40" s="211">
        <v>0</v>
      </c>
      <c r="O40" s="211">
        <v>0</v>
      </c>
      <c r="P40" s="213">
        <v>60</v>
      </c>
      <c r="Q40" s="211">
        <v>35</v>
      </c>
      <c r="R40" s="211">
        <v>20</v>
      </c>
      <c r="S40" s="211">
        <v>0</v>
      </c>
      <c r="T40" s="213">
        <v>26</v>
      </c>
      <c r="U40" s="211">
        <v>10</v>
      </c>
      <c r="V40" s="211">
        <v>20</v>
      </c>
      <c r="W40" s="211">
        <v>0</v>
      </c>
      <c r="X40" s="213">
        <v>0</v>
      </c>
      <c r="Y40" s="211">
        <v>0</v>
      </c>
      <c r="Z40" s="211">
        <v>0</v>
      </c>
      <c r="AA40" s="211">
        <v>0</v>
      </c>
      <c r="AB40" s="215">
        <f t="shared" si="14"/>
        <v>246.5287375872</v>
      </c>
      <c r="AC40" s="217">
        <f t="shared" si="15"/>
        <v>241.34119731199999</v>
      </c>
      <c r="AD40" s="217">
        <f t="shared" si="16"/>
        <v>243.62438507519997</v>
      </c>
      <c r="AE40" s="213">
        <f t="shared" si="17"/>
        <v>332.5287375872</v>
      </c>
      <c r="AF40" s="211">
        <f t="shared" si="18"/>
        <v>286.34119731199996</v>
      </c>
      <c r="AG40" s="211">
        <f t="shared" si="19"/>
        <v>283.62438507519994</v>
      </c>
      <c r="AH40" s="211">
        <f t="shared" si="20"/>
        <v>0</v>
      </c>
      <c r="AI40" s="299">
        <f t="shared" si="21"/>
        <v>44102977214.464355</v>
      </c>
      <c r="AJ40" s="213">
        <v>118</v>
      </c>
      <c r="AK40" s="211">
        <v>116</v>
      </c>
      <c r="AL40" s="211">
        <v>115</v>
      </c>
      <c r="AM40" s="219">
        <f t="shared" si="22"/>
        <v>1682.6436879359999</v>
      </c>
      <c r="AN40" s="221">
        <f t="shared" si="23"/>
        <v>1656.7059865599999</v>
      </c>
      <c r="AO40" s="221">
        <f t="shared" si="24"/>
        <v>1668.1219253759998</v>
      </c>
      <c r="AP40" s="223">
        <v>9.06</v>
      </c>
      <c r="AQ40" s="225">
        <v>8.85</v>
      </c>
      <c r="AR40" s="225">
        <v>8.9600000000000009</v>
      </c>
      <c r="AS40" s="219">
        <f t="shared" si="25"/>
        <v>22.544179199999999</v>
      </c>
      <c r="AT40" s="221">
        <f t="shared" si="26"/>
        <v>22.021631999999993</v>
      </c>
      <c r="AU40" s="221">
        <f t="shared" si="27"/>
        <v>22.295347199999998</v>
      </c>
    </row>
    <row r="41" spans="1:47" ht="14.25" customHeight="1" x14ac:dyDescent="0.25">
      <c r="A41" s="10" t="s">
        <v>214</v>
      </c>
      <c r="B41" s="209" t="s">
        <v>333</v>
      </c>
      <c r="C41" s="142" t="s">
        <v>107</v>
      </c>
      <c r="D41" s="135" t="str">
        <f>IF(ISNUMBER(MATCH(Table10[[#This Row],[General]],COVENANTS!$A$2:$A$100,0)), "Y","N")</f>
        <v>N</v>
      </c>
      <c r="E41" s="135" t="str">
        <f>IF(ISNUMBER(MATCH(Table10[[#This Row],[General]],COVENANTS!$B$2:$B$100,0)), "Y","N")</f>
        <v>Y</v>
      </c>
      <c r="F41" s="135" t="str">
        <f>IF(ISNUMBER(MATCH(Table10[[#This Row],[General]],COVENANTS!$C$2:$C$100,0)), "Y","N")</f>
        <v>N</v>
      </c>
      <c r="G41" s="135" t="str">
        <f>IF(ISNUMBER(MATCH(Table10[[#This Row],[General]],COVENANTS!$D$2:$D$100,0)), "Y","N")</f>
        <v>N</v>
      </c>
      <c r="H41" s="122">
        <v>25</v>
      </c>
      <c r="I41" s="123">
        <v>25</v>
      </c>
      <c r="J41" s="123">
        <v>0</v>
      </c>
      <c r="K41" s="123">
        <v>12</v>
      </c>
      <c r="L41" s="122">
        <v>0</v>
      </c>
      <c r="M41" s="123">
        <v>0</v>
      </c>
      <c r="N41" s="211">
        <v>35</v>
      </c>
      <c r="O41" s="211">
        <v>0</v>
      </c>
      <c r="P41" s="213">
        <v>40</v>
      </c>
      <c r="Q41" s="211">
        <v>15</v>
      </c>
      <c r="R41" s="211">
        <v>55</v>
      </c>
      <c r="S41" s="211">
        <v>10</v>
      </c>
      <c r="T41" s="213">
        <v>20</v>
      </c>
      <c r="U41" s="211">
        <v>30</v>
      </c>
      <c r="V41" s="211">
        <v>20</v>
      </c>
      <c r="W41" s="211">
        <v>0</v>
      </c>
      <c r="X41" s="213">
        <v>0</v>
      </c>
      <c r="Y41" s="211">
        <v>0</v>
      </c>
      <c r="Z41" s="211">
        <v>0</v>
      </c>
      <c r="AA41" s="211">
        <v>0</v>
      </c>
      <c r="AB41" s="215">
        <f t="shared" si="14"/>
        <v>217.06551895039996</v>
      </c>
      <c r="AC41" s="217">
        <f t="shared" si="15"/>
        <v>228.95427000319998</v>
      </c>
      <c r="AD41" s="217">
        <f t="shared" si="16"/>
        <v>251.35161886719999</v>
      </c>
      <c r="AE41" s="213">
        <f t="shared" si="17"/>
        <v>277.06551895039996</v>
      </c>
      <c r="AF41" s="211">
        <f t="shared" si="18"/>
        <v>273.95427000320001</v>
      </c>
      <c r="AG41" s="211">
        <f t="shared" si="19"/>
        <v>326.35161886719999</v>
      </c>
      <c r="AH41" s="211">
        <f t="shared" si="20"/>
        <v>10</v>
      </c>
      <c r="AI41" s="299">
        <f t="shared" si="21"/>
        <v>42347783883.209839</v>
      </c>
      <c r="AJ41" s="213">
        <v>101</v>
      </c>
      <c r="AK41" s="211">
        <v>110</v>
      </c>
      <c r="AL41" s="211">
        <v>114</v>
      </c>
      <c r="AM41" s="219">
        <f t="shared" si="22"/>
        <v>1535.3275947519999</v>
      </c>
      <c r="AN41" s="221">
        <f t="shared" si="23"/>
        <v>1594.7713500159998</v>
      </c>
      <c r="AO41" s="221">
        <f t="shared" si="24"/>
        <v>1706.7580943359999</v>
      </c>
      <c r="AP41" s="223">
        <v>7.92</v>
      </c>
      <c r="AQ41" s="225">
        <v>8.36</v>
      </c>
      <c r="AR41" s="225">
        <v>9.31</v>
      </c>
      <c r="AS41" s="219">
        <f t="shared" si="25"/>
        <v>19.707494399999998</v>
      </c>
      <c r="AT41" s="221">
        <f t="shared" si="26"/>
        <v>20.802355199999994</v>
      </c>
      <c r="AU41" s="221">
        <f t="shared" si="27"/>
        <v>23.166259199999995</v>
      </c>
    </row>
    <row r="42" spans="1:47" ht="14.25" customHeight="1" x14ac:dyDescent="0.25">
      <c r="A42" s="10" t="s">
        <v>215</v>
      </c>
      <c r="B42" s="120" t="s">
        <v>332</v>
      </c>
      <c r="C42" s="121" t="s">
        <v>627</v>
      </c>
      <c r="D42" s="135" t="str">
        <f>IF(ISNUMBER(MATCH(Table10[[#This Row],[General]],COVENANTS!$A$2:$A$100,0)), "Y","N")</f>
        <v>N</v>
      </c>
      <c r="E42" s="135" t="str">
        <f>IF(ISNUMBER(MATCH(Table10[[#This Row],[General]],COVENANTS!$B$2:$B$100,0)), "Y","N")</f>
        <v>Y</v>
      </c>
      <c r="F42" s="135" t="str">
        <f>IF(ISNUMBER(MATCH(Table10[[#This Row],[General]],COVENANTS!$C$2:$C$100,0)), "Y","N")</f>
        <v>N</v>
      </c>
      <c r="G42" s="135" t="str">
        <f>IF(ISNUMBER(MATCH(Table10[[#This Row],[General]],COVENANTS!$D$2:$D$100,0)), "Y","N")</f>
        <v>N</v>
      </c>
      <c r="H42" s="122">
        <v>25</v>
      </c>
      <c r="I42" s="123">
        <v>25</v>
      </c>
      <c r="J42" s="123">
        <v>25</v>
      </c>
      <c r="K42" s="123">
        <v>12</v>
      </c>
      <c r="L42" s="122">
        <v>0</v>
      </c>
      <c r="M42" s="123">
        <v>0</v>
      </c>
      <c r="N42" s="123">
        <v>0</v>
      </c>
      <c r="O42" s="123">
        <v>0</v>
      </c>
      <c r="P42" s="122">
        <v>30</v>
      </c>
      <c r="Q42" s="123">
        <v>15</v>
      </c>
      <c r="R42" s="123">
        <v>15</v>
      </c>
      <c r="S42" s="123">
        <v>10</v>
      </c>
      <c r="T42" s="122">
        <v>20</v>
      </c>
      <c r="U42" s="123">
        <v>10</v>
      </c>
      <c r="V42" s="123">
        <v>0</v>
      </c>
      <c r="W42" s="123">
        <v>0</v>
      </c>
      <c r="X42" s="122">
        <v>0</v>
      </c>
      <c r="Y42" s="123">
        <v>0</v>
      </c>
      <c r="Z42" s="123">
        <v>0</v>
      </c>
      <c r="AA42" s="123">
        <v>0</v>
      </c>
      <c r="AB42" s="136">
        <f t="shared" si="14"/>
        <v>217.65701319679999</v>
      </c>
      <c r="AC42" s="137">
        <f t="shared" si="15"/>
        <v>222.93356497919999</v>
      </c>
      <c r="AD42" s="137">
        <f t="shared" si="16"/>
        <v>253.83197137919998</v>
      </c>
      <c r="AE42" s="122">
        <f t="shared" si="17"/>
        <v>267.65701319679999</v>
      </c>
      <c r="AF42" s="123">
        <f t="shared" si="18"/>
        <v>247.93356497919999</v>
      </c>
      <c r="AG42" s="123">
        <f t="shared" si="19"/>
        <v>268.83197137920001</v>
      </c>
      <c r="AH42" s="123">
        <f t="shared" si="20"/>
        <v>10</v>
      </c>
      <c r="AI42" s="298">
        <f t="shared" si="21"/>
        <v>41077774193.763611</v>
      </c>
      <c r="AJ42" s="122">
        <v>107</v>
      </c>
      <c r="AK42" s="123">
        <v>103</v>
      </c>
      <c r="AL42" s="123">
        <v>115</v>
      </c>
      <c r="AM42" s="138">
        <f t="shared" si="22"/>
        <v>1538.2850659839999</v>
      </c>
      <c r="AN42" s="139">
        <f t="shared" si="23"/>
        <v>1564.667824896</v>
      </c>
      <c r="AO42" s="139">
        <f t="shared" si="24"/>
        <v>1719.1598568959998</v>
      </c>
      <c r="AP42" s="140">
        <v>7.89</v>
      </c>
      <c r="AQ42" s="141">
        <v>8.16</v>
      </c>
      <c r="AR42" s="141">
        <v>9.41</v>
      </c>
      <c r="AS42" s="138">
        <f t="shared" si="25"/>
        <v>19.632844799999997</v>
      </c>
      <c r="AT42" s="139">
        <f t="shared" si="26"/>
        <v>20.304691199999997</v>
      </c>
      <c r="AU42" s="139">
        <f t="shared" si="27"/>
        <v>23.415091199999996</v>
      </c>
    </row>
    <row r="43" spans="1:47" ht="14.25" customHeight="1" x14ac:dyDescent="0.25">
      <c r="A43" s="10" t="s">
        <v>216</v>
      </c>
      <c r="B43" s="120" t="s">
        <v>333</v>
      </c>
      <c r="C43" s="142" t="s">
        <v>40</v>
      </c>
      <c r="D43" s="135" t="str">
        <f>IF(ISNUMBER(MATCH(Table10[[#This Row],[General]],COVENANTS!$A$2:$A$100,0)), "Y","N")</f>
        <v>N</v>
      </c>
      <c r="E43" s="135" t="str">
        <f>IF(ISNUMBER(MATCH(Table10[[#This Row],[General]],COVENANTS!$B$2:$B$100,0)), "Y","N")</f>
        <v>N</v>
      </c>
      <c r="F43" s="135" t="str">
        <f>IF(ISNUMBER(MATCH(Table10[[#This Row],[General]],COVENANTS!$C$2:$C$100,0)), "Y","N")</f>
        <v>N</v>
      </c>
      <c r="G43" s="135" t="str">
        <f>IF(ISNUMBER(MATCH(Table10[[#This Row],[General]],COVENANTS!$D$2:$D$100,0)), "Y","N")</f>
        <v>N</v>
      </c>
      <c r="H43" s="122">
        <v>25</v>
      </c>
      <c r="I43" s="123">
        <v>25</v>
      </c>
      <c r="J43" s="123">
        <v>25</v>
      </c>
      <c r="K43" s="123">
        <v>12</v>
      </c>
      <c r="L43" s="122">
        <v>0</v>
      </c>
      <c r="M43" s="123">
        <v>10</v>
      </c>
      <c r="N43" s="123">
        <v>0</v>
      </c>
      <c r="O43" s="123">
        <v>0</v>
      </c>
      <c r="P43" s="122">
        <v>10</v>
      </c>
      <c r="Q43" s="123">
        <v>20</v>
      </c>
      <c r="R43" s="123">
        <v>10</v>
      </c>
      <c r="S43" s="123">
        <v>10</v>
      </c>
      <c r="T43" s="122">
        <v>6</v>
      </c>
      <c r="U43" s="123">
        <v>10</v>
      </c>
      <c r="V43" s="123">
        <v>36</v>
      </c>
      <c r="W43" s="123">
        <v>0</v>
      </c>
      <c r="X43" s="122">
        <v>0</v>
      </c>
      <c r="Y43" s="123">
        <v>0</v>
      </c>
      <c r="Z43" s="123">
        <v>0</v>
      </c>
      <c r="AA43" s="123">
        <v>0</v>
      </c>
      <c r="AB43" s="136">
        <f t="shared" si="14"/>
        <v>226.94242324479998</v>
      </c>
      <c r="AC43" s="137">
        <f t="shared" si="15"/>
        <v>232.32712826879998</v>
      </c>
      <c r="AD43" s="137">
        <f t="shared" si="16"/>
        <v>247.7667606016</v>
      </c>
      <c r="AE43" s="122">
        <f t="shared" si="17"/>
        <v>242.94242324479998</v>
      </c>
      <c r="AF43" s="123">
        <f t="shared" si="18"/>
        <v>262.32712826879998</v>
      </c>
      <c r="AG43" s="123">
        <f t="shared" si="19"/>
        <v>293.76676060160003</v>
      </c>
      <c r="AH43" s="123">
        <f t="shared" si="20"/>
        <v>10</v>
      </c>
      <c r="AI43" s="298">
        <f t="shared" si="21"/>
        <v>37741668596.153564</v>
      </c>
      <c r="AJ43" s="122">
        <v>108</v>
      </c>
      <c r="AK43" s="123">
        <v>112</v>
      </c>
      <c r="AL43" s="123">
        <v>111</v>
      </c>
      <c r="AM43" s="138">
        <f t="shared" si="22"/>
        <v>1584.7121162239998</v>
      </c>
      <c r="AN43" s="139">
        <f t="shared" si="23"/>
        <v>1611.6356413439999</v>
      </c>
      <c r="AO43" s="139">
        <f t="shared" si="24"/>
        <v>1688.8338030079999</v>
      </c>
      <c r="AP43" s="140">
        <v>8.2899999999999991</v>
      </c>
      <c r="AQ43" s="141">
        <v>8.49</v>
      </c>
      <c r="AR43" s="141">
        <v>9.18</v>
      </c>
      <c r="AS43" s="138">
        <f t="shared" si="25"/>
        <v>20.628172799999994</v>
      </c>
      <c r="AT43" s="139">
        <f t="shared" si="26"/>
        <v>21.125836799999998</v>
      </c>
      <c r="AU43" s="139">
        <f t="shared" si="27"/>
        <v>22.842777599999998</v>
      </c>
    </row>
    <row r="44" spans="1:47" ht="14.25" customHeight="1" x14ac:dyDescent="0.25">
      <c r="A44" s="10" t="s">
        <v>217</v>
      </c>
      <c r="B44" s="349"/>
      <c r="C44" s="121"/>
      <c r="D44" s="135" t="str">
        <f>IF(ISNUMBER(MATCH(Table10[[#This Row],[General]],COVENANTS!$A$2:$A$100,0)), "Y","N")</f>
        <v>N</v>
      </c>
      <c r="E44" s="135" t="str">
        <f>IF(ISNUMBER(MATCH(Table10[[#This Row],[General]],COVENANTS!$B$2:$B$100,0)), "Y","N")</f>
        <v>N</v>
      </c>
      <c r="F44" s="135" t="str">
        <f>IF(ISNUMBER(MATCH(Table10[[#This Row],[General]],COVENANTS!$C$2:$C$100,0)), "Y","N")</f>
        <v>N</v>
      </c>
      <c r="G44" s="135" t="str">
        <f>IF(ISNUMBER(MATCH(Table10[[#This Row],[General]],COVENANTS!$D$2:$D$100,0)), "Y","N")</f>
        <v>N</v>
      </c>
      <c r="H44" s="122">
        <v>0</v>
      </c>
      <c r="I44" s="123">
        <v>0</v>
      </c>
      <c r="J44" s="123">
        <v>0</v>
      </c>
      <c r="K44" s="123">
        <v>0</v>
      </c>
      <c r="L44" s="122">
        <v>0</v>
      </c>
      <c r="M44" s="123">
        <v>0</v>
      </c>
      <c r="N44" s="113">
        <v>0</v>
      </c>
      <c r="O44" s="113">
        <v>0</v>
      </c>
      <c r="P44" s="97">
        <v>0</v>
      </c>
      <c r="Q44" s="113">
        <v>0</v>
      </c>
      <c r="R44" s="113">
        <v>0</v>
      </c>
      <c r="S44" s="113">
        <v>0</v>
      </c>
      <c r="T44" s="97">
        <v>0</v>
      </c>
      <c r="U44" s="113">
        <v>0</v>
      </c>
      <c r="V44" s="113">
        <v>0</v>
      </c>
      <c r="W44" s="113">
        <v>0</v>
      </c>
      <c r="X44" s="97">
        <v>0</v>
      </c>
      <c r="Y44" s="113">
        <v>0</v>
      </c>
      <c r="Z44" s="113">
        <v>0</v>
      </c>
      <c r="AA44" s="113">
        <v>0</v>
      </c>
      <c r="AB44" s="114">
        <f t="shared" si="14"/>
        <v>16</v>
      </c>
      <c r="AC44" s="115">
        <f t="shared" si="15"/>
        <v>16</v>
      </c>
      <c r="AD44" s="115">
        <f t="shared" si="16"/>
        <v>16</v>
      </c>
      <c r="AE44" s="97">
        <f t="shared" si="17"/>
        <v>16</v>
      </c>
      <c r="AF44" s="113">
        <f t="shared" si="18"/>
        <v>16</v>
      </c>
      <c r="AG44" s="113">
        <f t="shared" si="19"/>
        <v>16</v>
      </c>
      <c r="AH44" s="113">
        <f t="shared" si="20"/>
        <v>0</v>
      </c>
      <c r="AI44" s="300">
        <f t="shared" si="21"/>
        <v>2122065120</v>
      </c>
      <c r="AJ44" s="97">
        <v>0</v>
      </c>
      <c r="AK44" s="113">
        <v>0</v>
      </c>
      <c r="AL44" s="113">
        <v>0</v>
      </c>
      <c r="AM44" s="116">
        <f t="shared" si="22"/>
        <v>530</v>
      </c>
      <c r="AN44" s="117">
        <f t="shared" si="23"/>
        <v>530</v>
      </c>
      <c r="AO44" s="117">
        <f t="shared" si="24"/>
        <v>530</v>
      </c>
      <c r="AP44" s="118">
        <v>0</v>
      </c>
      <c r="AQ44" s="119">
        <v>0</v>
      </c>
      <c r="AR44" s="119">
        <v>0</v>
      </c>
      <c r="AS44" s="116">
        <f t="shared" si="25"/>
        <v>0</v>
      </c>
      <c r="AT44" s="117">
        <f t="shared" si="26"/>
        <v>0</v>
      </c>
      <c r="AU44" s="117">
        <f t="shared" si="27"/>
        <v>0</v>
      </c>
    </row>
    <row r="45" spans="1:47" ht="14.25" customHeight="1" x14ac:dyDescent="0.25">
      <c r="A45" s="10" t="s">
        <v>218</v>
      </c>
      <c r="B45" s="104"/>
      <c r="C45" s="121"/>
      <c r="D45" s="350" t="str">
        <f>IF(ISNUMBER(MATCH(Table10[[#This Row],[General]],COVENANTS!$A$2:$A$100,0)), "Y","N")</f>
        <v>N</v>
      </c>
      <c r="E45" s="350" t="str">
        <f>IF(ISNUMBER(MATCH(Table10[[#This Row],[General]],COVENANTS!$B$2:$B$100,0)), "Y","N")</f>
        <v>N</v>
      </c>
      <c r="F45" s="350" t="str">
        <f>IF(ISNUMBER(MATCH(Table10[[#This Row],[General]],COVENANTS!$C$2:$C$100,0)), "Y","N")</f>
        <v>N</v>
      </c>
      <c r="G45" s="135" t="str">
        <f>IF(ISNUMBER(MATCH(Table10[[#This Row],[General]],COVENANTS!$D$2:$D$100,0)), "Y","N")</f>
        <v>N</v>
      </c>
      <c r="H45" s="122">
        <v>0</v>
      </c>
      <c r="I45" s="123">
        <v>0</v>
      </c>
      <c r="J45" s="123">
        <v>0</v>
      </c>
      <c r="K45" s="123">
        <v>0</v>
      </c>
      <c r="L45" s="122">
        <v>0</v>
      </c>
      <c r="M45" s="123">
        <v>0</v>
      </c>
      <c r="N45" s="105">
        <v>0</v>
      </c>
      <c r="O45" s="105">
        <v>0</v>
      </c>
      <c r="P45" s="106">
        <v>0</v>
      </c>
      <c r="Q45" s="105">
        <v>0</v>
      </c>
      <c r="R45" s="105">
        <v>0</v>
      </c>
      <c r="S45" s="105">
        <v>0</v>
      </c>
      <c r="T45" s="106">
        <v>0</v>
      </c>
      <c r="U45" s="105">
        <v>0</v>
      </c>
      <c r="V45" s="105">
        <v>0</v>
      </c>
      <c r="W45" s="105">
        <v>0</v>
      </c>
      <c r="X45" s="106">
        <v>0</v>
      </c>
      <c r="Y45" s="105">
        <v>0</v>
      </c>
      <c r="Z45" s="105">
        <v>0</v>
      </c>
      <c r="AA45" s="105">
        <v>0</v>
      </c>
      <c r="AB45" s="107">
        <f t="shared" si="14"/>
        <v>16</v>
      </c>
      <c r="AC45" s="108">
        <f t="shared" si="15"/>
        <v>16</v>
      </c>
      <c r="AD45" s="108">
        <f t="shared" si="16"/>
        <v>16</v>
      </c>
      <c r="AE45" s="106">
        <f t="shared" si="17"/>
        <v>16</v>
      </c>
      <c r="AF45" s="105">
        <f t="shared" si="18"/>
        <v>16</v>
      </c>
      <c r="AG45" s="105">
        <f t="shared" si="19"/>
        <v>16</v>
      </c>
      <c r="AH45" s="105">
        <f t="shared" si="20"/>
        <v>0</v>
      </c>
      <c r="AI45" s="297">
        <f t="shared" si="21"/>
        <v>2122065120</v>
      </c>
      <c r="AJ45" s="106">
        <v>0</v>
      </c>
      <c r="AK45" s="105">
        <v>0</v>
      </c>
      <c r="AL45" s="105">
        <v>0</v>
      </c>
      <c r="AM45" s="109">
        <f t="shared" si="22"/>
        <v>530</v>
      </c>
      <c r="AN45" s="110">
        <f t="shared" si="23"/>
        <v>530</v>
      </c>
      <c r="AO45" s="110">
        <f t="shared" si="24"/>
        <v>530</v>
      </c>
      <c r="AP45" s="111">
        <v>0</v>
      </c>
      <c r="AQ45" s="112">
        <v>0</v>
      </c>
      <c r="AR45" s="112">
        <v>0</v>
      </c>
      <c r="AS45" s="109">
        <f t="shared" si="25"/>
        <v>0</v>
      </c>
      <c r="AT45" s="110">
        <f t="shared" si="26"/>
        <v>0</v>
      </c>
      <c r="AU45" s="117">
        <f t="shared" si="27"/>
        <v>0</v>
      </c>
    </row>
    <row r="46" spans="1:47" ht="14.25" customHeight="1" x14ac:dyDescent="0.25">
      <c r="A46" s="10" t="s">
        <v>434</v>
      </c>
      <c r="B46" s="104"/>
      <c r="C46" s="121"/>
      <c r="D46" s="350" t="str">
        <f>IF(ISNUMBER(MATCH(Table10[[#This Row],[General]],COVENANTS!$A$2:$A$100,0)), "Y","N")</f>
        <v>N</v>
      </c>
      <c r="E46" s="350" t="str">
        <f>IF(ISNUMBER(MATCH(Table10[[#This Row],[General]],COVENANTS!$B$2:$B$100,0)), "Y","N")</f>
        <v>N</v>
      </c>
      <c r="F46" s="350" t="str">
        <f>IF(ISNUMBER(MATCH(Table10[[#This Row],[General]],COVENANTS!$C$2:$C$100,0)), "Y","N")</f>
        <v>N</v>
      </c>
      <c r="G46" s="135" t="str">
        <f>IF(ISNUMBER(MATCH(Table10[[#This Row],[General]],COVENANTS!$D$2:$D$100,0)), "Y","N")</f>
        <v>N</v>
      </c>
      <c r="H46" s="122">
        <v>0</v>
      </c>
      <c r="I46" s="123">
        <v>0</v>
      </c>
      <c r="J46" s="123">
        <v>0</v>
      </c>
      <c r="K46" s="123">
        <v>0</v>
      </c>
      <c r="L46" s="122">
        <v>0</v>
      </c>
      <c r="M46" s="123">
        <v>0</v>
      </c>
      <c r="N46" s="105">
        <v>0</v>
      </c>
      <c r="O46" s="105">
        <v>0</v>
      </c>
      <c r="P46" s="106">
        <v>0</v>
      </c>
      <c r="Q46" s="105">
        <v>0</v>
      </c>
      <c r="R46" s="105">
        <v>0</v>
      </c>
      <c r="S46" s="105">
        <v>0</v>
      </c>
      <c r="T46" s="106">
        <v>0</v>
      </c>
      <c r="U46" s="105">
        <v>0</v>
      </c>
      <c r="V46" s="105">
        <v>0</v>
      </c>
      <c r="W46" s="105">
        <v>0</v>
      </c>
      <c r="X46" s="106">
        <v>0</v>
      </c>
      <c r="Y46" s="105">
        <v>0</v>
      </c>
      <c r="Z46" s="105">
        <v>0</v>
      </c>
      <c r="AA46" s="105">
        <v>0</v>
      </c>
      <c r="AB46" s="107">
        <f t="shared" si="14"/>
        <v>16</v>
      </c>
      <c r="AC46" s="108">
        <f t="shared" si="15"/>
        <v>16</v>
      </c>
      <c r="AD46" s="108">
        <f t="shared" si="16"/>
        <v>16</v>
      </c>
      <c r="AE46" s="106">
        <f t="shared" si="17"/>
        <v>16</v>
      </c>
      <c r="AF46" s="105">
        <f t="shared" si="18"/>
        <v>16</v>
      </c>
      <c r="AG46" s="105">
        <f t="shared" si="19"/>
        <v>16</v>
      </c>
      <c r="AH46" s="105">
        <f t="shared" si="20"/>
        <v>0</v>
      </c>
      <c r="AI46" s="297">
        <f t="shared" si="21"/>
        <v>2122065120</v>
      </c>
      <c r="AJ46" s="106">
        <v>0</v>
      </c>
      <c r="AK46" s="105">
        <v>0</v>
      </c>
      <c r="AL46" s="105">
        <v>0</v>
      </c>
      <c r="AM46" s="109">
        <f t="shared" si="22"/>
        <v>530</v>
      </c>
      <c r="AN46" s="110">
        <f t="shared" si="23"/>
        <v>530</v>
      </c>
      <c r="AO46" s="110">
        <f t="shared" si="24"/>
        <v>530</v>
      </c>
      <c r="AP46" s="111">
        <v>0</v>
      </c>
      <c r="AQ46" s="112">
        <v>0</v>
      </c>
      <c r="AR46" s="112">
        <v>0</v>
      </c>
      <c r="AS46" s="109">
        <f t="shared" si="25"/>
        <v>0</v>
      </c>
      <c r="AT46" s="110">
        <f t="shared" si="26"/>
        <v>0</v>
      </c>
      <c r="AU46" s="117">
        <f t="shared" si="27"/>
        <v>0</v>
      </c>
    </row>
    <row r="47" spans="1:47" ht="14.25" customHeight="1" x14ac:dyDescent="0.25">
      <c r="A47" s="10" t="s">
        <v>435</v>
      </c>
      <c r="B47" s="104"/>
      <c r="C47" s="121"/>
      <c r="D47" s="350" t="str">
        <f>IF(ISNUMBER(MATCH(Table10[[#This Row],[General]],COVENANTS!$A$2:$A$100,0)), "Y","N")</f>
        <v>N</v>
      </c>
      <c r="E47" s="350" t="str">
        <f>IF(ISNUMBER(MATCH(Table10[[#This Row],[General]],COVENANTS!$B$2:$B$100,0)), "Y","N")</f>
        <v>N</v>
      </c>
      <c r="F47" s="350" t="str">
        <f>IF(ISNUMBER(MATCH(Table10[[#This Row],[General]],COVENANTS!$C$2:$C$100,0)), "Y","N")</f>
        <v>N</v>
      </c>
      <c r="G47" s="135" t="str">
        <f>IF(ISNUMBER(MATCH(Table10[[#This Row],[General]],COVENANTS!$D$2:$D$100,0)), "Y","N")</f>
        <v>N</v>
      </c>
      <c r="H47" s="122">
        <v>0</v>
      </c>
      <c r="I47" s="123">
        <v>0</v>
      </c>
      <c r="J47" s="123">
        <v>0</v>
      </c>
      <c r="K47" s="123">
        <v>0</v>
      </c>
      <c r="L47" s="122">
        <v>0</v>
      </c>
      <c r="M47" s="123">
        <v>0</v>
      </c>
      <c r="N47" s="105">
        <v>0</v>
      </c>
      <c r="O47" s="105">
        <v>0</v>
      </c>
      <c r="P47" s="106">
        <v>0</v>
      </c>
      <c r="Q47" s="105">
        <v>0</v>
      </c>
      <c r="R47" s="105">
        <v>0</v>
      </c>
      <c r="S47" s="105">
        <v>0</v>
      </c>
      <c r="T47" s="106">
        <v>0</v>
      </c>
      <c r="U47" s="105">
        <v>0</v>
      </c>
      <c r="V47" s="105">
        <v>0</v>
      </c>
      <c r="W47" s="105">
        <v>0</v>
      </c>
      <c r="X47" s="106">
        <v>0</v>
      </c>
      <c r="Y47" s="105">
        <v>0</v>
      </c>
      <c r="Z47" s="105">
        <v>0</v>
      </c>
      <c r="AA47" s="105">
        <v>0</v>
      </c>
      <c r="AB47" s="107">
        <f t="shared" si="14"/>
        <v>16</v>
      </c>
      <c r="AC47" s="108">
        <f t="shared" si="15"/>
        <v>16</v>
      </c>
      <c r="AD47" s="108">
        <f t="shared" si="16"/>
        <v>16</v>
      </c>
      <c r="AE47" s="106">
        <f t="shared" si="17"/>
        <v>16</v>
      </c>
      <c r="AF47" s="105">
        <f t="shared" si="18"/>
        <v>16</v>
      </c>
      <c r="AG47" s="105">
        <f t="shared" si="19"/>
        <v>16</v>
      </c>
      <c r="AH47" s="105">
        <f t="shared" si="20"/>
        <v>0</v>
      </c>
      <c r="AI47" s="297">
        <f t="shared" si="21"/>
        <v>2122065120</v>
      </c>
      <c r="AJ47" s="106">
        <v>0</v>
      </c>
      <c r="AK47" s="105">
        <v>0</v>
      </c>
      <c r="AL47" s="105">
        <v>0</v>
      </c>
      <c r="AM47" s="109">
        <f t="shared" si="22"/>
        <v>530</v>
      </c>
      <c r="AN47" s="110">
        <f t="shared" si="23"/>
        <v>530</v>
      </c>
      <c r="AO47" s="110">
        <f t="shared" si="24"/>
        <v>530</v>
      </c>
      <c r="AP47" s="111">
        <v>0</v>
      </c>
      <c r="AQ47" s="112">
        <v>0</v>
      </c>
      <c r="AR47" s="112">
        <v>0</v>
      </c>
      <c r="AS47" s="109">
        <f t="shared" si="25"/>
        <v>0</v>
      </c>
      <c r="AT47" s="110">
        <f t="shared" si="26"/>
        <v>0</v>
      </c>
      <c r="AU47" s="117">
        <f t="shared" si="27"/>
        <v>0</v>
      </c>
    </row>
    <row r="48" spans="1:47" ht="14.25" customHeight="1" x14ac:dyDescent="0.25">
      <c r="A48" s="10" t="s">
        <v>436</v>
      </c>
      <c r="B48" s="104"/>
      <c r="C48" s="121"/>
      <c r="D48" s="350" t="str">
        <f>IF(ISNUMBER(MATCH(Table10[[#This Row],[General]],COVENANTS!$A$2:$A$100,0)), "Y","N")</f>
        <v>N</v>
      </c>
      <c r="E48" s="350" t="str">
        <f>IF(ISNUMBER(MATCH(Table10[[#This Row],[General]],COVENANTS!$B$2:$B$100,0)), "Y","N")</f>
        <v>N</v>
      </c>
      <c r="F48" s="350" t="str">
        <f>IF(ISNUMBER(MATCH(Table10[[#This Row],[General]],COVENANTS!$C$2:$C$100,0)), "Y","N")</f>
        <v>N</v>
      </c>
      <c r="G48" s="135" t="str">
        <f>IF(ISNUMBER(MATCH(Table10[[#This Row],[General]],COVENANTS!$D$2:$D$100,0)), "Y","N")</f>
        <v>N</v>
      </c>
      <c r="H48" s="122">
        <v>0</v>
      </c>
      <c r="I48" s="123">
        <v>0</v>
      </c>
      <c r="J48" s="123">
        <v>0</v>
      </c>
      <c r="K48" s="123">
        <v>0</v>
      </c>
      <c r="L48" s="122">
        <v>0</v>
      </c>
      <c r="M48" s="123">
        <v>0</v>
      </c>
      <c r="N48" s="105">
        <v>0</v>
      </c>
      <c r="O48" s="105">
        <v>0</v>
      </c>
      <c r="P48" s="106">
        <v>0</v>
      </c>
      <c r="Q48" s="105">
        <v>0</v>
      </c>
      <c r="R48" s="105">
        <v>0</v>
      </c>
      <c r="S48" s="105">
        <v>0</v>
      </c>
      <c r="T48" s="106">
        <v>0</v>
      </c>
      <c r="U48" s="105">
        <v>0</v>
      </c>
      <c r="V48" s="105">
        <v>0</v>
      </c>
      <c r="W48" s="105">
        <v>0</v>
      </c>
      <c r="X48" s="106">
        <v>0</v>
      </c>
      <c r="Y48" s="105">
        <v>0</v>
      </c>
      <c r="Z48" s="105">
        <v>0</v>
      </c>
      <c r="AA48" s="105">
        <v>0</v>
      </c>
      <c r="AB48" s="107">
        <f t="shared" si="14"/>
        <v>16</v>
      </c>
      <c r="AC48" s="108">
        <f t="shared" si="15"/>
        <v>16</v>
      </c>
      <c r="AD48" s="108">
        <f t="shared" si="16"/>
        <v>16</v>
      </c>
      <c r="AE48" s="106">
        <f t="shared" si="17"/>
        <v>16</v>
      </c>
      <c r="AF48" s="105">
        <f t="shared" si="18"/>
        <v>16</v>
      </c>
      <c r="AG48" s="105">
        <f t="shared" si="19"/>
        <v>16</v>
      </c>
      <c r="AH48" s="105">
        <f t="shared" si="20"/>
        <v>0</v>
      </c>
      <c r="AI48" s="297">
        <f t="shared" si="21"/>
        <v>2122065120</v>
      </c>
      <c r="AJ48" s="106">
        <v>0</v>
      </c>
      <c r="AK48" s="105">
        <v>0</v>
      </c>
      <c r="AL48" s="105">
        <v>0</v>
      </c>
      <c r="AM48" s="109">
        <f t="shared" si="22"/>
        <v>530</v>
      </c>
      <c r="AN48" s="110">
        <f t="shared" si="23"/>
        <v>530</v>
      </c>
      <c r="AO48" s="110">
        <f t="shared" si="24"/>
        <v>530</v>
      </c>
      <c r="AP48" s="111">
        <v>0</v>
      </c>
      <c r="AQ48" s="112">
        <v>0</v>
      </c>
      <c r="AR48" s="112">
        <v>0</v>
      </c>
      <c r="AS48" s="109">
        <f t="shared" si="25"/>
        <v>0</v>
      </c>
      <c r="AT48" s="110">
        <f t="shared" si="26"/>
        <v>0</v>
      </c>
      <c r="AU48" s="117">
        <f t="shared" si="27"/>
        <v>0</v>
      </c>
    </row>
    <row r="49" spans="1:47" ht="14.25" customHeight="1" x14ac:dyDescent="0.25">
      <c r="A49" s="10" t="s">
        <v>437</v>
      </c>
      <c r="B49" s="383"/>
      <c r="C49" s="384"/>
      <c r="D49" s="385" t="str">
        <f>IF(ISNUMBER(MATCH(Table10[[#This Row],[General]],COVENANTS!$A$2:$A$100,0)), "Y","N")</f>
        <v>N</v>
      </c>
      <c r="E49" s="385" t="str">
        <f>IF(ISNUMBER(MATCH(Table10[[#This Row],[General]],COVENANTS!$B$2:$B$100,0)), "Y","N")</f>
        <v>N</v>
      </c>
      <c r="F49" s="385" t="str">
        <f>IF(ISNUMBER(MATCH(Table10[[#This Row],[General]],COVENANTS!$C$2:$C$100,0)), "Y","N")</f>
        <v>N</v>
      </c>
      <c r="G49" s="385" t="str">
        <f>IF(ISNUMBER(MATCH(Table10[[#This Row],[General]],COVENANTS!$D$2:$D$100,0)), "Y","N")</f>
        <v>N</v>
      </c>
      <c r="H49" s="122">
        <v>0</v>
      </c>
      <c r="I49" s="123">
        <v>0</v>
      </c>
      <c r="J49" s="123">
        <v>0</v>
      </c>
      <c r="K49" s="123">
        <v>0</v>
      </c>
      <c r="L49" s="122">
        <v>0</v>
      </c>
      <c r="M49" s="123">
        <v>0</v>
      </c>
      <c r="N49" s="105">
        <v>0</v>
      </c>
      <c r="O49" s="105">
        <v>0</v>
      </c>
      <c r="P49" s="106">
        <v>0</v>
      </c>
      <c r="Q49" s="105">
        <v>0</v>
      </c>
      <c r="R49" s="105">
        <v>0</v>
      </c>
      <c r="S49" s="105">
        <v>0</v>
      </c>
      <c r="T49" s="106">
        <v>0</v>
      </c>
      <c r="U49" s="105">
        <v>0</v>
      </c>
      <c r="V49" s="105">
        <v>0</v>
      </c>
      <c r="W49" s="105">
        <v>0</v>
      </c>
      <c r="X49" s="106">
        <v>0</v>
      </c>
      <c r="Y49" s="105">
        <v>0</v>
      </c>
      <c r="Z49" s="105">
        <v>0</v>
      </c>
      <c r="AA49" s="105">
        <v>0</v>
      </c>
      <c r="AB49" s="107">
        <f t="shared" si="14"/>
        <v>16</v>
      </c>
      <c r="AC49" s="108">
        <f t="shared" si="15"/>
        <v>16</v>
      </c>
      <c r="AD49" s="108">
        <f t="shared" si="16"/>
        <v>16</v>
      </c>
      <c r="AE49" s="106">
        <f t="shared" si="17"/>
        <v>16</v>
      </c>
      <c r="AF49" s="105">
        <f t="shared" si="18"/>
        <v>16</v>
      </c>
      <c r="AG49" s="105">
        <f t="shared" si="19"/>
        <v>16</v>
      </c>
      <c r="AH49" s="105">
        <f t="shared" si="20"/>
        <v>0</v>
      </c>
      <c r="AI49" s="297">
        <f t="shared" si="21"/>
        <v>2122065120</v>
      </c>
      <c r="AJ49" s="106">
        <v>0</v>
      </c>
      <c r="AK49" s="105">
        <v>0</v>
      </c>
      <c r="AL49" s="105">
        <v>0</v>
      </c>
      <c r="AM49" s="109">
        <f t="shared" si="22"/>
        <v>530</v>
      </c>
      <c r="AN49" s="110">
        <f t="shared" si="23"/>
        <v>530</v>
      </c>
      <c r="AO49" s="110">
        <f t="shared" si="24"/>
        <v>530</v>
      </c>
      <c r="AP49" s="111">
        <v>0</v>
      </c>
      <c r="AQ49" s="112">
        <v>0</v>
      </c>
      <c r="AR49" s="112">
        <v>0</v>
      </c>
      <c r="AS49" s="109">
        <f t="shared" si="25"/>
        <v>0</v>
      </c>
      <c r="AT49" s="110">
        <f t="shared" si="26"/>
        <v>0</v>
      </c>
      <c r="AU49" s="110">
        <f t="shared" si="27"/>
        <v>0</v>
      </c>
    </row>
    <row r="50" spans="1:47" ht="14.25" customHeight="1" x14ac:dyDescent="0.25">
      <c r="A50" s="10" t="s">
        <v>438</v>
      </c>
      <c r="B50" s="383"/>
      <c r="C50" s="384"/>
      <c r="D50" s="385" t="str">
        <f>IF(ISNUMBER(MATCH(Table10[[#This Row],[General]],COVENANTS!$A$2:$A$100,0)), "Y","N")</f>
        <v>N</v>
      </c>
      <c r="E50" s="385" t="str">
        <f>IF(ISNUMBER(MATCH(Table10[[#This Row],[General]],COVENANTS!$B$2:$B$100,0)), "Y","N")</f>
        <v>N</v>
      </c>
      <c r="F50" s="385" t="str">
        <f>IF(ISNUMBER(MATCH(Table10[[#This Row],[General]],COVENANTS!$C$2:$C$100,0)), "Y","N")</f>
        <v>N</v>
      </c>
      <c r="G50" s="385" t="str">
        <f>IF(ISNUMBER(MATCH(Table10[[#This Row],[General]],COVENANTS!$D$2:$D$100,0)), "Y","N")</f>
        <v>N</v>
      </c>
      <c r="H50" s="122">
        <v>0</v>
      </c>
      <c r="I50" s="123">
        <v>0</v>
      </c>
      <c r="J50" s="123">
        <v>0</v>
      </c>
      <c r="K50" s="123">
        <v>0</v>
      </c>
      <c r="L50" s="122">
        <v>0</v>
      </c>
      <c r="M50" s="123">
        <v>0</v>
      </c>
      <c r="N50" s="105">
        <v>0</v>
      </c>
      <c r="O50" s="105">
        <v>0</v>
      </c>
      <c r="P50" s="106">
        <v>0</v>
      </c>
      <c r="Q50" s="105">
        <v>0</v>
      </c>
      <c r="R50" s="105">
        <v>0</v>
      </c>
      <c r="S50" s="105">
        <v>0</v>
      </c>
      <c r="T50" s="106">
        <v>0</v>
      </c>
      <c r="U50" s="105">
        <v>0</v>
      </c>
      <c r="V50" s="105">
        <v>0</v>
      </c>
      <c r="W50" s="105">
        <v>0</v>
      </c>
      <c r="X50" s="106">
        <v>0</v>
      </c>
      <c r="Y50" s="105">
        <v>0</v>
      </c>
      <c r="Z50" s="105">
        <v>0</v>
      </c>
      <c r="AA50" s="105">
        <v>0</v>
      </c>
      <c r="AB50" s="107">
        <f t="shared" si="14"/>
        <v>16</v>
      </c>
      <c r="AC50" s="108">
        <f t="shared" si="15"/>
        <v>16</v>
      </c>
      <c r="AD50" s="108">
        <f t="shared" si="16"/>
        <v>16</v>
      </c>
      <c r="AE50" s="106">
        <f t="shared" si="17"/>
        <v>16</v>
      </c>
      <c r="AF50" s="105">
        <f t="shared" si="18"/>
        <v>16</v>
      </c>
      <c r="AG50" s="105">
        <f t="shared" si="19"/>
        <v>16</v>
      </c>
      <c r="AH50" s="105">
        <f t="shared" si="20"/>
        <v>0</v>
      </c>
      <c r="AI50" s="300">
        <f t="shared" si="21"/>
        <v>2122065120</v>
      </c>
      <c r="AJ50" s="106">
        <v>0</v>
      </c>
      <c r="AK50" s="105">
        <v>0</v>
      </c>
      <c r="AL50" s="105">
        <v>0</v>
      </c>
      <c r="AM50" s="116">
        <f t="shared" si="22"/>
        <v>530</v>
      </c>
      <c r="AN50" s="117">
        <f t="shared" si="23"/>
        <v>530</v>
      </c>
      <c r="AO50" s="117">
        <f t="shared" si="24"/>
        <v>530</v>
      </c>
      <c r="AP50" s="111">
        <v>0</v>
      </c>
      <c r="AQ50" s="112">
        <v>0</v>
      </c>
      <c r="AR50" s="112">
        <v>0</v>
      </c>
      <c r="AS50" s="109">
        <f t="shared" si="25"/>
        <v>0</v>
      </c>
      <c r="AT50" s="110">
        <f t="shared" si="26"/>
        <v>0</v>
      </c>
      <c r="AU50" s="110">
        <f t="shared" si="27"/>
        <v>0</v>
      </c>
    </row>
    <row r="51" spans="1:47" ht="14.25" customHeight="1" x14ac:dyDescent="0.25">
      <c r="A51" s="10" t="s">
        <v>439</v>
      </c>
      <c r="B51" s="383"/>
      <c r="C51" s="384"/>
      <c r="D51" s="385" t="str">
        <f>IF(ISNUMBER(MATCH(Table10[[#This Row],[General]],COVENANTS!$A$2:$A$100,0)), "Y","N")</f>
        <v>N</v>
      </c>
      <c r="E51" s="385" t="str">
        <f>IF(ISNUMBER(MATCH(Table10[[#This Row],[General]],COVENANTS!$B$2:$B$100,0)), "Y","N")</f>
        <v>N</v>
      </c>
      <c r="F51" s="385" t="str">
        <f>IF(ISNUMBER(MATCH(Table10[[#This Row],[General]],COVENANTS!$C$2:$C$100,0)), "Y","N")</f>
        <v>N</v>
      </c>
      <c r="G51" s="385" t="str">
        <f>IF(ISNUMBER(MATCH(Table10[[#This Row],[General]],COVENANTS!$D$2:$D$100,0)), "Y","N")</f>
        <v>N</v>
      </c>
      <c r="H51" s="122">
        <v>0</v>
      </c>
      <c r="I51" s="123">
        <v>0</v>
      </c>
      <c r="J51" s="123">
        <v>0</v>
      </c>
      <c r="K51" s="123">
        <v>0</v>
      </c>
      <c r="L51" s="122">
        <v>0</v>
      </c>
      <c r="M51" s="123">
        <v>0</v>
      </c>
      <c r="N51" s="105">
        <v>0</v>
      </c>
      <c r="O51" s="105">
        <v>0</v>
      </c>
      <c r="P51" s="106">
        <v>0</v>
      </c>
      <c r="Q51" s="105">
        <v>0</v>
      </c>
      <c r="R51" s="105">
        <v>0</v>
      </c>
      <c r="S51" s="105">
        <v>0</v>
      </c>
      <c r="T51" s="106">
        <v>0</v>
      </c>
      <c r="U51" s="105">
        <v>0</v>
      </c>
      <c r="V51" s="105">
        <v>0</v>
      </c>
      <c r="W51" s="105">
        <v>0</v>
      </c>
      <c r="X51" s="106">
        <v>0</v>
      </c>
      <c r="Y51" s="105">
        <v>0</v>
      </c>
      <c r="Z51" s="105">
        <v>0</v>
      </c>
      <c r="AA51" s="105">
        <v>0</v>
      </c>
      <c r="AB51" s="107">
        <f t="shared" si="14"/>
        <v>16</v>
      </c>
      <c r="AC51" s="108">
        <f t="shared" si="15"/>
        <v>16</v>
      </c>
      <c r="AD51" s="108">
        <f t="shared" si="16"/>
        <v>16</v>
      </c>
      <c r="AE51" s="106">
        <f t="shared" si="17"/>
        <v>16</v>
      </c>
      <c r="AF51" s="105">
        <f t="shared" si="18"/>
        <v>16</v>
      </c>
      <c r="AG51" s="105">
        <f t="shared" si="19"/>
        <v>16</v>
      </c>
      <c r="AH51" s="105">
        <f t="shared" si="20"/>
        <v>0</v>
      </c>
      <c r="AI51" s="300">
        <f t="shared" si="21"/>
        <v>2122065120</v>
      </c>
      <c r="AJ51" s="106">
        <v>0</v>
      </c>
      <c r="AK51" s="105">
        <v>0</v>
      </c>
      <c r="AL51" s="105">
        <v>0</v>
      </c>
      <c r="AM51" s="116">
        <f t="shared" si="22"/>
        <v>530</v>
      </c>
      <c r="AN51" s="117">
        <f t="shared" si="23"/>
        <v>530</v>
      </c>
      <c r="AO51" s="117">
        <f t="shared" si="24"/>
        <v>530</v>
      </c>
      <c r="AP51" s="111">
        <v>0</v>
      </c>
      <c r="AQ51" s="112">
        <v>0</v>
      </c>
      <c r="AR51" s="112">
        <v>0</v>
      </c>
      <c r="AS51" s="109">
        <f t="shared" si="25"/>
        <v>0</v>
      </c>
      <c r="AT51" s="110">
        <f t="shared" si="26"/>
        <v>0</v>
      </c>
      <c r="AU51" s="110">
        <f t="shared" si="27"/>
        <v>0</v>
      </c>
    </row>
    <row r="52" spans="1:47" ht="14.25" customHeight="1" x14ac:dyDescent="0.25">
      <c r="A52" s="10" t="s">
        <v>440</v>
      </c>
      <c r="B52" s="383"/>
      <c r="C52" s="384"/>
      <c r="D52" s="385" t="str">
        <f>IF(ISNUMBER(MATCH(Table10[[#This Row],[General]],COVENANTS!$A$2:$A$100,0)), "Y","N")</f>
        <v>N</v>
      </c>
      <c r="E52" s="385" t="str">
        <f>IF(ISNUMBER(MATCH(Table10[[#This Row],[General]],COVENANTS!$B$2:$B$100,0)), "Y","N")</f>
        <v>N</v>
      </c>
      <c r="F52" s="385" t="str">
        <f>IF(ISNUMBER(MATCH(Table10[[#This Row],[General]],COVENANTS!$C$2:$C$100,0)), "Y","N")</f>
        <v>N</v>
      </c>
      <c r="G52" s="385" t="str">
        <f>IF(ISNUMBER(MATCH(Table10[[#This Row],[General]],COVENANTS!$D$2:$D$100,0)), "Y","N")</f>
        <v>N</v>
      </c>
      <c r="H52" s="122">
        <v>0</v>
      </c>
      <c r="I52" s="123">
        <v>0</v>
      </c>
      <c r="J52" s="123">
        <v>0</v>
      </c>
      <c r="K52" s="123">
        <v>0</v>
      </c>
      <c r="L52" s="122">
        <v>0</v>
      </c>
      <c r="M52" s="123">
        <v>0</v>
      </c>
      <c r="N52" s="105">
        <v>0</v>
      </c>
      <c r="O52" s="105">
        <v>0</v>
      </c>
      <c r="P52" s="106">
        <v>0</v>
      </c>
      <c r="Q52" s="105">
        <v>0</v>
      </c>
      <c r="R52" s="105">
        <v>0</v>
      </c>
      <c r="S52" s="105">
        <v>0</v>
      </c>
      <c r="T52" s="106">
        <v>0</v>
      </c>
      <c r="U52" s="105">
        <v>0</v>
      </c>
      <c r="V52" s="105">
        <v>0</v>
      </c>
      <c r="W52" s="105">
        <v>0</v>
      </c>
      <c r="X52" s="106">
        <v>0</v>
      </c>
      <c r="Y52" s="105">
        <v>0</v>
      </c>
      <c r="Z52" s="105">
        <v>0</v>
      </c>
      <c r="AA52" s="105">
        <v>0</v>
      </c>
      <c r="AB52" s="107">
        <f t="shared" si="14"/>
        <v>16</v>
      </c>
      <c r="AC52" s="108">
        <f t="shared" si="15"/>
        <v>16</v>
      </c>
      <c r="AD52" s="108">
        <f t="shared" si="16"/>
        <v>16</v>
      </c>
      <c r="AE52" s="106">
        <f t="shared" si="17"/>
        <v>16</v>
      </c>
      <c r="AF52" s="105">
        <f t="shared" si="18"/>
        <v>16</v>
      </c>
      <c r="AG52" s="105">
        <f t="shared" si="19"/>
        <v>16</v>
      </c>
      <c r="AH52" s="105">
        <f t="shared" si="20"/>
        <v>0</v>
      </c>
      <c r="AI52" s="300">
        <f t="shared" si="21"/>
        <v>2122065120</v>
      </c>
      <c r="AJ52" s="106">
        <v>0</v>
      </c>
      <c r="AK52" s="105">
        <v>0</v>
      </c>
      <c r="AL52" s="105">
        <v>0</v>
      </c>
      <c r="AM52" s="116">
        <f t="shared" si="22"/>
        <v>530</v>
      </c>
      <c r="AN52" s="117">
        <f t="shared" si="23"/>
        <v>530</v>
      </c>
      <c r="AO52" s="117">
        <f t="shared" si="24"/>
        <v>530</v>
      </c>
      <c r="AP52" s="111">
        <v>0</v>
      </c>
      <c r="AQ52" s="112">
        <v>0</v>
      </c>
      <c r="AR52" s="112">
        <v>0</v>
      </c>
      <c r="AS52" s="109">
        <f t="shared" si="25"/>
        <v>0</v>
      </c>
      <c r="AT52" s="110">
        <f t="shared" si="26"/>
        <v>0</v>
      </c>
      <c r="AU52" s="110">
        <f t="shared" si="27"/>
        <v>0</v>
      </c>
    </row>
    <row r="53" spans="1:47" ht="14.25" customHeight="1" x14ac:dyDescent="0.25">
      <c r="A53" s="10" t="s">
        <v>441</v>
      </c>
      <c r="B53" s="383"/>
      <c r="C53" s="384"/>
      <c r="D53" s="385" t="str">
        <f>IF(ISNUMBER(MATCH(Table10[[#This Row],[General]],COVENANTS!$A$2:$A$100,0)), "Y","N")</f>
        <v>N</v>
      </c>
      <c r="E53" s="385" t="str">
        <f>IF(ISNUMBER(MATCH(Table10[[#This Row],[General]],COVENANTS!$B$2:$B$100,0)), "Y","N")</f>
        <v>N</v>
      </c>
      <c r="F53" s="385" t="str">
        <f>IF(ISNUMBER(MATCH(Table10[[#This Row],[General]],COVENANTS!$C$2:$C$100,0)), "Y","N")</f>
        <v>N</v>
      </c>
      <c r="G53" s="385" t="str">
        <f>IF(ISNUMBER(MATCH(Table10[[#This Row],[General]],COVENANTS!$D$2:$D$100,0)), "Y","N")</f>
        <v>N</v>
      </c>
      <c r="H53" s="122">
        <v>0</v>
      </c>
      <c r="I53" s="123">
        <v>0</v>
      </c>
      <c r="J53" s="123">
        <v>0</v>
      </c>
      <c r="K53" s="123">
        <v>0</v>
      </c>
      <c r="L53" s="122">
        <v>0</v>
      </c>
      <c r="M53" s="123">
        <v>0</v>
      </c>
      <c r="N53" s="105">
        <v>0</v>
      </c>
      <c r="O53" s="105">
        <v>0</v>
      </c>
      <c r="P53" s="106">
        <v>0</v>
      </c>
      <c r="Q53" s="105">
        <v>0</v>
      </c>
      <c r="R53" s="105">
        <v>0</v>
      </c>
      <c r="S53" s="105">
        <v>0</v>
      </c>
      <c r="T53" s="106">
        <v>0</v>
      </c>
      <c r="U53" s="105">
        <v>0</v>
      </c>
      <c r="V53" s="105">
        <v>0</v>
      </c>
      <c r="W53" s="105">
        <v>0</v>
      </c>
      <c r="X53" s="106">
        <v>0</v>
      </c>
      <c r="Y53" s="105">
        <v>0</v>
      </c>
      <c r="Z53" s="105">
        <v>0</v>
      </c>
      <c r="AA53" s="105">
        <v>0</v>
      </c>
      <c r="AB53" s="107">
        <f t="shared" si="14"/>
        <v>16</v>
      </c>
      <c r="AC53" s="108">
        <f t="shared" si="15"/>
        <v>16</v>
      </c>
      <c r="AD53" s="108">
        <f t="shared" si="16"/>
        <v>16</v>
      </c>
      <c r="AE53" s="106">
        <f t="shared" si="17"/>
        <v>16</v>
      </c>
      <c r="AF53" s="105">
        <f t="shared" si="18"/>
        <v>16</v>
      </c>
      <c r="AG53" s="105">
        <f t="shared" si="19"/>
        <v>16</v>
      </c>
      <c r="AH53" s="105">
        <f t="shared" si="20"/>
        <v>0</v>
      </c>
      <c r="AI53" s="300">
        <f t="shared" si="21"/>
        <v>2122065120</v>
      </c>
      <c r="AJ53" s="106">
        <v>0</v>
      </c>
      <c r="AK53" s="105">
        <v>0</v>
      </c>
      <c r="AL53" s="105">
        <v>0</v>
      </c>
      <c r="AM53" s="116">
        <f t="shared" si="22"/>
        <v>530</v>
      </c>
      <c r="AN53" s="117">
        <f t="shared" si="23"/>
        <v>530</v>
      </c>
      <c r="AO53" s="117">
        <f t="shared" si="24"/>
        <v>530</v>
      </c>
      <c r="AP53" s="111">
        <v>0</v>
      </c>
      <c r="AQ53" s="112">
        <v>0</v>
      </c>
      <c r="AR53" s="112">
        <v>0</v>
      </c>
      <c r="AS53" s="109">
        <f t="shared" si="25"/>
        <v>0</v>
      </c>
      <c r="AT53" s="110">
        <f t="shared" si="26"/>
        <v>0</v>
      </c>
      <c r="AU53" s="110">
        <f t="shared" si="27"/>
        <v>0</v>
      </c>
    </row>
    <row r="54" spans="1:47" s="388" customFormat="1" ht="14.25" customHeight="1" thickBot="1" x14ac:dyDescent="0.3">
      <c r="AI54" s="400"/>
      <c r="AK54" s="189"/>
      <c r="AL54" s="189"/>
      <c r="AM54" s="190"/>
      <c r="AN54" s="190"/>
      <c r="AO54" s="190"/>
      <c r="AP54" s="191"/>
      <c r="AQ54" s="191"/>
      <c r="AR54" s="191"/>
      <c r="AS54" s="190"/>
      <c r="AT54" s="190"/>
      <c r="AU54" s="190"/>
    </row>
    <row r="55" spans="1:47" s="60" customFormat="1" ht="18" customHeight="1" x14ac:dyDescent="0.25">
      <c r="A55" s="530" t="s">
        <v>110</v>
      </c>
      <c r="B55" s="531"/>
      <c r="C55" s="532"/>
      <c r="D55" s="545" t="s">
        <v>564</v>
      </c>
      <c r="E55" s="528"/>
      <c r="F55" s="528"/>
      <c r="G55" s="528"/>
      <c r="H55" s="543" t="s">
        <v>293</v>
      </c>
      <c r="I55" s="543"/>
      <c r="J55" s="543"/>
      <c r="K55" s="544"/>
      <c r="L55" s="533" t="s">
        <v>282</v>
      </c>
      <c r="M55" s="533"/>
      <c r="N55" s="533"/>
      <c r="O55" s="534"/>
      <c r="P55" s="535" t="s">
        <v>283</v>
      </c>
      <c r="Q55" s="535"/>
      <c r="R55" s="535"/>
      <c r="S55" s="536"/>
      <c r="T55" s="537" t="s">
        <v>284</v>
      </c>
      <c r="U55" s="537"/>
      <c r="V55" s="537"/>
      <c r="W55" s="538"/>
      <c r="X55" s="546" t="s">
        <v>285</v>
      </c>
      <c r="Y55" s="546"/>
      <c r="Z55" s="546"/>
      <c r="AA55" s="547"/>
      <c r="AB55" s="526" t="s">
        <v>327</v>
      </c>
      <c r="AC55" s="526"/>
      <c r="AD55" s="527"/>
      <c r="AE55" s="523" t="s">
        <v>5</v>
      </c>
      <c r="AF55" s="524"/>
      <c r="AG55" s="524"/>
      <c r="AH55" s="524"/>
      <c r="AI55" s="525"/>
      <c r="AJ55" s="64"/>
      <c r="AK55" s="64"/>
      <c r="AL55" s="64"/>
      <c r="AP55" s="61"/>
      <c r="AQ55" s="61"/>
      <c r="AR55" s="61"/>
    </row>
    <row r="56" spans="1:47" ht="14.25" customHeight="1" thickBot="1" x14ac:dyDescent="0.3">
      <c r="A56" s="379" t="s">
        <v>48</v>
      </c>
      <c r="B56" s="387" t="s">
        <v>331</v>
      </c>
      <c r="C56" s="391" t="s">
        <v>0</v>
      </c>
      <c r="D56" s="387" t="s">
        <v>565</v>
      </c>
      <c r="E56" s="387" t="s">
        <v>503</v>
      </c>
      <c r="F56" s="387" t="s">
        <v>504</v>
      </c>
      <c r="G56" s="387" t="s">
        <v>505</v>
      </c>
      <c r="H56" s="392" t="s">
        <v>289</v>
      </c>
      <c r="I56" s="391" t="s">
        <v>290</v>
      </c>
      <c r="J56" s="391" t="s">
        <v>291</v>
      </c>
      <c r="K56" s="391" t="s">
        <v>292</v>
      </c>
      <c r="L56" s="392" t="s">
        <v>270</v>
      </c>
      <c r="M56" s="391" t="s">
        <v>271</v>
      </c>
      <c r="N56" s="391" t="s">
        <v>272</v>
      </c>
      <c r="O56" s="391" t="s">
        <v>273</v>
      </c>
      <c r="P56" s="392" t="s">
        <v>537</v>
      </c>
      <c r="Q56" s="391" t="s">
        <v>538</v>
      </c>
      <c r="R56" s="391" t="s">
        <v>539</v>
      </c>
      <c r="S56" s="391" t="s">
        <v>540</v>
      </c>
      <c r="T56" s="392" t="s">
        <v>541</v>
      </c>
      <c r="U56" s="391" t="s">
        <v>542</v>
      </c>
      <c r="V56" s="391" t="s">
        <v>543</v>
      </c>
      <c r="W56" s="391" t="s">
        <v>544</v>
      </c>
      <c r="X56" s="392" t="s">
        <v>545</v>
      </c>
      <c r="Y56" s="391" t="s">
        <v>546</v>
      </c>
      <c r="Z56" s="391" t="s">
        <v>547</v>
      </c>
      <c r="AA56" s="391" t="s">
        <v>548</v>
      </c>
      <c r="AB56" s="392" t="s">
        <v>549</v>
      </c>
      <c r="AC56" s="391" t="s">
        <v>550</v>
      </c>
      <c r="AD56" s="391" t="s">
        <v>551</v>
      </c>
      <c r="AE56" s="392" t="s">
        <v>552</v>
      </c>
      <c r="AF56" s="391" t="s">
        <v>553</v>
      </c>
      <c r="AG56" s="391" t="s">
        <v>554</v>
      </c>
      <c r="AH56" s="391" t="s">
        <v>555</v>
      </c>
      <c r="AI56" s="393" t="s">
        <v>274</v>
      </c>
      <c r="AM56" s="10"/>
      <c r="AN56" s="10"/>
      <c r="AO56" s="10"/>
    </row>
    <row r="57" spans="1:47" ht="14.25" customHeight="1" thickTop="1" x14ac:dyDescent="0.25">
      <c r="A57" s="10" t="s">
        <v>49</v>
      </c>
      <c r="B57" s="208" t="s">
        <v>332</v>
      </c>
      <c r="C57" s="183" t="s">
        <v>1148</v>
      </c>
      <c r="D57" s="125" t="str">
        <f>IF(ISNUMBER(MATCH(Table13[[#This Row],[General]],COVENANTS!$A$2:$A$100,0)), "Y","N")</f>
        <v>Y</v>
      </c>
      <c r="E57" s="125" t="str">
        <f>IF(ISNUMBER(MATCH(Table13[[#This Row],[General]],COVENANTS!$B$2:$B$100,0)), "Y","N")</f>
        <v>N</v>
      </c>
      <c r="F57" s="125" t="str">
        <f>IF(ISNUMBER(MATCH(Table13[[#This Row],[General]],COVENANTS!$C$2:$C$100,0)), "Y","N")</f>
        <v>N</v>
      </c>
      <c r="G57" s="125" t="str">
        <f>IF(ISNUMBER(MATCH(Table13[[#This Row],[General]],COVENANTS!$D$2:$D$100,0)), "Y","N")</f>
        <v>N</v>
      </c>
      <c r="H57" s="126">
        <v>25</v>
      </c>
      <c r="I57" s="127">
        <v>25</v>
      </c>
      <c r="J57" s="127">
        <v>25</v>
      </c>
      <c r="K57" s="127">
        <v>12</v>
      </c>
      <c r="L57" s="126">
        <v>60</v>
      </c>
      <c r="M57" s="127">
        <v>60</v>
      </c>
      <c r="N57" s="127">
        <v>40</v>
      </c>
      <c r="O57" s="127">
        <v>0</v>
      </c>
      <c r="P57" s="212">
        <v>0</v>
      </c>
      <c r="Q57" s="210">
        <v>0</v>
      </c>
      <c r="R57" s="210">
        <v>0</v>
      </c>
      <c r="S57" s="210">
        <v>0</v>
      </c>
      <c r="T57" s="212">
        <v>85</v>
      </c>
      <c r="U57" s="210">
        <v>75</v>
      </c>
      <c r="V57" s="210">
        <v>10</v>
      </c>
      <c r="W57" s="210">
        <v>6</v>
      </c>
      <c r="X57" s="212">
        <v>20</v>
      </c>
      <c r="Y57" s="210">
        <v>15</v>
      </c>
      <c r="Z57" s="210">
        <v>10</v>
      </c>
      <c r="AA57" s="210">
        <v>10</v>
      </c>
      <c r="AB57" s="212">
        <v>0</v>
      </c>
      <c r="AC57" s="210">
        <v>0</v>
      </c>
      <c r="AD57" s="210">
        <v>0</v>
      </c>
      <c r="AE57" s="212">
        <f t="shared" ref="AE57:AE88" si="28">L57+T57+X57</f>
        <v>165</v>
      </c>
      <c r="AF57" s="210">
        <f t="shared" ref="AF57:AF88" si="29">M57+U57+Y57</f>
        <v>150</v>
      </c>
      <c r="AG57" s="210">
        <f t="shared" ref="AG57:AG88" si="30">N57+V57+Z57</f>
        <v>60</v>
      </c>
      <c r="AH57" s="210">
        <f t="shared" ref="AH57:AH88" si="31">O57+W57+AA57</f>
        <v>16</v>
      </c>
      <c r="AI57" s="301">
        <f t="shared" ref="AI57:AI88" si="32">(AW$2*(AH57/100)+AW$2+AW$3)*(AX$2*(AE57/100)+AX$2+AX$3)-AY$2</f>
        <v>30422665350</v>
      </c>
      <c r="AM57" s="10"/>
      <c r="AN57" s="10"/>
      <c r="AO57" s="10"/>
    </row>
    <row r="58" spans="1:47" ht="14.25" customHeight="1" x14ac:dyDescent="0.25">
      <c r="A58" s="10" t="s">
        <v>50</v>
      </c>
      <c r="B58" s="104" t="s">
        <v>333</v>
      </c>
      <c r="C58" s="121" t="s">
        <v>815</v>
      </c>
      <c r="D58" s="135" t="str">
        <f>IF(ISNUMBER(MATCH(Table13[[#This Row],[General]],COVENANTS!$A$2:$A$100,0)), "Y","N")</f>
        <v>Y</v>
      </c>
      <c r="E58" s="135" t="str">
        <f>IF(ISNUMBER(MATCH(Table13[[#This Row],[General]],COVENANTS!$B$2:$B$100,0)), "Y","N")</f>
        <v>N</v>
      </c>
      <c r="F58" s="135" t="str">
        <f>IF(ISNUMBER(MATCH(Table13[[#This Row],[General]],COVENANTS!$C$2:$C$100,0)), "Y","N")</f>
        <v>N</v>
      </c>
      <c r="G58" s="135" t="str">
        <f>IF(ISNUMBER(MATCH(Table13[[#This Row],[General]],COVENANTS!$D$2:$D$100,0)), "Y","N")</f>
        <v>Y</v>
      </c>
      <c r="H58" s="122">
        <v>25</v>
      </c>
      <c r="I58" s="123">
        <v>25</v>
      </c>
      <c r="J58" s="123">
        <v>25</v>
      </c>
      <c r="K58" s="123">
        <v>12</v>
      </c>
      <c r="L58" s="122">
        <v>60</v>
      </c>
      <c r="M58" s="123">
        <v>45</v>
      </c>
      <c r="N58" s="123">
        <v>60</v>
      </c>
      <c r="O58" s="123">
        <v>0</v>
      </c>
      <c r="P58" s="106">
        <v>0</v>
      </c>
      <c r="Q58" s="105">
        <v>0</v>
      </c>
      <c r="R58" s="105">
        <v>0</v>
      </c>
      <c r="S58" s="105">
        <v>0</v>
      </c>
      <c r="T58" s="106">
        <v>80</v>
      </c>
      <c r="U58" s="105">
        <v>20</v>
      </c>
      <c r="V58" s="105">
        <v>45</v>
      </c>
      <c r="W58" s="105">
        <v>8</v>
      </c>
      <c r="X58" s="106">
        <v>23</v>
      </c>
      <c r="Y58" s="105">
        <v>20</v>
      </c>
      <c r="Z58" s="105">
        <v>20</v>
      </c>
      <c r="AA58" s="105">
        <v>8</v>
      </c>
      <c r="AB58" s="106">
        <v>0</v>
      </c>
      <c r="AC58" s="105">
        <v>0</v>
      </c>
      <c r="AD58" s="105">
        <v>0</v>
      </c>
      <c r="AE58" s="106">
        <f t="shared" si="28"/>
        <v>163</v>
      </c>
      <c r="AF58" s="105">
        <f t="shared" si="29"/>
        <v>85</v>
      </c>
      <c r="AG58" s="105">
        <f t="shared" si="30"/>
        <v>125</v>
      </c>
      <c r="AH58" s="105">
        <f t="shared" si="31"/>
        <v>16</v>
      </c>
      <c r="AI58" s="298">
        <f t="shared" si="32"/>
        <v>30149867370</v>
      </c>
      <c r="AM58" s="10"/>
      <c r="AN58" s="10"/>
      <c r="AO58" s="10"/>
    </row>
    <row r="59" spans="1:47" ht="14.25" customHeight="1" x14ac:dyDescent="0.25">
      <c r="A59" s="10" t="s">
        <v>51</v>
      </c>
      <c r="B59" s="104" t="s">
        <v>332</v>
      </c>
      <c r="C59" s="121" t="s">
        <v>816</v>
      </c>
      <c r="D59" s="135" t="str">
        <f>IF(ISNUMBER(MATCH(Table13[[#This Row],[General]],COVENANTS!$A$2:$A$100,0)), "Y","N")</f>
        <v>Y</v>
      </c>
      <c r="E59" s="135" t="str">
        <f>IF(ISNUMBER(MATCH(Table13[[#This Row],[General]],COVENANTS!$B$2:$B$100,0)), "Y","N")</f>
        <v>N</v>
      </c>
      <c r="F59" s="135" t="str">
        <f>IF(ISNUMBER(MATCH(Table13[[#This Row],[General]],COVENANTS!$C$2:$C$100,0)), "Y","N")</f>
        <v>N</v>
      </c>
      <c r="G59" s="135" t="str">
        <f>IF(ISNUMBER(MATCH(Table13[[#This Row],[General]],COVENANTS!$D$2:$D$100,0)), "Y","N")</f>
        <v>Y</v>
      </c>
      <c r="H59" s="122">
        <v>25</v>
      </c>
      <c r="I59" s="123">
        <v>25</v>
      </c>
      <c r="J59" s="123">
        <v>25</v>
      </c>
      <c r="K59" s="123">
        <v>12</v>
      </c>
      <c r="L59" s="122">
        <v>60</v>
      </c>
      <c r="M59" s="123">
        <v>60</v>
      </c>
      <c r="N59" s="123">
        <v>45</v>
      </c>
      <c r="O59" s="123">
        <v>0</v>
      </c>
      <c r="P59" s="106">
        <v>0</v>
      </c>
      <c r="Q59" s="105">
        <v>0</v>
      </c>
      <c r="R59" s="105">
        <v>0</v>
      </c>
      <c r="S59" s="105">
        <v>0</v>
      </c>
      <c r="T59" s="106">
        <v>75</v>
      </c>
      <c r="U59" s="105">
        <v>55</v>
      </c>
      <c r="V59" s="105">
        <v>65</v>
      </c>
      <c r="W59" s="105">
        <v>6</v>
      </c>
      <c r="X59" s="106">
        <v>27</v>
      </c>
      <c r="Y59" s="105">
        <v>18</v>
      </c>
      <c r="Z59" s="105">
        <v>15</v>
      </c>
      <c r="AA59" s="105">
        <v>5</v>
      </c>
      <c r="AB59" s="106">
        <v>0</v>
      </c>
      <c r="AC59" s="105">
        <v>0</v>
      </c>
      <c r="AD59" s="105">
        <v>0</v>
      </c>
      <c r="AE59" s="106">
        <f t="shared" si="28"/>
        <v>162</v>
      </c>
      <c r="AF59" s="105">
        <f t="shared" si="29"/>
        <v>133</v>
      </c>
      <c r="AG59" s="105">
        <f t="shared" si="30"/>
        <v>125</v>
      </c>
      <c r="AH59" s="105">
        <f t="shared" si="31"/>
        <v>11</v>
      </c>
      <c r="AI59" s="298">
        <f t="shared" si="32"/>
        <v>27348606180</v>
      </c>
      <c r="AM59" s="10"/>
      <c r="AN59" s="10"/>
      <c r="AO59" s="10"/>
    </row>
    <row r="60" spans="1:47" ht="14.25" customHeight="1" x14ac:dyDescent="0.25">
      <c r="A60" s="10" t="s">
        <v>52</v>
      </c>
      <c r="B60" s="120" t="s">
        <v>333</v>
      </c>
      <c r="C60" s="121" t="s">
        <v>648</v>
      </c>
      <c r="D60" s="135" t="str">
        <f>IF(ISNUMBER(MATCH(Table13[[#This Row],[General]],COVENANTS!$A$2:$A$100,0)), "Y","N")</f>
        <v>Y</v>
      </c>
      <c r="E60" s="135" t="str">
        <f>IF(ISNUMBER(MATCH(Table13[[#This Row],[General]],COVENANTS!$B$2:$B$100,0)), "Y","N")</f>
        <v>N</v>
      </c>
      <c r="F60" s="135" t="str">
        <f>IF(ISNUMBER(MATCH(Table13[[#This Row],[General]],COVENANTS!$C$2:$C$100,0)), "Y","N")</f>
        <v>N</v>
      </c>
      <c r="G60" s="135" t="str">
        <f>IF(ISNUMBER(MATCH(Table13[[#This Row],[General]],COVENANTS!$D$2:$D$100,0)), "Y","N")</f>
        <v>N</v>
      </c>
      <c r="H60" s="122">
        <v>25</v>
      </c>
      <c r="I60" s="123">
        <v>25</v>
      </c>
      <c r="J60" s="123">
        <v>25</v>
      </c>
      <c r="K60" s="123">
        <v>12</v>
      </c>
      <c r="L60" s="122">
        <v>55</v>
      </c>
      <c r="M60" s="123">
        <v>55</v>
      </c>
      <c r="N60" s="123">
        <v>40</v>
      </c>
      <c r="O60" s="123">
        <v>0</v>
      </c>
      <c r="P60" s="122">
        <v>0</v>
      </c>
      <c r="Q60" s="123">
        <v>0</v>
      </c>
      <c r="R60" s="123">
        <v>0</v>
      </c>
      <c r="S60" s="123">
        <v>0</v>
      </c>
      <c r="T60" s="122">
        <v>75</v>
      </c>
      <c r="U60" s="123">
        <v>55</v>
      </c>
      <c r="V60" s="123">
        <v>20</v>
      </c>
      <c r="W60" s="123">
        <v>8</v>
      </c>
      <c r="X60" s="122">
        <v>15</v>
      </c>
      <c r="Y60" s="123">
        <v>10</v>
      </c>
      <c r="Z60" s="123">
        <v>5</v>
      </c>
      <c r="AA60" s="123">
        <v>6</v>
      </c>
      <c r="AB60" s="122">
        <v>0</v>
      </c>
      <c r="AC60" s="123">
        <v>0</v>
      </c>
      <c r="AD60" s="123">
        <v>0</v>
      </c>
      <c r="AE60" s="122">
        <f t="shared" si="28"/>
        <v>145</v>
      </c>
      <c r="AF60" s="123">
        <f t="shared" si="29"/>
        <v>120</v>
      </c>
      <c r="AG60" s="123">
        <f t="shared" si="30"/>
        <v>65</v>
      </c>
      <c r="AH60" s="123">
        <f t="shared" si="31"/>
        <v>14</v>
      </c>
      <c r="AI60" s="298">
        <f t="shared" si="32"/>
        <v>26636751750</v>
      </c>
      <c r="AM60" s="10"/>
      <c r="AN60" s="10"/>
      <c r="AO60" s="10"/>
    </row>
    <row r="61" spans="1:47" ht="14.25" customHeight="1" x14ac:dyDescent="0.25">
      <c r="A61" s="10" t="s">
        <v>53</v>
      </c>
      <c r="B61" s="104" t="s">
        <v>333</v>
      </c>
      <c r="C61" s="121" t="s">
        <v>1142</v>
      </c>
      <c r="D61" s="135" t="str">
        <f>IF(ISNUMBER(MATCH(Table13[[#This Row],[General]],COVENANTS!$A$2:$A$100,0)), "Y","N")</f>
        <v>Y</v>
      </c>
      <c r="E61" s="135" t="str">
        <f>IF(ISNUMBER(MATCH(Table13[[#This Row],[General]],COVENANTS!$B$2:$B$100,0)), "Y","N")</f>
        <v>N</v>
      </c>
      <c r="F61" s="135" t="str">
        <f>IF(ISNUMBER(MATCH(Table13[[#This Row],[General]],COVENANTS!$C$2:$C$100,0)), "Y","N")</f>
        <v>N</v>
      </c>
      <c r="G61" s="135" t="str">
        <f>IF(ISNUMBER(MATCH(Table13[[#This Row],[General]],COVENANTS!$D$2:$D$100,0)), "Y","N")</f>
        <v>N</v>
      </c>
      <c r="H61" s="122">
        <v>25</v>
      </c>
      <c r="I61" s="123">
        <v>25</v>
      </c>
      <c r="J61" s="123">
        <v>25</v>
      </c>
      <c r="K61" s="123">
        <v>12</v>
      </c>
      <c r="L61" s="122">
        <v>60</v>
      </c>
      <c r="M61" s="123">
        <v>60</v>
      </c>
      <c r="N61" s="123">
        <v>45</v>
      </c>
      <c r="O61" s="123">
        <v>0</v>
      </c>
      <c r="P61" s="106">
        <v>0</v>
      </c>
      <c r="Q61" s="105">
        <v>0</v>
      </c>
      <c r="R61" s="105">
        <v>0</v>
      </c>
      <c r="S61" s="105">
        <v>0</v>
      </c>
      <c r="T61" s="106">
        <v>75</v>
      </c>
      <c r="U61" s="105">
        <v>55</v>
      </c>
      <c r="V61" s="105">
        <v>55</v>
      </c>
      <c r="W61" s="105">
        <v>0</v>
      </c>
      <c r="X61" s="106">
        <v>20</v>
      </c>
      <c r="Y61" s="105">
        <v>15</v>
      </c>
      <c r="Z61" s="105">
        <v>10</v>
      </c>
      <c r="AA61" s="105">
        <v>10</v>
      </c>
      <c r="AB61" s="106">
        <v>0</v>
      </c>
      <c r="AC61" s="105">
        <v>0</v>
      </c>
      <c r="AD61" s="105">
        <v>0</v>
      </c>
      <c r="AE61" s="106">
        <f t="shared" si="28"/>
        <v>155</v>
      </c>
      <c r="AF61" s="105">
        <f t="shared" si="29"/>
        <v>130</v>
      </c>
      <c r="AG61" s="105">
        <f t="shared" si="30"/>
        <v>110</v>
      </c>
      <c r="AH61" s="105">
        <f t="shared" si="31"/>
        <v>10</v>
      </c>
      <c r="AI61" s="298">
        <f t="shared" si="32"/>
        <v>25870736850</v>
      </c>
      <c r="AM61" s="10"/>
      <c r="AN61" s="10"/>
      <c r="AO61" s="10"/>
    </row>
    <row r="62" spans="1:47" ht="14.25" customHeight="1" x14ac:dyDescent="0.25">
      <c r="A62" s="10" t="s">
        <v>54</v>
      </c>
      <c r="B62" s="120" t="s">
        <v>333</v>
      </c>
      <c r="C62" s="134" t="s">
        <v>85</v>
      </c>
      <c r="D62" s="135" t="str">
        <f>IF(ISNUMBER(MATCH(Table13[[#This Row],[General]],COVENANTS!$A$2:$A$100,0)), "Y","N")</f>
        <v>Y</v>
      </c>
      <c r="E62" s="135" t="str">
        <f>IF(ISNUMBER(MATCH(Table13[[#This Row],[General]],COVENANTS!$B$2:$B$100,0)), "Y","N")</f>
        <v>Y</v>
      </c>
      <c r="F62" s="135" t="str">
        <f>IF(ISNUMBER(MATCH(Table13[[#This Row],[General]],COVENANTS!$C$2:$C$100,0)), "Y","N")</f>
        <v>N</v>
      </c>
      <c r="G62" s="135" t="str">
        <f>IF(ISNUMBER(MATCH(Table13[[#This Row],[General]],COVENANTS!$D$2:$D$100,0)), "Y","N")</f>
        <v>N</v>
      </c>
      <c r="H62" s="122">
        <v>25</v>
      </c>
      <c r="I62" s="123">
        <v>25</v>
      </c>
      <c r="J62" s="123">
        <v>25</v>
      </c>
      <c r="K62" s="123">
        <v>12</v>
      </c>
      <c r="L62" s="122">
        <v>50</v>
      </c>
      <c r="M62" s="123">
        <v>40</v>
      </c>
      <c r="N62" s="123">
        <v>40</v>
      </c>
      <c r="O62" s="123">
        <v>0</v>
      </c>
      <c r="P62" s="122">
        <v>0</v>
      </c>
      <c r="Q62" s="123">
        <v>0</v>
      </c>
      <c r="R62" s="123">
        <v>0</v>
      </c>
      <c r="S62" s="123">
        <v>0</v>
      </c>
      <c r="T62" s="122">
        <v>61</v>
      </c>
      <c r="U62" s="123">
        <v>35</v>
      </c>
      <c r="V62" s="123">
        <v>45</v>
      </c>
      <c r="W62" s="123">
        <v>6</v>
      </c>
      <c r="X62" s="122">
        <v>20</v>
      </c>
      <c r="Y62" s="123">
        <v>10</v>
      </c>
      <c r="Z62" s="123">
        <v>10</v>
      </c>
      <c r="AA62" s="123">
        <v>10</v>
      </c>
      <c r="AB62" s="122">
        <v>0</v>
      </c>
      <c r="AC62" s="123">
        <v>0</v>
      </c>
      <c r="AD62" s="123">
        <v>0</v>
      </c>
      <c r="AE62" s="122">
        <f t="shared" si="28"/>
        <v>131</v>
      </c>
      <c r="AF62" s="123">
        <f t="shared" si="29"/>
        <v>85</v>
      </c>
      <c r="AG62" s="123">
        <f t="shared" si="30"/>
        <v>95</v>
      </c>
      <c r="AH62" s="123">
        <f t="shared" si="31"/>
        <v>16</v>
      </c>
      <c r="AI62" s="298">
        <f t="shared" si="32"/>
        <v>25785099690</v>
      </c>
      <c r="AM62" s="10"/>
      <c r="AN62" s="10"/>
      <c r="AO62" s="10"/>
    </row>
    <row r="63" spans="1:47" ht="14.25" customHeight="1" x14ac:dyDescent="0.25">
      <c r="A63" s="10" t="s">
        <v>55</v>
      </c>
      <c r="B63" s="120" t="s">
        <v>333</v>
      </c>
      <c r="C63" s="121" t="s">
        <v>500</v>
      </c>
      <c r="D63" s="135" t="str">
        <f>IF(ISNUMBER(MATCH(Table13[[#This Row],[General]],COVENANTS!$A$2:$A$100,0)), "Y","N")</f>
        <v>Y</v>
      </c>
      <c r="E63" s="135" t="str">
        <f>IF(ISNUMBER(MATCH(Table13[[#This Row],[General]],COVENANTS!$B$2:$B$100,0)), "Y","N")</f>
        <v>N</v>
      </c>
      <c r="F63" s="135" t="str">
        <f>IF(ISNUMBER(MATCH(Table13[[#This Row],[General]],COVENANTS!$C$2:$C$100,0)), "Y","N")</f>
        <v>N</v>
      </c>
      <c r="G63" s="135" t="str">
        <f>IF(ISNUMBER(MATCH(Table13[[#This Row],[General]],COVENANTS!$D$2:$D$100,0)), "Y","N")</f>
        <v>N</v>
      </c>
      <c r="H63" s="122">
        <v>25</v>
      </c>
      <c r="I63" s="123">
        <v>25</v>
      </c>
      <c r="J63" s="123">
        <v>25</v>
      </c>
      <c r="K63" s="123">
        <v>12</v>
      </c>
      <c r="L63" s="122">
        <v>50</v>
      </c>
      <c r="M63" s="123">
        <v>40</v>
      </c>
      <c r="N63" s="123">
        <v>50</v>
      </c>
      <c r="O63" s="123">
        <v>0</v>
      </c>
      <c r="P63" s="122">
        <v>0</v>
      </c>
      <c r="Q63" s="123">
        <v>0</v>
      </c>
      <c r="R63" s="123">
        <v>0</v>
      </c>
      <c r="S63" s="123">
        <v>0</v>
      </c>
      <c r="T63" s="122">
        <v>60</v>
      </c>
      <c r="U63" s="123">
        <v>20</v>
      </c>
      <c r="V63" s="123">
        <v>60</v>
      </c>
      <c r="W63" s="123">
        <v>8</v>
      </c>
      <c r="X63" s="122">
        <v>20</v>
      </c>
      <c r="Y63" s="123">
        <v>5</v>
      </c>
      <c r="Z63" s="123">
        <v>10</v>
      </c>
      <c r="AA63" s="123">
        <v>6</v>
      </c>
      <c r="AB63" s="122">
        <v>0</v>
      </c>
      <c r="AC63" s="123">
        <v>0</v>
      </c>
      <c r="AD63" s="123">
        <v>0</v>
      </c>
      <c r="AE63" s="122">
        <f t="shared" si="28"/>
        <v>130</v>
      </c>
      <c r="AF63" s="123">
        <f t="shared" si="29"/>
        <v>65</v>
      </c>
      <c r="AG63" s="123">
        <f t="shared" si="30"/>
        <v>120</v>
      </c>
      <c r="AH63" s="123">
        <f t="shared" si="31"/>
        <v>14</v>
      </c>
      <c r="AI63" s="298">
        <f t="shared" si="32"/>
        <v>24597835500</v>
      </c>
      <c r="AM63" s="10"/>
      <c r="AN63" s="10"/>
      <c r="AO63" s="10"/>
    </row>
    <row r="64" spans="1:47" ht="14.25" customHeight="1" x14ac:dyDescent="0.25">
      <c r="A64" s="10" t="s">
        <v>56</v>
      </c>
      <c r="B64" s="120" t="s">
        <v>332</v>
      </c>
      <c r="C64" s="121" t="s">
        <v>630</v>
      </c>
      <c r="D64" s="135" t="str">
        <f>IF(ISNUMBER(MATCH(Table13[[#This Row],[General]],COVENANTS!$A$2:$A$100,0)), "Y","N")</f>
        <v>Y</v>
      </c>
      <c r="E64" s="135" t="str">
        <f>IF(ISNUMBER(MATCH(Table13[[#This Row],[General]],COVENANTS!$B$2:$B$100,0)), "Y","N")</f>
        <v>N</v>
      </c>
      <c r="F64" s="135" t="str">
        <f>IF(ISNUMBER(MATCH(Table13[[#This Row],[General]],COVENANTS!$C$2:$C$100,0)), "Y","N")</f>
        <v>N</v>
      </c>
      <c r="G64" s="135" t="str">
        <f>IF(ISNUMBER(MATCH(Table13[[#This Row],[General]],COVENANTS!$D$2:$D$100,0)), "Y","N")</f>
        <v>N</v>
      </c>
      <c r="H64" s="122">
        <v>25</v>
      </c>
      <c r="I64" s="123">
        <v>25</v>
      </c>
      <c r="J64" s="123">
        <v>25</v>
      </c>
      <c r="K64" s="123">
        <v>12</v>
      </c>
      <c r="L64" s="122">
        <v>55</v>
      </c>
      <c r="M64" s="123">
        <v>35</v>
      </c>
      <c r="N64" s="123">
        <v>35</v>
      </c>
      <c r="O64" s="123">
        <v>0</v>
      </c>
      <c r="P64" s="122">
        <v>0</v>
      </c>
      <c r="Q64" s="123">
        <v>0</v>
      </c>
      <c r="R64" s="123">
        <v>0</v>
      </c>
      <c r="S64" s="123">
        <v>0</v>
      </c>
      <c r="T64" s="122">
        <v>70</v>
      </c>
      <c r="U64" s="123">
        <v>60</v>
      </c>
      <c r="V64" s="123">
        <v>50</v>
      </c>
      <c r="W64" s="123">
        <v>0</v>
      </c>
      <c r="X64" s="122">
        <v>20</v>
      </c>
      <c r="Y64" s="123">
        <v>5</v>
      </c>
      <c r="Z64" s="123">
        <v>10</v>
      </c>
      <c r="AA64" s="123">
        <v>8</v>
      </c>
      <c r="AB64" s="122">
        <v>0</v>
      </c>
      <c r="AC64" s="123">
        <v>0</v>
      </c>
      <c r="AD64" s="123">
        <v>0</v>
      </c>
      <c r="AE64" s="122">
        <f t="shared" si="28"/>
        <v>145</v>
      </c>
      <c r="AF64" s="123">
        <f t="shared" si="29"/>
        <v>100</v>
      </c>
      <c r="AG64" s="123">
        <f t="shared" si="30"/>
        <v>95</v>
      </c>
      <c r="AH64" s="123">
        <f t="shared" si="31"/>
        <v>8</v>
      </c>
      <c r="AI64" s="298">
        <f t="shared" si="32"/>
        <v>23462950350</v>
      </c>
      <c r="AM64" s="10"/>
      <c r="AN64" s="10"/>
      <c r="AO64" s="10"/>
    </row>
    <row r="65" spans="1:41" ht="14.25" customHeight="1" x14ac:dyDescent="0.25">
      <c r="A65" s="10" t="s">
        <v>57</v>
      </c>
      <c r="B65" s="104" t="s">
        <v>332</v>
      </c>
      <c r="C65" s="121" t="s">
        <v>688</v>
      </c>
      <c r="D65" s="135" t="str">
        <f>IF(ISNUMBER(MATCH(Table13[[#This Row],[General]],COVENANTS!$A$2:$A$100,0)), "Y","N")</f>
        <v>Y</v>
      </c>
      <c r="E65" s="135" t="str">
        <f>IF(ISNUMBER(MATCH(Table13[[#This Row],[General]],COVENANTS!$B$2:$B$100,0)), "Y","N")</f>
        <v>N</v>
      </c>
      <c r="F65" s="135" t="str">
        <f>IF(ISNUMBER(MATCH(Table13[[#This Row],[General]],COVENANTS!$C$2:$C$100,0)), "Y","N")</f>
        <v>N</v>
      </c>
      <c r="G65" s="135" t="str">
        <f>IF(ISNUMBER(MATCH(Table13[[#This Row],[General]],COVENANTS!$D$2:$D$100,0)), "Y","N")</f>
        <v>N</v>
      </c>
      <c r="H65" s="122">
        <v>25</v>
      </c>
      <c r="I65" s="123">
        <v>25</v>
      </c>
      <c r="J65" s="123">
        <v>25</v>
      </c>
      <c r="K65" s="123">
        <v>12</v>
      </c>
      <c r="L65" s="122">
        <v>55</v>
      </c>
      <c r="M65" s="123">
        <v>40</v>
      </c>
      <c r="N65" s="123">
        <v>55</v>
      </c>
      <c r="O65" s="123">
        <v>0</v>
      </c>
      <c r="P65" s="122">
        <v>0</v>
      </c>
      <c r="Q65" s="123">
        <v>0</v>
      </c>
      <c r="R65" s="123">
        <v>0</v>
      </c>
      <c r="S65" s="123">
        <v>0</v>
      </c>
      <c r="T65" s="122">
        <v>70</v>
      </c>
      <c r="U65" s="123">
        <v>60</v>
      </c>
      <c r="V65" s="123">
        <v>60</v>
      </c>
      <c r="W65" s="123">
        <v>0</v>
      </c>
      <c r="X65" s="122">
        <v>15</v>
      </c>
      <c r="Y65" s="123">
        <v>20</v>
      </c>
      <c r="Z65" s="123">
        <v>10</v>
      </c>
      <c r="AA65" s="123">
        <v>8</v>
      </c>
      <c r="AB65" s="122">
        <v>0</v>
      </c>
      <c r="AC65" s="123">
        <v>0</v>
      </c>
      <c r="AD65" s="123">
        <v>0</v>
      </c>
      <c r="AE65" s="122">
        <f t="shared" si="28"/>
        <v>140</v>
      </c>
      <c r="AF65" s="123">
        <f t="shared" si="29"/>
        <v>120</v>
      </c>
      <c r="AG65" s="123">
        <f t="shared" si="30"/>
        <v>125</v>
      </c>
      <c r="AH65" s="123">
        <f t="shared" si="31"/>
        <v>8</v>
      </c>
      <c r="AI65" s="298">
        <f t="shared" si="32"/>
        <v>22790380200</v>
      </c>
      <c r="AM65" s="10"/>
      <c r="AN65" s="10"/>
      <c r="AO65" s="10"/>
    </row>
    <row r="66" spans="1:41" ht="14.25" customHeight="1" x14ac:dyDescent="0.25">
      <c r="A66" s="10" t="s">
        <v>58</v>
      </c>
      <c r="B66" s="120" t="s">
        <v>332</v>
      </c>
      <c r="C66" s="134" t="s">
        <v>86</v>
      </c>
      <c r="D66" s="135" t="str">
        <f>IF(ISNUMBER(MATCH(Table13[[#This Row],[General]],COVENANTS!$A$2:$A$100,0)), "Y","N")</f>
        <v>Y</v>
      </c>
      <c r="E66" s="135" t="str">
        <f>IF(ISNUMBER(MATCH(Table13[[#This Row],[General]],COVENANTS!$B$2:$B$100,0)), "Y","N")</f>
        <v>N</v>
      </c>
      <c r="F66" s="135" t="str">
        <f>IF(ISNUMBER(MATCH(Table13[[#This Row],[General]],COVENANTS!$C$2:$C$100,0)), "Y","N")</f>
        <v>N</v>
      </c>
      <c r="G66" s="135" t="str">
        <f>IF(ISNUMBER(MATCH(Table13[[#This Row],[General]],COVENANTS!$D$2:$D$100,0)), "Y","N")</f>
        <v>Y</v>
      </c>
      <c r="H66" s="122">
        <v>25</v>
      </c>
      <c r="I66" s="123">
        <v>25</v>
      </c>
      <c r="J66" s="123">
        <v>25</v>
      </c>
      <c r="K66" s="123">
        <v>12</v>
      </c>
      <c r="L66" s="122">
        <v>45</v>
      </c>
      <c r="M66" s="123">
        <v>25</v>
      </c>
      <c r="N66" s="123">
        <v>45</v>
      </c>
      <c r="O66" s="123">
        <v>0</v>
      </c>
      <c r="P66" s="122">
        <v>0</v>
      </c>
      <c r="Q66" s="123">
        <v>0</v>
      </c>
      <c r="R66" s="123">
        <v>0</v>
      </c>
      <c r="S66" s="123">
        <v>0</v>
      </c>
      <c r="T66" s="122">
        <v>66</v>
      </c>
      <c r="U66" s="123">
        <v>30</v>
      </c>
      <c r="V66" s="123">
        <v>30</v>
      </c>
      <c r="W66" s="123">
        <v>6</v>
      </c>
      <c r="X66" s="122">
        <v>15</v>
      </c>
      <c r="Y66" s="123">
        <v>10</v>
      </c>
      <c r="Z66" s="123">
        <v>10</v>
      </c>
      <c r="AA66" s="123">
        <v>5</v>
      </c>
      <c r="AB66" s="122">
        <v>0</v>
      </c>
      <c r="AC66" s="123">
        <v>0</v>
      </c>
      <c r="AD66" s="123">
        <v>0</v>
      </c>
      <c r="AE66" s="122">
        <f t="shared" si="28"/>
        <v>126</v>
      </c>
      <c r="AF66" s="123">
        <f t="shared" si="29"/>
        <v>65</v>
      </c>
      <c r="AG66" s="123">
        <f t="shared" si="30"/>
        <v>85</v>
      </c>
      <c r="AH66" s="123">
        <f t="shared" si="31"/>
        <v>11</v>
      </c>
      <c r="AI66" s="298">
        <f t="shared" si="32"/>
        <v>22480654140</v>
      </c>
      <c r="AM66" s="10"/>
      <c r="AN66" s="10"/>
      <c r="AO66" s="10"/>
    </row>
    <row r="67" spans="1:41" ht="14.25" customHeight="1" x14ac:dyDescent="0.25">
      <c r="A67" s="10" t="s">
        <v>59</v>
      </c>
      <c r="B67" s="120" t="s">
        <v>332</v>
      </c>
      <c r="C67" s="134" t="s">
        <v>305</v>
      </c>
      <c r="D67" s="135" t="str">
        <f>IF(ISNUMBER(MATCH(Table13[[#This Row],[General]],COVENANTS!$A$2:$A$100,0)), "Y","N")</f>
        <v>Y</v>
      </c>
      <c r="E67" s="135" t="str">
        <f>IF(ISNUMBER(MATCH(Table13[[#This Row],[General]],COVENANTS!$B$2:$B$100,0)), "Y","N")</f>
        <v>N</v>
      </c>
      <c r="F67" s="135" t="str">
        <f>IF(ISNUMBER(MATCH(Table13[[#This Row],[General]],COVENANTS!$C$2:$C$100,0)), "Y","N")</f>
        <v>Y</v>
      </c>
      <c r="G67" s="135" t="str">
        <f>IF(ISNUMBER(MATCH(Table13[[#This Row],[General]],COVENANTS!$D$2:$D$100,0)), "Y","N")</f>
        <v>Y</v>
      </c>
      <c r="H67" s="122">
        <v>25</v>
      </c>
      <c r="I67" s="123">
        <v>25</v>
      </c>
      <c r="J67" s="123">
        <v>25</v>
      </c>
      <c r="K67" s="123">
        <v>12</v>
      </c>
      <c r="L67" s="122">
        <v>50</v>
      </c>
      <c r="M67" s="123">
        <v>50</v>
      </c>
      <c r="N67" s="123">
        <v>35</v>
      </c>
      <c r="O67" s="123">
        <v>0</v>
      </c>
      <c r="P67" s="122">
        <v>0</v>
      </c>
      <c r="Q67" s="123">
        <v>0</v>
      </c>
      <c r="R67" s="123">
        <v>0</v>
      </c>
      <c r="S67" s="123">
        <v>0</v>
      </c>
      <c r="T67" s="122">
        <v>70</v>
      </c>
      <c r="U67" s="123">
        <v>55</v>
      </c>
      <c r="V67" s="123">
        <v>45</v>
      </c>
      <c r="W67" s="123">
        <v>0</v>
      </c>
      <c r="X67" s="122">
        <v>15</v>
      </c>
      <c r="Y67" s="123">
        <v>20</v>
      </c>
      <c r="Z67" s="123">
        <v>5</v>
      </c>
      <c r="AA67" s="123">
        <v>6</v>
      </c>
      <c r="AB67" s="122">
        <v>0</v>
      </c>
      <c r="AC67" s="123">
        <v>0</v>
      </c>
      <c r="AD67" s="123">
        <v>0</v>
      </c>
      <c r="AE67" s="122">
        <f t="shared" si="28"/>
        <v>135</v>
      </c>
      <c r="AF67" s="123">
        <f t="shared" si="29"/>
        <v>125</v>
      </c>
      <c r="AG67" s="123">
        <f t="shared" si="30"/>
        <v>85</v>
      </c>
      <c r="AH67" s="123">
        <f t="shared" si="31"/>
        <v>6</v>
      </c>
      <c r="AI67" s="298">
        <f t="shared" si="32"/>
        <v>21064588650</v>
      </c>
      <c r="AM67" s="10"/>
      <c r="AN67" s="10"/>
      <c r="AO67" s="10"/>
    </row>
    <row r="68" spans="1:41" ht="14.25" customHeight="1" x14ac:dyDescent="0.25">
      <c r="A68" s="10" t="s">
        <v>60</v>
      </c>
      <c r="B68" s="120" t="s">
        <v>333</v>
      </c>
      <c r="C68" s="134" t="s">
        <v>84</v>
      </c>
      <c r="D68" s="135" t="str">
        <f>IF(ISNUMBER(MATCH(Table13[[#This Row],[General]],COVENANTS!$A$2:$A$100,0)), "Y","N")</f>
        <v>Y</v>
      </c>
      <c r="E68" s="135" t="str">
        <f>IF(ISNUMBER(MATCH(Table13[[#This Row],[General]],COVENANTS!$B$2:$B$100,0)), "Y","N")</f>
        <v>N</v>
      </c>
      <c r="F68" s="135" t="str">
        <f>IF(ISNUMBER(MATCH(Table13[[#This Row],[General]],COVENANTS!$C$2:$C$100,0)), "Y","N")</f>
        <v>N</v>
      </c>
      <c r="G68" s="135" t="str">
        <f>IF(ISNUMBER(MATCH(Table13[[#This Row],[General]],COVENANTS!$D$2:$D$100,0)), "Y","N")</f>
        <v>Y</v>
      </c>
      <c r="H68" s="122">
        <v>25</v>
      </c>
      <c r="I68" s="123">
        <v>25</v>
      </c>
      <c r="J68" s="123">
        <v>25</v>
      </c>
      <c r="K68" s="123">
        <v>12</v>
      </c>
      <c r="L68" s="122">
        <v>50</v>
      </c>
      <c r="M68" s="123">
        <v>40</v>
      </c>
      <c r="N68" s="123">
        <v>50</v>
      </c>
      <c r="O68" s="123">
        <v>0</v>
      </c>
      <c r="P68" s="122">
        <v>0</v>
      </c>
      <c r="Q68" s="123">
        <v>0</v>
      </c>
      <c r="R68" s="123">
        <v>0</v>
      </c>
      <c r="S68" s="123">
        <v>0</v>
      </c>
      <c r="T68" s="122">
        <v>66</v>
      </c>
      <c r="U68" s="123">
        <v>45</v>
      </c>
      <c r="V68" s="123">
        <v>35</v>
      </c>
      <c r="W68" s="123">
        <v>0</v>
      </c>
      <c r="X68" s="122">
        <v>10</v>
      </c>
      <c r="Y68" s="123">
        <v>10</v>
      </c>
      <c r="Z68" s="123">
        <v>15</v>
      </c>
      <c r="AA68" s="123">
        <v>8</v>
      </c>
      <c r="AB68" s="122">
        <v>0</v>
      </c>
      <c r="AC68" s="123">
        <v>0</v>
      </c>
      <c r="AD68" s="123">
        <v>0</v>
      </c>
      <c r="AE68" s="122">
        <f t="shared" si="28"/>
        <v>126</v>
      </c>
      <c r="AF68" s="123">
        <f t="shared" si="29"/>
        <v>95</v>
      </c>
      <c r="AG68" s="123">
        <f t="shared" si="30"/>
        <v>100</v>
      </c>
      <c r="AH68" s="123">
        <f t="shared" si="31"/>
        <v>8</v>
      </c>
      <c r="AI68" s="298">
        <f t="shared" si="32"/>
        <v>20907183780</v>
      </c>
      <c r="AM68" s="10"/>
      <c r="AN68" s="10"/>
      <c r="AO68" s="10"/>
    </row>
    <row r="69" spans="1:41" ht="14.25" customHeight="1" x14ac:dyDescent="0.25">
      <c r="A69" s="10" t="s">
        <v>61</v>
      </c>
      <c r="B69" s="120" t="s">
        <v>332</v>
      </c>
      <c r="C69" s="134" t="s">
        <v>82</v>
      </c>
      <c r="D69" s="135" t="str">
        <f>IF(ISNUMBER(MATCH(Table13[[#This Row],[General]],COVENANTS!$A$2:$A$100,0)), "Y","N")</f>
        <v>Y</v>
      </c>
      <c r="E69" s="135" t="str">
        <f>IF(ISNUMBER(MATCH(Table13[[#This Row],[General]],COVENANTS!$B$2:$B$100,0)), "Y","N")</f>
        <v>Y</v>
      </c>
      <c r="F69" s="135" t="str">
        <f>IF(ISNUMBER(MATCH(Table13[[#This Row],[General]],COVENANTS!$C$2:$C$100,0)), "Y","N")</f>
        <v>N</v>
      </c>
      <c r="G69" s="135" t="str">
        <f>IF(ISNUMBER(MATCH(Table13[[#This Row],[General]],COVENANTS!$D$2:$D$100,0)), "Y","N")</f>
        <v>N</v>
      </c>
      <c r="H69" s="122">
        <v>25</v>
      </c>
      <c r="I69" s="123">
        <v>25</v>
      </c>
      <c r="J69" s="123">
        <v>25</v>
      </c>
      <c r="K69" s="123">
        <v>12</v>
      </c>
      <c r="L69" s="122">
        <v>50</v>
      </c>
      <c r="M69" s="123">
        <v>40</v>
      </c>
      <c r="N69" s="123">
        <v>50</v>
      </c>
      <c r="O69" s="123">
        <v>0</v>
      </c>
      <c r="P69" s="122">
        <v>0</v>
      </c>
      <c r="Q69" s="123">
        <v>0</v>
      </c>
      <c r="R69" s="123">
        <v>0</v>
      </c>
      <c r="S69" s="123">
        <v>0</v>
      </c>
      <c r="T69" s="122">
        <v>60</v>
      </c>
      <c r="U69" s="123">
        <v>50</v>
      </c>
      <c r="V69" s="123">
        <v>50</v>
      </c>
      <c r="W69" s="123">
        <v>0</v>
      </c>
      <c r="X69" s="122">
        <v>15</v>
      </c>
      <c r="Y69" s="123">
        <v>15</v>
      </c>
      <c r="Z69" s="123">
        <v>30</v>
      </c>
      <c r="AA69" s="123">
        <v>5</v>
      </c>
      <c r="AB69" s="122">
        <v>0</v>
      </c>
      <c r="AC69" s="123">
        <v>0</v>
      </c>
      <c r="AD69" s="123">
        <v>0</v>
      </c>
      <c r="AE69" s="122">
        <f t="shared" si="28"/>
        <v>125</v>
      </c>
      <c r="AF69" s="123">
        <f t="shared" si="29"/>
        <v>105</v>
      </c>
      <c r="AG69" s="123">
        <f t="shared" si="30"/>
        <v>130</v>
      </c>
      <c r="AH69" s="123">
        <f t="shared" si="31"/>
        <v>5</v>
      </c>
      <c r="AI69" s="298">
        <f t="shared" si="32"/>
        <v>19199906250</v>
      </c>
      <c r="AM69" s="10"/>
      <c r="AN69" s="10"/>
      <c r="AO69" s="10"/>
    </row>
    <row r="70" spans="1:41" ht="14.25" customHeight="1" x14ac:dyDescent="0.25">
      <c r="A70" s="10" t="s">
        <v>62</v>
      </c>
      <c r="B70" s="120" t="s">
        <v>333</v>
      </c>
      <c r="C70" s="134" t="s">
        <v>87</v>
      </c>
      <c r="D70" s="135" t="str">
        <f>IF(ISNUMBER(MATCH(Table13[[#This Row],[General]],COVENANTS!$A$2:$A$100,0)), "Y","N")</f>
        <v>Y</v>
      </c>
      <c r="E70" s="135" t="str">
        <f>IF(ISNUMBER(MATCH(Table13[[#This Row],[General]],COVENANTS!$B$2:$B$100,0)), "Y","N")</f>
        <v>N</v>
      </c>
      <c r="F70" s="135" t="str">
        <f>IF(ISNUMBER(MATCH(Table13[[#This Row],[General]],COVENANTS!$C$2:$C$100,0)), "Y","N")</f>
        <v>N</v>
      </c>
      <c r="G70" s="135" t="str">
        <f>IF(ISNUMBER(MATCH(Table13[[#This Row],[General]],COVENANTS!$D$2:$D$100,0)), "Y","N")</f>
        <v>N</v>
      </c>
      <c r="H70" s="122">
        <v>25</v>
      </c>
      <c r="I70" s="123">
        <v>25</v>
      </c>
      <c r="J70" s="123">
        <v>25</v>
      </c>
      <c r="K70" s="123">
        <v>12</v>
      </c>
      <c r="L70" s="122">
        <v>45</v>
      </c>
      <c r="M70" s="123">
        <v>35</v>
      </c>
      <c r="N70" s="123">
        <v>45</v>
      </c>
      <c r="O70" s="123">
        <v>0</v>
      </c>
      <c r="P70" s="122">
        <v>0</v>
      </c>
      <c r="Q70" s="123">
        <v>0</v>
      </c>
      <c r="R70" s="123">
        <v>0</v>
      </c>
      <c r="S70" s="123">
        <v>0</v>
      </c>
      <c r="T70" s="122">
        <v>60</v>
      </c>
      <c r="U70" s="123">
        <v>50</v>
      </c>
      <c r="V70" s="123">
        <v>50</v>
      </c>
      <c r="W70" s="123">
        <v>6</v>
      </c>
      <c r="X70" s="122">
        <v>10</v>
      </c>
      <c r="Y70" s="123">
        <v>5</v>
      </c>
      <c r="Z70" s="123">
        <v>5</v>
      </c>
      <c r="AA70" s="123">
        <v>0</v>
      </c>
      <c r="AB70" s="122">
        <v>0</v>
      </c>
      <c r="AC70" s="123">
        <v>0</v>
      </c>
      <c r="AD70" s="123">
        <v>0</v>
      </c>
      <c r="AE70" s="122">
        <f t="shared" si="28"/>
        <v>115</v>
      </c>
      <c r="AF70" s="123">
        <f t="shared" si="29"/>
        <v>90</v>
      </c>
      <c r="AG70" s="123">
        <f t="shared" si="30"/>
        <v>100</v>
      </c>
      <c r="AH70" s="123">
        <f t="shared" si="31"/>
        <v>6</v>
      </c>
      <c r="AI70" s="298">
        <f t="shared" si="32"/>
        <v>18383732850</v>
      </c>
      <c r="AM70" s="10"/>
      <c r="AN70" s="10"/>
      <c r="AO70" s="10"/>
    </row>
    <row r="71" spans="1:41" ht="14.25" customHeight="1" x14ac:dyDescent="0.25">
      <c r="A71" s="10" t="s">
        <v>63</v>
      </c>
      <c r="B71" s="120" t="s">
        <v>332</v>
      </c>
      <c r="C71" s="134" t="s">
        <v>88</v>
      </c>
      <c r="D71" s="135" t="str">
        <f>IF(ISNUMBER(MATCH(Table13[[#This Row],[General]],COVENANTS!$A$2:$A$100,0)), "Y","N")</f>
        <v>Y</v>
      </c>
      <c r="E71" s="135" t="str">
        <f>IF(ISNUMBER(MATCH(Table13[[#This Row],[General]],COVENANTS!$B$2:$B$100,0)), "Y","N")</f>
        <v>N</v>
      </c>
      <c r="F71" s="135" t="str">
        <f>IF(ISNUMBER(MATCH(Table13[[#This Row],[General]],COVENANTS!$C$2:$C$100,0)), "Y","N")</f>
        <v>Y</v>
      </c>
      <c r="G71" s="135" t="str">
        <f>IF(ISNUMBER(MATCH(Table13[[#This Row],[General]],COVENANTS!$D$2:$D$100,0)), "Y","N")</f>
        <v>Y</v>
      </c>
      <c r="H71" s="122">
        <v>25</v>
      </c>
      <c r="I71" s="123">
        <v>25</v>
      </c>
      <c r="J71" s="123">
        <v>25</v>
      </c>
      <c r="K71" s="123">
        <v>12</v>
      </c>
      <c r="L71" s="122">
        <v>45</v>
      </c>
      <c r="M71" s="123">
        <v>45</v>
      </c>
      <c r="N71" s="123">
        <v>30</v>
      </c>
      <c r="O71" s="123">
        <v>0</v>
      </c>
      <c r="P71" s="122">
        <v>0</v>
      </c>
      <c r="Q71" s="123">
        <v>0</v>
      </c>
      <c r="R71" s="123">
        <v>0</v>
      </c>
      <c r="S71" s="123">
        <v>0</v>
      </c>
      <c r="T71" s="122">
        <v>60</v>
      </c>
      <c r="U71" s="123">
        <v>45</v>
      </c>
      <c r="V71" s="123">
        <v>35</v>
      </c>
      <c r="W71" s="123">
        <v>6</v>
      </c>
      <c r="X71" s="122">
        <v>10</v>
      </c>
      <c r="Y71" s="123">
        <v>10</v>
      </c>
      <c r="Z71" s="123">
        <v>10</v>
      </c>
      <c r="AA71" s="123">
        <v>0</v>
      </c>
      <c r="AB71" s="122">
        <v>0</v>
      </c>
      <c r="AC71" s="123">
        <v>0</v>
      </c>
      <c r="AD71" s="123">
        <v>0</v>
      </c>
      <c r="AE71" s="122">
        <f t="shared" si="28"/>
        <v>115</v>
      </c>
      <c r="AF71" s="123">
        <f t="shared" si="29"/>
        <v>100</v>
      </c>
      <c r="AG71" s="123">
        <f t="shared" si="30"/>
        <v>75</v>
      </c>
      <c r="AH71" s="123">
        <f t="shared" si="31"/>
        <v>6</v>
      </c>
      <c r="AI71" s="298">
        <f t="shared" si="32"/>
        <v>18383732850</v>
      </c>
      <c r="AM71" s="10"/>
      <c r="AN71" s="10"/>
      <c r="AO71" s="10"/>
    </row>
    <row r="72" spans="1:41" ht="14.25" customHeight="1" x14ac:dyDescent="0.25">
      <c r="A72" s="10" t="s">
        <v>64</v>
      </c>
      <c r="B72" s="120" t="s">
        <v>333</v>
      </c>
      <c r="C72" s="134" t="s">
        <v>512</v>
      </c>
      <c r="D72" s="135" t="str">
        <f>IF(ISNUMBER(MATCH(Table13[[#This Row],[General]],COVENANTS!$A$2:$A$100,0)), "Y","N")</f>
        <v>Y</v>
      </c>
      <c r="E72" s="135" t="str">
        <f>IF(ISNUMBER(MATCH(Table13[[#This Row],[General]],COVENANTS!$B$2:$B$100,0)), "Y","N")</f>
        <v>N</v>
      </c>
      <c r="F72" s="135" t="str">
        <f>IF(ISNUMBER(MATCH(Table13[[#This Row],[General]],COVENANTS!$C$2:$C$100,0)), "Y","N")</f>
        <v>Y</v>
      </c>
      <c r="G72" s="135" t="str">
        <f>IF(ISNUMBER(MATCH(Table13[[#This Row],[General]],COVENANTS!$D$2:$D$100,0)), "Y","N")</f>
        <v>N</v>
      </c>
      <c r="H72" s="122">
        <v>25</v>
      </c>
      <c r="I72" s="123">
        <v>25</v>
      </c>
      <c r="J72" s="123">
        <v>25</v>
      </c>
      <c r="K72" s="123">
        <v>12</v>
      </c>
      <c r="L72" s="122">
        <v>40</v>
      </c>
      <c r="M72" s="123">
        <v>10</v>
      </c>
      <c r="N72" s="123">
        <v>40</v>
      </c>
      <c r="O72" s="123">
        <v>0</v>
      </c>
      <c r="P72" s="122">
        <v>0</v>
      </c>
      <c r="Q72" s="123">
        <v>0</v>
      </c>
      <c r="R72" s="123">
        <v>0</v>
      </c>
      <c r="S72" s="123">
        <v>0</v>
      </c>
      <c r="T72" s="122">
        <v>60</v>
      </c>
      <c r="U72" s="123">
        <v>35</v>
      </c>
      <c r="V72" s="123">
        <v>20</v>
      </c>
      <c r="W72" s="123">
        <v>0</v>
      </c>
      <c r="X72" s="122">
        <v>15</v>
      </c>
      <c r="Y72" s="123">
        <v>5</v>
      </c>
      <c r="Z72" s="123">
        <v>5</v>
      </c>
      <c r="AA72" s="123">
        <v>5</v>
      </c>
      <c r="AB72" s="122">
        <v>0</v>
      </c>
      <c r="AC72" s="123">
        <v>0</v>
      </c>
      <c r="AD72" s="123">
        <v>0</v>
      </c>
      <c r="AE72" s="122">
        <f t="shared" si="28"/>
        <v>115</v>
      </c>
      <c r="AF72" s="123">
        <f t="shared" si="29"/>
        <v>50</v>
      </c>
      <c r="AG72" s="123">
        <f t="shared" si="30"/>
        <v>65</v>
      </c>
      <c r="AH72" s="123">
        <f t="shared" si="31"/>
        <v>5</v>
      </c>
      <c r="AI72" s="298">
        <f t="shared" si="32"/>
        <v>17861834550</v>
      </c>
      <c r="AM72" s="10"/>
      <c r="AN72" s="10"/>
      <c r="AO72" s="10"/>
    </row>
    <row r="73" spans="1:41" ht="14.25" customHeight="1" x14ac:dyDescent="0.25">
      <c r="A73" s="10" t="s">
        <v>65</v>
      </c>
      <c r="B73" s="120" t="s">
        <v>332</v>
      </c>
      <c r="C73" s="134" t="s">
        <v>83</v>
      </c>
      <c r="D73" s="135" t="str">
        <f>IF(ISNUMBER(MATCH(Table13[[#This Row],[General]],COVENANTS!$A$2:$A$100,0)), "Y","N")</f>
        <v>N</v>
      </c>
      <c r="E73" s="135" t="str">
        <f>IF(ISNUMBER(MATCH(Table13[[#This Row],[General]],COVENANTS!$B$2:$B$100,0)), "Y","N")</f>
        <v>N</v>
      </c>
      <c r="F73" s="135" t="str">
        <f>IF(ISNUMBER(MATCH(Table13[[#This Row],[General]],COVENANTS!$C$2:$C$100,0)), "Y","N")</f>
        <v>N</v>
      </c>
      <c r="G73" s="135" t="str">
        <f>IF(ISNUMBER(MATCH(Table13[[#This Row],[General]],COVENANTS!$D$2:$D$100,0)), "Y","N")</f>
        <v>Y</v>
      </c>
      <c r="H73" s="122">
        <v>25</v>
      </c>
      <c r="I73" s="123">
        <v>25</v>
      </c>
      <c r="J73" s="123">
        <v>25</v>
      </c>
      <c r="K73" s="123">
        <v>12</v>
      </c>
      <c r="L73" s="122">
        <v>20</v>
      </c>
      <c r="M73" s="123">
        <v>0</v>
      </c>
      <c r="N73" s="123">
        <v>0</v>
      </c>
      <c r="O73" s="123">
        <v>0</v>
      </c>
      <c r="P73" s="122">
        <v>0</v>
      </c>
      <c r="Q73" s="123">
        <v>0</v>
      </c>
      <c r="R73" s="123">
        <v>0</v>
      </c>
      <c r="S73" s="123">
        <v>0</v>
      </c>
      <c r="T73" s="122">
        <v>50</v>
      </c>
      <c r="U73" s="123">
        <v>10</v>
      </c>
      <c r="V73" s="123">
        <v>20</v>
      </c>
      <c r="W73" s="123">
        <v>16</v>
      </c>
      <c r="X73" s="122">
        <v>0</v>
      </c>
      <c r="Y73" s="123">
        <v>0</v>
      </c>
      <c r="Z73" s="123">
        <v>0</v>
      </c>
      <c r="AA73" s="123">
        <v>0</v>
      </c>
      <c r="AB73" s="122">
        <v>0</v>
      </c>
      <c r="AC73" s="123">
        <v>0</v>
      </c>
      <c r="AD73" s="123">
        <v>0</v>
      </c>
      <c r="AE73" s="122">
        <f t="shared" si="28"/>
        <v>70</v>
      </c>
      <c r="AF73" s="123">
        <f t="shared" si="29"/>
        <v>10</v>
      </c>
      <c r="AG73" s="123">
        <f t="shared" si="30"/>
        <v>20</v>
      </c>
      <c r="AH73" s="123">
        <f t="shared" si="31"/>
        <v>16</v>
      </c>
      <c r="AI73" s="298">
        <f t="shared" si="32"/>
        <v>17464761300</v>
      </c>
      <c r="AM73" s="10"/>
      <c r="AN73" s="10"/>
      <c r="AO73" s="10"/>
    </row>
    <row r="74" spans="1:41" ht="14.25" customHeight="1" x14ac:dyDescent="0.25">
      <c r="A74" s="10" t="s">
        <v>66</v>
      </c>
      <c r="B74" s="120" t="s">
        <v>333</v>
      </c>
      <c r="C74" s="134" t="s">
        <v>92</v>
      </c>
      <c r="D74" s="135" t="str">
        <f>IF(ISNUMBER(MATCH(Table13[[#This Row],[General]],COVENANTS!$A$2:$A$100,0)), "Y","N")</f>
        <v>Y</v>
      </c>
      <c r="E74" s="135" t="str">
        <f>IF(ISNUMBER(MATCH(Table13[[#This Row],[General]],COVENANTS!$B$2:$B$100,0)), "Y","N")</f>
        <v>N</v>
      </c>
      <c r="F74" s="135" t="str">
        <f>IF(ISNUMBER(MATCH(Table13[[#This Row],[General]],COVENANTS!$C$2:$C$100,0)), "Y","N")</f>
        <v>Y</v>
      </c>
      <c r="G74" s="135" t="str">
        <f>IF(ISNUMBER(MATCH(Table13[[#This Row],[General]],COVENANTS!$D$2:$D$100,0)), "Y","N")</f>
        <v>Y</v>
      </c>
      <c r="H74" s="122">
        <v>0</v>
      </c>
      <c r="I74" s="123">
        <v>25</v>
      </c>
      <c r="J74" s="123">
        <v>25</v>
      </c>
      <c r="K74" s="123">
        <v>12</v>
      </c>
      <c r="L74" s="122">
        <v>45</v>
      </c>
      <c r="M74" s="123">
        <v>35</v>
      </c>
      <c r="N74" s="123">
        <v>35</v>
      </c>
      <c r="O74" s="123">
        <v>0</v>
      </c>
      <c r="P74" s="122">
        <v>0</v>
      </c>
      <c r="Q74" s="123">
        <v>0</v>
      </c>
      <c r="R74" s="123">
        <v>0</v>
      </c>
      <c r="S74" s="123">
        <v>0</v>
      </c>
      <c r="T74" s="122">
        <v>40</v>
      </c>
      <c r="U74" s="123">
        <v>50</v>
      </c>
      <c r="V74" s="123">
        <v>60</v>
      </c>
      <c r="W74" s="123">
        <v>0</v>
      </c>
      <c r="X74" s="122">
        <v>10</v>
      </c>
      <c r="Y74" s="123">
        <v>10</v>
      </c>
      <c r="Z74" s="123">
        <v>10</v>
      </c>
      <c r="AA74" s="123">
        <v>8</v>
      </c>
      <c r="AB74" s="122">
        <v>0</v>
      </c>
      <c r="AC74" s="123">
        <v>0</v>
      </c>
      <c r="AD74" s="123">
        <v>0</v>
      </c>
      <c r="AE74" s="122">
        <f t="shared" si="28"/>
        <v>95</v>
      </c>
      <c r="AF74" s="123">
        <f t="shared" si="29"/>
        <v>95</v>
      </c>
      <c r="AG74" s="123">
        <f t="shared" si="30"/>
        <v>105</v>
      </c>
      <c r="AH74" s="123">
        <f t="shared" si="31"/>
        <v>8</v>
      </c>
      <c r="AI74" s="298">
        <f t="shared" si="32"/>
        <v>16737248850</v>
      </c>
      <c r="AM74" s="10"/>
      <c r="AN74" s="10"/>
      <c r="AO74" s="10"/>
    </row>
    <row r="75" spans="1:41" ht="14.25" customHeight="1" x14ac:dyDescent="0.25">
      <c r="A75" s="10" t="s">
        <v>67</v>
      </c>
      <c r="B75" s="120" t="s">
        <v>332</v>
      </c>
      <c r="C75" s="134" t="s">
        <v>91</v>
      </c>
      <c r="D75" s="135" t="str">
        <f>IF(ISNUMBER(MATCH(Table13[[#This Row],[General]],COVENANTS!$A$2:$A$100,0)), "Y","N")</f>
        <v>N</v>
      </c>
      <c r="E75" s="135" t="str">
        <f>IF(ISNUMBER(MATCH(Table13[[#This Row],[General]],COVENANTS!$B$2:$B$100,0)), "Y","N")</f>
        <v>N</v>
      </c>
      <c r="F75" s="135" t="str">
        <f>IF(ISNUMBER(MATCH(Table13[[#This Row],[General]],COVENANTS!$C$2:$C$100,0)), "Y","N")</f>
        <v>Y</v>
      </c>
      <c r="G75" s="135" t="str">
        <f>IF(ISNUMBER(MATCH(Table13[[#This Row],[General]],COVENANTS!$D$2:$D$100,0)), "Y","N")</f>
        <v>N</v>
      </c>
      <c r="H75" s="122">
        <v>25</v>
      </c>
      <c r="I75" s="123">
        <v>25</v>
      </c>
      <c r="J75" s="123">
        <v>25</v>
      </c>
      <c r="K75" s="123">
        <v>12</v>
      </c>
      <c r="L75" s="122">
        <v>40</v>
      </c>
      <c r="M75" s="123">
        <v>25</v>
      </c>
      <c r="N75" s="123">
        <v>25</v>
      </c>
      <c r="O75" s="123">
        <v>0</v>
      </c>
      <c r="P75" s="122">
        <v>0</v>
      </c>
      <c r="Q75" s="123">
        <v>0</v>
      </c>
      <c r="R75" s="123">
        <v>0</v>
      </c>
      <c r="S75" s="123">
        <v>0</v>
      </c>
      <c r="T75" s="122">
        <v>60</v>
      </c>
      <c r="U75" s="123">
        <v>45</v>
      </c>
      <c r="V75" s="123">
        <v>35</v>
      </c>
      <c r="W75" s="123">
        <v>6</v>
      </c>
      <c r="X75" s="122">
        <v>0</v>
      </c>
      <c r="Y75" s="123">
        <v>0</v>
      </c>
      <c r="Z75" s="123">
        <v>0</v>
      </c>
      <c r="AA75" s="123">
        <v>0</v>
      </c>
      <c r="AB75" s="122">
        <v>0</v>
      </c>
      <c r="AC75" s="123">
        <v>0</v>
      </c>
      <c r="AD75" s="123">
        <v>0</v>
      </c>
      <c r="AE75" s="122">
        <f t="shared" si="28"/>
        <v>100</v>
      </c>
      <c r="AF75" s="123">
        <f t="shared" si="29"/>
        <v>70</v>
      </c>
      <c r="AG75" s="123">
        <f t="shared" si="30"/>
        <v>60</v>
      </c>
      <c r="AH75" s="123">
        <f t="shared" si="31"/>
        <v>6</v>
      </c>
      <c r="AI75" s="298">
        <f t="shared" si="32"/>
        <v>16373091000</v>
      </c>
      <c r="AM75" s="10"/>
      <c r="AN75" s="10"/>
      <c r="AO75" s="10"/>
    </row>
    <row r="76" spans="1:41" ht="14.25" customHeight="1" x14ac:dyDescent="0.25">
      <c r="A76" s="10" t="s">
        <v>68</v>
      </c>
      <c r="B76" s="120" t="s">
        <v>333</v>
      </c>
      <c r="C76" s="134" t="s">
        <v>296</v>
      </c>
      <c r="D76" s="135" t="str">
        <f>IF(ISNUMBER(MATCH(Table13[[#This Row],[General]],COVENANTS!$A$2:$A$100,0)), "Y","N")</f>
        <v>N</v>
      </c>
      <c r="E76" s="135" t="str">
        <f>IF(ISNUMBER(MATCH(Table13[[#This Row],[General]],COVENANTS!$B$2:$B$100,0)), "Y","N")</f>
        <v>N</v>
      </c>
      <c r="F76" s="135" t="str">
        <f>IF(ISNUMBER(MATCH(Table13[[#This Row],[General]],COVENANTS!$C$2:$C$100,0)), "Y","N")</f>
        <v>N</v>
      </c>
      <c r="G76" s="135" t="str">
        <f>IF(ISNUMBER(MATCH(Table13[[#This Row],[General]],COVENANTS!$D$2:$D$100,0)), "Y","N")</f>
        <v>N</v>
      </c>
      <c r="H76" s="122">
        <v>25</v>
      </c>
      <c r="I76" s="123">
        <v>25</v>
      </c>
      <c r="J76" s="123">
        <v>25</v>
      </c>
      <c r="K76" s="123">
        <v>12</v>
      </c>
      <c r="L76" s="122">
        <v>40</v>
      </c>
      <c r="M76" s="123">
        <v>40</v>
      </c>
      <c r="N76" s="123">
        <v>40</v>
      </c>
      <c r="O76" s="123">
        <v>0</v>
      </c>
      <c r="P76" s="122">
        <v>0</v>
      </c>
      <c r="Q76" s="123">
        <v>0</v>
      </c>
      <c r="R76" s="123">
        <v>0</v>
      </c>
      <c r="S76" s="123">
        <v>0</v>
      </c>
      <c r="T76" s="122">
        <v>55</v>
      </c>
      <c r="U76" s="123">
        <v>45</v>
      </c>
      <c r="V76" s="123">
        <v>45</v>
      </c>
      <c r="W76" s="123">
        <v>6</v>
      </c>
      <c r="X76" s="122">
        <v>0</v>
      </c>
      <c r="Y76" s="123">
        <v>0</v>
      </c>
      <c r="Z76" s="123">
        <v>0</v>
      </c>
      <c r="AA76" s="123">
        <v>0</v>
      </c>
      <c r="AB76" s="122">
        <v>0</v>
      </c>
      <c r="AC76" s="123">
        <v>0</v>
      </c>
      <c r="AD76" s="123">
        <v>0</v>
      </c>
      <c r="AE76" s="122">
        <f t="shared" si="28"/>
        <v>95</v>
      </c>
      <c r="AF76" s="123">
        <f t="shared" si="29"/>
        <v>85</v>
      </c>
      <c r="AG76" s="123">
        <f t="shared" si="30"/>
        <v>85</v>
      </c>
      <c r="AH76" s="123">
        <f t="shared" si="31"/>
        <v>6</v>
      </c>
      <c r="AI76" s="298">
        <f t="shared" si="32"/>
        <v>15702877050</v>
      </c>
      <c r="AM76" s="10"/>
      <c r="AN76" s="10"/>
      <c r="AO76" s="10"/>
    </row>
    <row r="77" spans="1:41" ht="14.25" customHeight="1" x14ac:dyDescent="0.25">
      <c r="A77" s="10" t="s">
        <v>69</v>
      </c>
      <c r="B77" s="120" t="s">
        <v>332</v>
      </c>
      <c r="C77" s="134" t="s">
        <v>100</v>
      </c>
      <c r="D77" s="135" t="str">
        <f>IF(ISNUMBER(MATCH(Table13[[#This Row],[General]],COVENANTS!$A$2:$A$100,0)), "Y","N")</f>
        <v>N</v>
      </c>
      <c r="E77" s="135" t="str">
        <f>IF(ISNUMBER(MATCH(Table13[[#This Row],[General]],COVENANTS!$B$2:$B$100,0)), "Y","N")</f>
        <v>N</v>
      </c>
      <c r="F77" s="135" t="str">
        <f>IF(ISNUMBER(MATCH(Table13[[#This Row],[General]],COVENANTS!$C$2:$C$100,0)), "Y","N")</f>
        <v>Y</v>
      </c>
      <c r="G77" s="135" t="str">
        <f>IF(ISNUMBER(MATCH(Table13[[#This Row],[General]],COVENANTS!$D$2:$D$100,0)), "Y","N")</f>
        <v>N</v>
      </c>
      <c r="H77" s="122">
        <v>25</v>
      </c>
      <c r="I77" s="123">
        <v>25</v>
      </c>
      <c r="J77" s="123">
        <v>25</v>
      </c>
      <c r="K77" s="123">
        <v>12</v>
      </c>
      <c r="L77" s="122">
        <v>35</v>
      </c>
      <c r="M77" s="123">
        <v>0</v>
      </c>
      <c r="N77" s="123">
        <v>30</v>
      </c>
      <c r="O77" s="123">
        <v>0</v>
      </c>
      <c r="P77" s="122">
        <v>0</v>
      </c>
      <c r="Q77" s="123">
        <v>0</v>
      </c>
      <c r="R77" s="123">
        <v>0</v>
      </c>
      <c r="S77" s="123">
        <v>0</v>
      </c>
      <c r="T77" s="122">
        <v>60</v>
      </c>
      <c r="U77" s="123">
        <v>20</v>
      </c>
      <c r="V77" s="123">
        <v>30</v>
      </c>
      <c r="W77" s="123">
        <v>6</v>
      </c>
      <c r="X77" s="122">
        <v>0</v>
      </c>
      <c r="Y77" s="123">
        <v>0</v>
      </c>
      <c r="Z77" s="123">
        <v>0</v>
      </c>
      <c r="AA77" s="123">
        <v>0</v>
      </c>
      <c r="AB77" s="122">
        <v>0</v>
      </c>
      <c r="AC77" s="123">
        <v>0</v>
      </c>
      <c r="AD77" s="123">
        <v>0</v>
      </c>
      <c r="AE77" s="122">
        <f t="shared" si="28"/>
        <v>95</v>
      </c>
      <c r="AF77" s="123">
        <f t="shared" si="29"/>
        <v>20</v>
      </c>
      <c r="AG77" s="123">
        <f t="shared" si="30"/>
        <v>60</v>
      </c>
      <c r="AH77" s="123">
        <f t="shared" si="31"/>
        <v>6</v>
      </c>
      <c r="AI77" s="298">
        <f t="shared" si="32"/>
        <v>15702877050</v>
      </c>
      <c r="AM77" s="10"/>
      <c r="AN77" s="10"/>
      <c r="AO77" s="10"/>
    </row>
    <row r="78" spans="1:41" ht="14.25" customHeight="1" x14ac:dyDescent="0.25">
      <c r="A78" s="10" t="s">
        <v>70</v>
      </c>
      <c r="B78" s="120" t="s">
        <v>333</v>
      </c>
      <c r="C78" s="134" t="s">
        <v>98</v>
      </c>
      <c r="D78" s="135" t="str">
        <f>IF(ISNUMBER(MATCH(Table13[[#This Row],[General]],COVENANTS!$A$2:$A$100,0)), "Y","N")</f>
        <v>N</v>
      </c>
      <c r="E78" s="135" t="str">
        <f>IF(ISNUMBER(MATCH(Table13[[#This Row],[General]],COVENANTS!$B$2:$B$100,0)), "Y","N")</f>
        <v>N</v>
      </c>
      <c r="F78" s="135" t="str">
        <f>IF(ISNUMBER(MATCH(Table13[[#This Row],[General]],COVENANTS!$C$2:$C$100,0)), "Y","N")</f>
        <v>Y</v>
      </c>
      <c r="G78" s="135" t="str">
        <f>IF(ISNUMBER(MATCH(Table13[[#This Row],[General]],COVENANTS!$D$2:$D$100,0)), "Y","N")</f>
        <v>N</v>
      </c>
      <c r="H78" s="122">
        <v>25</v>
      </c>
      <c r="I78" s="123">
        <v>25</v>
      </c>
      <c r="J78" s="123">
        <v>25</v>
      </c>
      <c r="K78" s="123">
        <v>12</v>
      </c>
      <c r="L78" s="122">
        <v>35</v>
      </c>
      <c r="M78" s="123">
        <v>15</v>
      </c>
      <c r="N78" s="123">
        <v>35</v>
      </c>
      <c r="O78" s="123">
        <v>0</v>
      </c>
      <c r="P78" s="122">
        <v>0</v>
      </c>
      <c r="Q78" s="123">
        <v>0</v>
      </c>
      <c r="R78" s="123">
        <v>0</v>
      </c>
      <c r="S78" s="123">
        <v>0</v>
      </c>
      <c r="T78" s="122">
        <v>55</v>
      </c>
      <c r="U78" s="123">
        <v>35</v>
      </c>
      <c r="V78" s="123">
        <v>35</v>
      </c>
      <c r="W78" s="123">
        <v>6</v>
      </c>
      <c r="X78" s="122">
        <v>0</v>
      </c>
      <c r="Y78" s="123">
        <v>0</v>
      </c>
      <c r="Z78" s="123">
        <v>0</v>
      </c>
      <c r="AA78" s="123">
        <v>0</v>
      </c>
      <c r="AB78" s="122">
        <v>0</v>
      </c>
      <c r="AC78" s="123">
        <v>0</v>
      </c>
      <c r="AD78" s="123">
        <v>0</v>
      </c>
      <c r="AE78" s="122">
        <f t="shared" si="28"/>
        <v>90</v>
      </c>
      <c r="AF78" s="123">
        <f t="shared" si="29"/>
        <v>50</v>
      </c>
      <c r="AG78" s="123">
        <f t="shared" si="30"/>
        <v>70</v>
      </c>
      <c r="AH78" s="123">
        <f t="shared" si="31"/>
        <v>6</v>
      </c>
      <c r="AI78" s="298">
        <f t="shared" si="32"/>
        <v>15032663100</v>
      </c>
      <c r="AM78" s="10"/>
      <c r="AN78" s="10"/>
      <c r="AO78" s="10"/>
    </row>
    <row r="79" spans="1:41" ht="14.25" customHeight="1" x14ac:dyDescent="0.25">
      <c r="A79" s="10" t="s">
        <v>71</v>
      </c>
      <c r="B79" s="120" t="s">
        <v>332</v>
      </c>
      <c r="C79" s="134" t="s">
        <v>104</v>
      </c>
      <c r="D79" s="135" t="str">
        <f>IF(ISNUMBER(MATCH(Table13[[#This Row],[General]],COVENANTS!$A$2:$A$100,0)), "Y","N")</f>
        <v>N</v>
      </c>
      <c r="E79" s="135" t="str">
        <f>IF(ISNUMBER(MATCH(Table13[[#This Row],[General]],COVENANTS!$B$2:$B$100,0)), "Y","N")</f>
        <v>N</v>
      </c>
      <c r="F79" s="135" t="str">
        <f>IF(ISNUMBER(MATCH(Table13[[#This Row],[General]],COVENANTS!$C$2:$C$100,0)), "Y","N")</f>
        <v>Y</v>
      </c>
      <c r="G79" s="135" t="str">
        <f>IF(ISNUMBER(MATCH(Table13[[#This Row],[General]],COVENANTS!$D$2:$D$100,0)), "Y","N")</f>
        <v>N</v>
      </c>
      <c r="H79" s="122">
        <v>25</v>
      </c>
      <c r="I79" s="123">
        <v>25</v>
      </c>
      <c r="J79" s="123">
        <v>25</v>
      </c>
      <c r="K79" s="123">
        <v>12</v>
      </c>
      <c r="L79" s="122">
        <v>30</v>
      </c>
      <c r="M79" s="123">
        <v>0</v>
      </c>
      <c r="N79" s="123">
        <v>30</v>
      </c>
      <c r="O79" s="123">
        <v>8</v>
      </c>
      <c r="P79" s="122">
        <v>0</v>
      </c>
      <c r="Q79" s="123">
        <v>0</v>
      </c>
      <c r="R79" s="123">
        <v>0</v>
      </c>
      <c r="S79" s="123">
        <v>0</v>
      </c>
      <c r="T79" s="122">
        <v>50</v>
      </c>
      <c r="U79" s="123">
        <v>50</v>
      </c>
      <c r="V79" s="123">
        <v>20</v>
      </c>
      <c r="W79" s="123">
        <v>0</v>
      </c>
      <c r="X79" s="122">
        <v>0</v>
      </c>
      <c r="Y79" s="123">
        <v>0</v>
      </c>
      <c r="Z79" s="123">
        <v>0</v>
      </c>
      <c r="AA79" s="123">
        <v>0</v>
      </c>
      <c r="AB79" s="122">
        <v>0</v>
      </c>
      <c r="AC79" s="123">
        <v>0</v>
      </c>
      <c r="AD79" s="123">
        <v>0</v>
      </c>
      <c r="AE79" s="122">
        <f t="shared" si="28"/>
        <v>80</v>
      </c>
      <c r="AF79" s="123">
        <f t="shared" si="29"/>
        <v>50</v>
      </c>
      <c r="AG79" s="123">
        <f t="shared" si="30"/>
        <v>50</v>
      </c>
      <c r="AH79" s="123">
        <f t="shared" si="31"/>
        <v>8</v>
      </c>
      <c r="AI79" s="298">
        <f t="shared" si="32"/>
        <v>14719538400</v>
      </c>
      <c r="AM79" s="10"/>
      <c r="AN79" s="10"/>
      <c r="AO79" s="10"/>
    </row>
    <row r="80" spans="1:41" ht="14.25" customHeight="1" x14ac:dyDescent="0.25">
      <c r="A80" s="10" t="s">
        <v>72</v>
      </c>
      <c r="B80" s="120" t="s">
        <v>332</v>
      </c>
      <c r="C80" s="134" t="s">
        <v>89</v>
      </c>
      <c r="D80" s="135" t="str">
        <f>IF(ISNUMBER(MATCH(Table13[[#This Row],[General]],COVENANTS!$A$2:$A$100,0)), "Y","N")</f>
        <v>N</v>
      </c>
      <c r="E80" s="135" t="str">
        <f>IF(ISNUMBER(MATCH(Table13[[#This Row],[General]],COVENANTS!$B$2:$B$100,0)), "Y","N")</f>
        <v>N</v>
      </c>
      <c r="F80" s="135" t="str">
        <f>IF(ISNUMBER(MATCH(Table13[[#This Row],[General]],COVENANTS!$C$2:$C$100,0)), "Y","N")</f>
        <v>Y</v>
      </c>
      <c r="G80" s="135" t="str">
        <f>IF(ISNUMBER(MATCH(Table13[[#This Row],[General]],COVENANTS!$D$2:$D$100,0)), "Y","N")</f>
        <v>N</v>
      </c>
      <c r="H80" s="122">
        <v>25</v>
      </c>
      <c r="I80" s="123">
        <v>25</v>
      </c>
      <c r="J80" s="123">
        <v>25</v>
      </c>
      <c r="K80" s="123">
        <v>12</v>
      </c>
      <c r="L80" s="122">
        <v>45</v>
      </c>
      <c r="M80" s="123">
        <v>30</v>
      </c>
      <c r="N80" s="123">
        <v>30</v>
      </c>
      <c r="O80" s="123">
        <v>0</v>
      </c>
      <c r="P80" s="122">
        <v>0</v>
      </c>
      <c r="Q80" s="123">
        <v>0</v>
      </c>
      <c r="R80" s="123">
        <v>0</v>
      </c>
      <c r="S80" s="123">
        <v>0</v>
      </c>
      <c r="T80" s="122">
        <v>60</v>
      </c>
      <c r="U80" s="123">
        <v>55</v>
      </c>
      <c r="V80" s="123">
        <v>20</v>
      </c>
      <c r="W80" s="123">
        <v>0</v>
      </c>
      <c r="X80" s="122">
        <v>0</v>
      </c>
      <c r="Y80" s="123">
        <v>0</v>
      </c>
      <c r="Z80" s="123">
        <v>0</v>
      </c>
      <c r="AA80" s="123">
        <v>0</v>
      </c>
      <c r="AB80" s="122">
        <v>0</v>
      </c>
      <c r="AC80" s="123">
        <v>0</v>
      </c>
      <c r="AD80" s="123">
        <v>0</v>
      </c>
      <c r="AE80" s="122">
        <f t="shared" si="28"/>
        <v>105</v>
      </c>
      <c r="AF80" s="123">
        <f t="shared" si="29"/>
        <v>85</v>
      </c>
      <c r="AG80" s="123">
        <f t="shared" si="30"/>
        <v>50</v>
      </c>
      <c r="AH80" s="123">
        <f t="shared" si="31"/>
        <v>0</v>
      </c>
      <c r="AI80" s="298">
        <f t="shared" si="32"/>
        <v>13926052350</v>
      </c>
      <c r="AM80" s="10"/>
      <c r="AN80" s="10"/>
      <c r="AO80" s="10"/>
    </row>
    <row r="81" spans="1:44" ht="14.25" customHeight="1" x14ac:dyDescent="0.25">
      <c r="A81" s="10" t="s">
        <v>73</v>
      </c>
      <c r="B81" s="120" t="s">
        <v>332</v>
      </c>
      <c r="C81" s="134" t="s">
        <v>294</v>
      </c>
      <c r="D81" s="135" t="str">
        <f>IF(ISNUMBER(MATCH(Table13[[#This Row],[General]],COVENANTS!$A$2:$A$100,0)), "Y","N")</f>
        <v>N</v>
      </c>
      <c r="E81" s="135" t="str">
        <f>IF(ISNUMBER(MATCH(Table13[[#This Row],[General]],COVENANTS!$B$2:$B$100,0)), "Y","N")</f>
        <v>N</v>
      </c>
      <c r="F81" s="135" t="str">
        <f>IF(ISNUMBER(MATCH(Table13[[#This Row],[General]],COVENANTS!$C$2:$C$100,0)), "Y","N")</f>
        <v>Y</v>
      </c>
      <c r="G81" s="135" t="str">
        <f>IF(ISNUMBER(MATCH(Table13[[#This Row],[General]],COVENANTS!$D$2:$D$100,0)), "Y","N")</f>
        <v>N</v>
      </c>
      <c r="H81" s="122">
        <v>25</v>
      </c>
      <c r="I81" s="123">
        <v>25</v>
      </c>
      <c r="J81" s="123">
        <v>25</v>
      </c>
      <c r="K81" s="123">
        <v>12</v>
      </c>
      <c r="L81" s="122">
        <v>35</v>
      </c>
      <c r="M81" s="123">
        <v>0</v>
      </c>
      <c r="N81" s="123">
        <v>0</v>
      </c>
      <c r="O81" s="123">
        <v>0</v>
      </c>
      <c r="P81" s="122">
        <v>0</v>
      </c>
      <c r="Q81" s="123">
        <v>0</v>
      </c>
      <c r="R81" s="123">
        <v>0</v>
      </c>
      <c r="S81" s="123">
        <v>0</v>
      </c>
      <c r="T81" s="122">
        <v>46</v>
      </c>
      <c r="U81" s="123">
        <v>20</v>
      </c>
      <c r="V81" s="123">
        <v>10</v>
      </c>
      <c r="W81" s="123">
        <v>6</v>
      </c>
      <c r="X81" s="122"/>
      <c r="Y81" s="123"/>
      <c r="Z81" s="123"/>
      <c r="AA81" s="123"/>
      <c r="AB81" s="122">
        <v>0</v>
      </c>
      <c r="AC81" s="123">
        <v>0</v>
      </c>
      <c r="AD81" s="123">
        <v>0</v>
      </c>
      <c r="AE81" s="122">
        <f t="shared" si="28"/>
        <v>81</v>
      </c>
      <c r="AF81" s="123">
        <f t="shared" si="29"/>
        <v>20</v>
      </c>
      <c r="AG81" s="123">
        <f t="shared" si="30"/>
        <v>10</v>
      </c>
      <c r="AH81" s="123">
        <f t="shared" si="31"/>
        <v>6</v>
      </c>
      <c r="AI81" s="298">
        <f t="shared" si="32"/>
        <v>13826277990</v>
      </c>
      <c r="AM81" s="10"/>
      <c r="AN81" s="10"/>
      <c r="AO81" s="10"/>
    </row>
    <row r="82" spans="1:44" ht="14.25" customHeight="1" x14ac:dyDescent="0.25">
      <c r="A82" s="10" t="s">
        <v>74</v>
      </c>
      <c r="B82" s="120" t="s">
        <v>332</v>
      </c>
      <c r="C82" s="134" t="s">
        <v>103</v>
      </c>
      <c r="D82" s="135" t="str">
        <f>IF(ISNUMBER(MATCH(Table13[[#This Row],[General]],COVENANTS!$A$2:$A$100,0)), "Y","N")</f>
        <v>N</v>
      </c>
      <c r="E82" s="135" t="str">
        <f>IF(ISNUMBER(MATCH(Table13[[#This Row],[General]],COVENANTS!$B$2:$B$100,0)), "Y","N")</f>
        <v>N</v>
      </c>
      <c r="F82" s="135" t="str">
        <f>IF(ISNUMBER(MATCH(Table13[[#This Row],[General]],COVENANTS!$C$2:$C$100,0)), "Y","N")</f>
        <v>Y</v>
      </c>
      <c r="G82" s="135" t="str">
        <f>IF(ISNUMBER(MATCH(Table13[[#This Row],[General]],COVENANTS!$D$2:$D$100,0)), "Y","N")</f>
        <v>Y</v>
      </c>
      <c r="H82" s="122">
        <v>25</v>
      </c>
      <c r="I82" s="123">
        <v>25</v>
      </c>
      <c r="J82" s="123">
        <v>25</v>
      </c>
      <c r="K82" s="123">
        <v>12</v>
      </c>
      <c r="L82" s="122">
        <v>30</v>
      </c>
      <c r="M82" s="123">
        <v>0</v>
      </c>
      <c r="N82" s="123">
        <v>20</v>
      </c>
      <c r="O82" s="123">
        <v>0</v>
      </c>
      <c r="P82" s="122">
        <v>0</v>
      </c>
      <c r="Q82" s="123">
        <v>0</v>
      </c>
      <c r="R82" s="123">
        <v>0</v>
      </c>
      <c r="S82" s="123">
        <v>0</v>
      </c>
      <c r="T82" s="122">
        <v>50</v>
      </c>
      <c r="U82" s="123">
        <v>10</v>
      </c>
      <c r="V82" s="123">
        <v>50</v>
      </c>
      <c r="W82" s="123">
        <v>6</v>
      </c>
      <c r="X82" s="122">
        <v>0</v>
      </c>
      <c r="Y82" s="123">
        <v>0</v>
      </c>
      <c r="Z82" s="123">
        <v>0</v>
      </c>
      <c r="AA82" s="123">
        <v>0</v>
      </c>
      <c r="AB82" s="122">
        <v>0</v>
      </c>
      <c r="AC82" s="123">
        <v>0</v>
      </c>
      <c r="AD82" s="123">
        <v>0</v>
      </c>
      <c r="AE82" s="122">
        <f t="shared" si="28"/>
        <v>80</v>
      </c>
      <c r="AF82" s="123">
        <f t="shared" si="29"/>
        <v>10</v>
      </c>
      <c r="AG82" s="123">
        <f t="shared" si="30"/>
        <v>70</v>
      </c>
      <c r="AH82" s="123">
        <f t="shared" si="31"/>
        <v>6</v>
      </c>
      <c r="AI82" s="298">
        <f t="shared" si="32"/>
        <v>13692235200</v>
      </c>
      <c r="AM82" s="10"/>
      <c r="AN82" s="10"/>
      <c r="AO82" s="10"/>
    </row>
    <row r="83" spans="1:44" ht="14.25" customHeight="1" x14ac:dyDescent="0.25">
      <c r="A83" s="10" t="s">
        <v>75</v>
      </c>
      <c r="B83" s="120" t="s">
        <v>333</v>
      </c>
      <c r="C83" s="142" t="s">
        <v>96</v>
      </c>
      <c r="D83" s="135" t="str">
        <f>IF(ISNUMBER(MATCH(Table13[[#This Row],[General]],COVENANTS!$A$2:$A$100,0)), "Y","N")</f>
        <v>N</v>
      </c>
      <c r="E83" s="135" t="str">
        <f>IF(ISNUMBER(MATCH(Table13[[#This Row],[General]],COVENANTS!$B$2:$B$100,0)), "Y","N")</f>
        <v>Y</v>
      </c>
      <c r="F83" s="135" t="str">
        <f>IF(ISNUMBER(MATCH(Table13[[#This Row],[General]],COVENANTS!$C$2:$C$100,0)), "Y","N")</f>
        <v>N</v>
      </c>
      <c r="G83" s="135" t="str">
        <f>IF(ISNUMBER(MATCH(Table13[[#This Row],[General]],COVENANTS!$D$2:$D$100,0)), "Y","N")</f>
        <v>N</v>
      </c>
      <c r="H83" s="122">
        <v>25</v>
      </c>
      <c r="I83" s="123">
        <v>25</v>
      </c>
      <c r="J83" s="123">
        <v>25</v>
      </c>
      <c r="K83" s="123">
        <v>12</v>
      </c>
      <c r="L83" s="122">
        <v>15</v>
      </c>
      <c r="M83" s="123">
        <v>15</v>
      </c>
      <c r="N83" s="123">
        <v>20</v>
      </c>
      <c r="O83" s="123">
        <v>0</v>
      </c>
      <c r="P83" s="122">
        <v>0</v>
      </c>
      <c r="Q83" s="123">
        <v>0</v>
      </c>
      <c r="R83" s="123">
        <v>0</v>
      </c>
      <c r="S83" s="123">
        <v>0</v>
      </c>
      <c r="T83" s="122">
        <v>46</v>
      </c>
      <c r="U83" s="123">
        <v>10</v>
      </c>
      <c r="V83" s="123">
        <v>36</v>
      </c>
      <c r="W83" s="123">
        <v>10</v>
      </c>
      <c r="X83" s="122">
        <v>0</v>
      </c>
      <c r="Y83" s="123">
        <v>0</v>
      </c>
      <c r="Z83" s="123">
        <v>0</v>
      </c>
      <c r="AA83" s="123">
        <v>0</v>
      </c>
      <c r="AB83" s="122">
        <v>0</v>
      </c>
      <c r="AC83" s="123">
        <v>0</v>
      </c>
      <c r="AD83" s="123">
        <v>0</v>
      </c>
      <c r="AE83" s="122">
        <f t="shared" si="28"/>
        <v>61</v>
      </c>
      <c r="AF83" s="123">
        <f t="shared" si="29"/>
        <v>25</v>
      </c>
      <c r="AG83" s="123">
        <f t="shared" si="30"/>
        <v>56</v>
      </c>
      <c r="AH83" s="123">
        <f t="shared" si="31"/>
        <v>10</v>
      </c>
      <c r="AI83" s="298">
        <f t="shared" si="32"/>
        <v>13182121470</v>
      </c>
      <c r="AM83" s="10"/>
      <c r="AN83" s="10"/>
      <c r="AO83" s="10"/>
    </row>
    <row r="84" spans="1:44" ht="14.25" customHeight="1" x14ac:dyDescent="0.25">
      <c r="A84" s="10" t="s">
        <v>76</v>
      </c>
      <c r="B84" s="120" t="s">
        <v>332</v>
      </c>
      <c r="C84" s="142" t="s">
        <v>97</v>
      </c>
      <c r="D84" s="135" t="str">
        <f>IF(ISNUMBER(MATCH(Table13[[#This Row],[General]],COVENANTS!$A$2:$A$100,0)), "Y","N")</f>
        <v>N</v>
      </c>
      <c r="E84" s="135" t="str">
        <f>IF(ISNUMBER(MATCH(Table13[[#This Row],[General]],COVENANTS!$B$2:$B$100,0)), "Y","N")</f>
        <v>Y</v>
      </c>
      <c r="F84" s="135" t="str">
        <f>IF(ISNUMBER(MATCH(Table13[[#This Row],[General]],COVENANTS!$C$2:$C$100,0)), "Y","N")</f>
        <v>Y</v>
      </c>
      <c r="G84" s="135" t="str">
        <f>IF(ISNUMBER(MATCH(Table13[[#This Row],[General]],COVENANTS!$D$2:$D$100,0)), "Y","N")</f>
        <v>Y</v>
      </c>
      <c r="H84" s="122">
        <v>25</v>
      </c>
      <c r="I84" s="123">
        <v>25</v>
      </c>
      <c r="J84" s="123">
        <v>25</v>
      </c>
      <c r="K84" s="123">
        <v>12</v>
      </c>
      <c r="L84" s="122">
        <v>40</v>
      </c>
      <c r="M84" s="123">
        <v>0</v>
      </c>
      <c r="N84" s="123">
        <v>35</v>
      </c>
      <c r="O84" s="123">
        <v>0</v>
      </c>
      <c r="P84" s="122">
        <v>0</v>
      </c>
      <c r="Q84" s="123">
        <v>0</v>
      </c>
      <c r="R84" s="123">
        <v>0</v>
      </c>
      <c r="S84" s="123">
        <v>0</v>
      </c>
      <c r="T84" s="122">
        <v>55</v>
      </c>
      <c r="U84" s="123">
        <v>20</v>
      </c>
      <c r="V84" s="123">
        <v>50</v>
      </c>
      <c r="W84" s="123">
        <v>0</v>
      </c>
      <c r="X84" s="122">
        <v>0</v>
      </c>
      <c r="Y84" s="123">
        <v>0</v>
      </c>
      <c r="Z84" s="123">
        <v>0</v>
      </c>
      <c r="AA84" s="123">
        <v>0</v>
      </c>
      <c r="AB84" s="122">
        <v>0</v>
      </c>
      <c r="AC84" s="123">
        <v>0</v>
      </c>
      <c r="AD84" s="123">
        <v>0</v>
      </c>
      <c r="AE84" s="122">
        <f t="shared" si="28"/>
        <v>95</v>
      </c>
      <c r="AF84" s="123">
        <f t="shared" si="29"/>
        <v>20</v>
      </c>
      <c r="AG84" s="123">
        <f t="shared" si="30"/>
        <v>85</v>
      </c>
      <c r="AH84" s="123">
        <f t="shared" si="31"/>
        <v>0</v>
      </c>
      <c r="AI84" s="298">
        <f t="shared" si="32"/>
        <v>12599761650</v>
      </c>
    </row>
    <row r="85" spans="1:44" ht="14.25" customHeight="1" x14ac:dyDescent="0.25">
      <c r="A85" s="10" t="s">
        <v>77</v>
      </c>
      <c r="B85" s="120" t="s">
        <v>333</v>
      </c>
      <c r="C85" s="142" t="s">
        <v>106</v>
      </c>
      <c r="D85" s="135" t="str">
        <f>IF(ISNUMBER(MATCH(Table13[[#This Row],[General]],COVENANTS!$A$2:$A$100,0)), "Y","N")</f>
        <v>N</v>
      </c>
      <c r="E85" s="135" t="str">
        <f>IF(ISNUMBER(MATCH(Table13[[#This Row],[General]],COVENANTS!$B$2:$B$100,0)), "Y","N")</f>
        <v>N</v>
      </c>
      <c r="F85" s="135" t="str">
        <f>IF(ISNUMBER(MATCH(Table13[[#This Row],[General]],COVENANTS!$C$2:$C$100,0)), "Y","N")</f>
        <v>Y</v>
      </c>
      <c r="G85" s="135" t="str">
        <f>IF(ISNUMBER(MATCH(Table13[[#This Row],[General]],COVENANTS!$D$2:$D$100,0)), "Y","N")</f>
        <v>N</v>
      </c>
      <c r="H85" s="122">
        <v>0</v>
      </c>
      <c r="I85" s="123">
        <v>25</v>
      </c>
      <c r="J85" s="123">
        <v>25</v>
      </c>
      <c r="K85" s="123">
        <v>12</v>
      </c>
      <c r="L85" s="122">
        <v>35</v>
      </c>
      <c r="M85" s="123">
        <v>15</v>
      </c>
      <c r="N85" s="123">
        <v>15</v>
      </c>
      <c r="O85" s="123">
        <v>0</v>
      </c>
      <c r="P85" s="122">
        <v>0</v>
      </c>
      <c r="Q85" s="123">
        <v>0</v>
      </c>
      <c r="R85" s="123">
        <v>0</v>
      </c>
      <c r="S85" s="123">
        <v>0</v>
      </c>
      <c r="T85" s="122">
        <v>60</v>
      </c>
      <c r="U85" s="123">
        <v>25</v>
      </c>
      <c r="V85" s="123">
        <v>35</v>
      </c>
      <c r="W85" s="123">
        <v>0</v>
      </c>
      <c r="X85" s="122">
        <v>0</v>
      </c>
      <c r="Y85" s="123">
        <v>0</v>
      </c>
      <c r="Z85" s="123">
        <v>0</v>
      </c>
      <c r="AA85" s="123">
        <v>0</v>
      </c>
      <c r="AB85" s="122">
        <v>0</v>
      </c>
      <c r="AC85" s="123">
        <v>0</v>
      </c>
      <c r="AD85" s="123">
        <v>0</v>
      </c>
      <c r="AE85" s="122">
        <f t="shared" si="28"/>
        <v>95</v>
      </c>
      <c r="AF85" s="123">
        <f t="shared" si="29"/>
        <v>40</v>
      </c>
      <c r="AG85" s="123">
        <f t="shared" si="30"/>
        <v>50</v>
      </c>
      <c r="AH85" s="123">
        <f t="shared" si="31"/>
        <v>0</v>
      </c>
      <c r="AI85" s="298">
        <f t="shared" si="32"/>
        <v>12599761650</v>
      </c>
    </row>
    <row r="86" spans="1:44" ht="14.25" customHeight="1" x14ac:dyDescent="0.25">
      <c r="A86" s="10" t="s">
        <v>78</v>
      </c>
      <c r="B86" s="120" t="s">
        <v>333</v>
      </c>
      <c r="C86" s="142" t="s">
        <v>95</v>
      </c>
      <c r="D86" s="135" t="str">
        <f>IF(ISNUMBER(MATCH(Table13[[#This Row],[General]],COVENANTS!$A$2:$A$100,0)), "Y","N")</f>
        <v>N</v>
      </c>
      <c r="E86" s="135" t="str">
        <f>IF(ISNUMBER(MATCH(Table13[[#This Row],[General]],COVENANTS!$B$2:$B$100,0)), "Y","N")</f>
        <v>Y</v>
      </c>
      <c r="F86" s="135" t="str">
        <f>IF(ISNUMBER(MATCH(Table13[[#This Row],[General]],COVENANTS!$C$2:$C$100,0)), "Y","N")</f>
        <v>Y</v>
      </c>
      <c r="G86" s="135" t="str">
        <f>IF(ISNUMBER(MATCH(Table13[[#This Row],[General]],COVENANTS!$D$2:$D$100,0)), "Y","N")</f>
        <v>N</v>
      </c>
      <c r="H86" s="122">
        <v>0</v>
      </c>
      <c r="I86" s="123">
        <v>25</v>
      </c>
      <c r="J86" s="123">
        <v>25</v>
      </c>
      <c r="K86" s="123">
        <v>12</v>
      </c>
      <c r="L86" s="122">
        <v>35</v>
      </c>
      <c r="M86" s="123">
        <v>35</v>
      </c>
      <c r="N86" s="123">
        <v>0</v>
      </c>
      <c r="O86" s="123">
        <v>0</v>
      </c>
      <c r="P86" s="122">
        <v>0</v>
      </c>
      <c r="Q86" s="123">
        <v>0</v>
      </c>
      <c r="R86" s="123">
        <v>0</v>
      </c>
      <c r="S86" s="123">
        <v>0</v>
      </c>
      <c r="T86" s="122">
        <v>60</v>
      </c>
      <c r="U86" s="123">
        <v>35</v>
      </c>
      <c r="V86" s="123">
        <v>40</v>
      </c>
      <c r="W86" s="123">
        <v>0</v>
      </c>
      <c r="X86" s="122">
        <v>0</v>
      </c>
      <c r="Y86" s="123">
        <v>0</v>
      </c>
      <c r="Z86" s="123">
        <v>0</v>
      </c>
      <c r="AA86" s="123">
        <v>0</v>
      </c>
      <c r="AB86" s="122">
        <v>0</v>
      </c>
      <c r="AC86" s="123">
        <v>0</v>
      </c>
      <c r="AD86" s="123">
        <v>0</v>
      </c>
      <c r="AE86" s="122">
        <f t="shared" si="28"/>
        <v>95</v>
      </c>
      <c r="AF86" s="123">
        <f t="shared" si="29"/>
        <v>70</v>
      </c>
      <c r="AG86" s="123">
        <f t="shared" si="30"/>
        <v>40</v>
      </c>
      <c r="AH86" s="123">
        <f t="shared" si="31"/>
        <v>0</v>
      </c>
      <c r="AI86" s="298">
        <f t="shared" si="32"/>
        <v>12599761650</v>
      </c>
    </row>
    <row r="87" spans="1:44" ht="14.25" customHeight="1" x14ac:dyDescent="0.25">
      <c r="A87" s="10" t="s">
        <v>79</v>
      </c>
      <c r="B87" s="120" t="s">
        <v>332</v>
      </c>
      <c r="C87" s="134" t="s">
        <v>93</v>
      </c>
      <c r="D87" s="135" t="str">
        <f>IF(ISNUMBER(MATCH(Table13[[#This Row],[General]],COVENANTS!$A$2:$A$100,0)), "Y","N")</f>
        <v>N</v>
      </c>
      <c r="E87" s="135" t="str">
        <f>IF(ISNUMBER(MATCH(Table13[[#This Row],[General]],COVENANTS!$B$2:$B$100,0)), "Y","N")</f>
        <v>N</v>
      </c>
      <c r="F87" s="135" t="str">
        <f>IF(ISNUMBER(MATCH(Table13[[#This Row],[General]],COVENANTS!$C$2:$C$100,0)), "Y","N")</f>
        <v>N</v>
      </c>
      <c r="G87" s="135" t="str">
        <f>IF(ISNUMBER(MATCH(Table13[[#This Row],[General]],COVENANTS!$D$2:$D$100,0)), "Y","N")</f>
        <v>N</v>
      </c>
      <c r="H87" s="122">
        <v>25</v>
      </c>
      <c r="I87" s="123">
        <v>25</v>
      </c>
      <c r="J87" s="123">
        <v>25</v>
      </c>
      <c r="K87" s="123">
        <v>12</v>
      </c>
      <c r="L87" s="122">
        <v>30</v>
      </c>
      <c r="M87" s="123">
        <v>0</v>
      </c>
      <c r="N87" s="123">
        <v>30</v>
      </c>
      <c r="O87" s="123">
        <v>0</v>
      </c>
      <c r="P87" s="122">
        <v>0</v>
      </c>
      <c r="Q87" s="123">
        <v>0</v>
      </c>
      <c r="R87" s="123">
        <v>0</v>
      </c>
      <c r="S87" s="123">
        <v>0</v>
      </c>
      <c r="T87" s="122">
        <v>60</v>
      </c>
      <c r="U87" s="123">
        <v>10</v>
      </c>
      <c r="V87" s="123">
        <v>50</v>
      </c>
      <c r="W87" s="123">
        <v>0</v>
      </c>
      <c r="X87" s="122">
        <v>0</v>
      </c>
      <c r="Y87" s="123">
        <v>15</v>
      </c>
      <c r="Z87" s="123">
        <v>15</v>
      </c>
      <c r="AA87" s="123">
        <v>0</v>
      </c>
      <c r="AB87" s="122">
        <v>0</v>
      </c>
      <c r="AC87" s="123">
        <v>0</v>
      </c>
      <c r="AD87" s="123">
        <v>0</v>
      </c>
      <c r="AE87" s="122">
        <f t="shared" si="28"/>
        <v>90</v>
      </c>
      <c r="AF87" s="123">
        <f t="shared" si="29"/>
        <v>25</v>
      </c>
      <c r="AG87" s="123">
        <f t="shared" si="30"/>
        <v>95</v>
      </c>
      <c r="AH87" s="123">
        <f t="shared" si="31"/>
        <v>0</v>
      </c>
      <c r="AI87" s="298">
        <f t="shared" si="32"/>
        <v>11936616300</v>
      </c>
    </row>
    <row r="88" spans="1:44" ht="14.25" customHeight="1" x14ac:dyDescent="0.25">
      <c r="A88" s="10" t="s">
        <v>80</v>
      </c>
      <c r="B88" s="120" t="s">
        <v>332</v>
      </c>
      <c r="C88" s="142" t="s">
        <v>94</v>
      </c>
      <c r="D88" s="135" t="str">
        <f>IF(ISNUMBER(MATCH(Table13[[#This Row],[General]],COVENANTS!$A$2:$A$100,0)), "Y","N")</f>
        <v>N</v>
      </c>
      <c r="E88" s="135" t="str">
        <f>IF(ISNUMBER(MATCH(Table13[[#This Row],[General]],COVENANTS!$B$2:$B$100,0)), "Y","N")</f>
        <v>N</v>
      </c>
      <c r="F88" s="135" t="str">
        <f>IF(ISNUMBER(MATCH(Table13[[#This Row],[General]],COVENANTS!$C$2:$C$100,0)), "Y","N")</f>
        <v>Y</v>
      </c>
      <c r="G88" s="135" t="str">
        <f>IF(ISNUMBER(MATCH(Table13[[#This Row],[General]],COVENANTS!$D$2:$D$100,0)), "Y","N")</f>
        <v>N</v>
      </c>
      <c r="H88" s="122">
        <v>25</v>
      </c>
      <c r="I88" s="123">
        <v>25</v>
      </c>
      <c r="J88" s="123">
        <v>25</v>
      </c>
      <c r="K88" s="123">
        <v>12</v>
      </c>
      <c r="L88" s="122">
        <v>25</v>
      </c>
      <c r="M88" s="123">
        <v>0</v>
      </c>
      <c r="N88" s="123">
        <v>10</v>
      </c>
      <c r="O88" s="123">
        <v>0</v>
      </c>
      <c r="P88" s="122">
        <v>0</v>
      </c>
      <c r="Q88" s="123">
        <v>0</v>
      </c>
      <c r="R88" s="123">
        <v>0</v>
      </c>
      <c r="S88" s="123">
        <v>0</v>
      </c>
      <c r="T88" s="122">
        <v>41</v>
      </c>
      <c r="U88" s="123">
        <v>0</v>
      </c>
      <c r="V88" s="123">
        <v>10</v>
      </c>
      <c r="W88" s="123">
        <v>6</v>
      </c>
      <c r="X88" s="122">
        <v>0</v>
      </c>
      <c r="Y88" s="123">
        <v>0</v>
      </c>
      <c r="Z88" s="123">
        <v>0</v>
      </c>
      <c r="AA88" s="123">
        <v>0</v>
      </c>
      <c r="AB88" s="122">
        <v>0</v>
      </c>
      <c r="AC88" s="123">
        <v>0</v>
      </c>
      <c r="AD88" s="123">
        <v>0</v>
      </c>
      <c r="AE88" s="122">
        <f t="shared" si="28"/>
        <v>66</v>
      </c>
      <c r="AF88" s="123">
        <f t="shared" si="29"/>
        <v>0</v>
      </c>
      <c r="AG88" s="123">
        <f t="shared" si="30"/>
        <v>20</v>
      </c>
      <c r="AH88" s="123">
        <f t="shared" si="31"/>
        <v>6</v>
      </c>
      <c r="AI88" s="298">
        <f t="shared" si="32"/>
        <v>11815636140</v>
      </c>
    </row>
    <row r="89" spans="1:44" ht="14.25" customHeight="1" x14ac:dyDescent="0.25">
      <c r="A89" s="10" t="s">
        <v>81</v>
      </c>
      <c r="B89" s="120" t="s">
        <v>332</v>
      </c>
      <c r="C89" s="134" t="s">
        <v>105</v>
      </c>
      <c r="D89" s="135" t="str">
        <f>IF(ISNUMBER(MATCH(Table13[[#This Row],[General]],COVENANTS!$A$2:$A$100,0)), "Y","N")</f>
        <v>N</v>
      </c>
      <c r="E89" s="135" t="str">
        <f>IF(ISNUMBER(MATCH(Table13[[#This Row],[General]],COVENANTS!$B$2:$B$100,0)), "Y","N")</f>
        <v>N</v>
      </c>
      <c r="F89" s="135" t="str">
        <f>IF(ISNUMBER(MATCH(Table13[[#This Row],[General]],COVENANTS!$C$2:$C$100,0)), "Y","N")</f>
        <v>Y</v>
      </c>
      <c r="G89" s="135" t="str">
        <f>IF(ISNUMBER(MATCH(Table13[[#This Row],[General]],COVENANTS!$D$2:$D$100,0)), "Y","N")</f>
        <v>N</v>
      </c>
      <c r="H89" s="122">
        <v>25</v>
      </c>
      <c r="I89" s="123">
        <v>25</v>
      </c>
      <c r="J89" s="123">
        <v>25</v>
      </c>
      <c r="K89" s="123">
        <v>12</v>
      </c>
      <c r="L89" s="122">
        <v>30</v>
      </c>
      <c r="M89" s="123">
        <v>0</v>
      </c>
      <c r="N89" s="123">
        <v>40</v>
      </c>
      <c r="O89" s="123">
        <v>0</v>
      </c>
      <c r="P89" s="122">
        <v>0</v>
      </c>
      <c r="Q89" s="123">
        <v>0</v>
      </c>
      <c r="R89" s="123">
        <v>0</v>
      </c>
      <c r="S89" s="123">
        <v>0</v>
      </c>
      <c r="T89" s="122">
        <v>30</v>
      </c>
      <c r="U89" s="123">
        <v>36</v>
      </c>
      <c r="V89" s="123">
        <v>46</v>
      </c>
      <c r="W89" s="123">
        <v>6</v>
      </c>
      <c r="X89" s="122">
        <v>0</v>
      </c>
      <c r="Y89" s="123">
        <v>0</v>
      </c>
      <c r="Z89" s="123">
        <v>0</v>
      </c>
      <c r="AA89" s="123">
        <v>0</v>
      </c>
      <c r="AB89" s="122">
        <v>0</v>
      </c>
      <c r="AC89" s="123">
        <v>0</v>
      </c>
      <c r="AD89" s="123">
        <v>0</v>
      </c>
      <c r="AE89" s="122">
        <f t="shared" ref="AE89:AE107" si="33">L89+T89+X89</f>
        <v>60</v>
      </c>
      <c r="AF89" s="123">
        <f t="shared" ref="AF89:AF107" si="34">M89+U89+Y89</f>
        <v>36</v>
      </c>
      <c r="AG89" s="123">
        <f t="shared" ref="AG89:AG107" si="35">N89+V89+Z89</f>
        <v>86</v>
      </c>
      <c r="AH89" s="123">
        <f t="shared" ref="AH89:AH107" si="36">O89+W89+AA89</f>
        <v>6</v>
      </c>
      <c r="AI89" s="298">
        <f t="shared" ref="AI89:AI107" si="37">(AW$2*(AH89/100)+AW$2+AW$3)*(AX$2*(AE89/100)+AX$2+AX$3)-AY$2</f>
        <v>11011379400</v>
      </c>
    </row>
    <row r="90" spans="1:44" ht="14.25" customHeight="1" x14ac:dyDescent="0.25">
      <c r="A90" s="10" t="s">
        <v>207</v>
      </c>
      <c r="B90" s="120" t="s">
        <v>333</v>
      </c>
      <c r="C90" s="142" t="s">
        <v>102</v>
      </c>
      <c r="D90" s="135" t="str">
        <f>IF(ISNUMBER(MATCH(Table13[[#This Row],[General]],COVENANTS!$A$2:$A$100,0)), "Y","N")</f>
        <v>N</v>
      </c>
      <c r="E90" s="135" t="str">
        <f>IF(ISNUMBER(MATCH(Table13[[#This Row],[General]],COVENANTS!$B$2:$B$100,0)), "Y","N")</f>
        <v>N</v>
      </c>
      <c r="F90" s="135" t="str">
        <f>IF(ISNUMBER(MATCH(Table13[[#This Row],[General]],COVENANTS!$C$2:$C$100,0)), "Y","N")</f>
        <v>N</v>
      </c>
      <c r="G90" s="135" t="str">
        <f>IF(ISNUMBER(MATCH(Table13[[#This Row],[General]],COVENANTS!$D$2:$D$100,0)), "Y","N")</f>
        <v>N</v>
      </c>
      <c r="H90" s="122">
        <v>25</v>
      </c>
      <c r="I90" s="123">
        <v>25</v>
      </c>
      <c r="J90" s="123">
        <v>25</v>
      </c>
      <c r="K90" s="123">
        <v>12</v>
      </c>
      <c r="L90" s="122">
        <v>35</v>
      </c>
      <c r="M90" s="123">
        <v>0</v>
      </c>
      <c r="N90" s="123">
        <v>0</v>
      </c>
      <c r="O90" s="123">
        <v>0</v>
      </c>
      <c r="P90" s="122">
        <v>0</v>
      </c>
      <c r="Q90" s="123">
        <v>0</v>
      </c>
      <c r="R90" s="123">
        <v>0</v>
      </c>
      <c r="S90" s="123">
        <v>0</v>
      </c>
      <c r="T90" s="122">
        <v>36</v>
      </c>
      <c r="U90" s="123">
        <v>0</v>
      </c>
      <c r="V90" s="123">
        <v>30</v>
      </c>
      <c r="W90" s="123">
        <v>0</v>
      </c>
      <c r="X90" s="122">
        <v>0</v>
      </c>
      <c r="Y90" s="123">
        <v>0</v>
      </c>
      <c r="Z90" s="123">
        <v>0</v>
      </c>
      <c r="AA90" s="123">
        <v>0</v>
      </c>
      <c r="AB90" s="122">
        <v>0</v>
      </c>
      <c r="AC90" s="123">
        <v>0</v>
      </c>
      <c r="AD90" s="123">
        <v>0</v>
      </c>
      <c r="AE90" s="122">
        <f t="shared" si="33"/>
        <v>71</v>
      </c>
      <c r="AF90" s="123">
        <f t="shared" si="34"/>
        <v>0</v>
      </c>
      <c r="AG90" s="123">
        <f t="shared" si="35"/>
        <v>30</v>
      </c>
      <c r="AH90" s="123">
        <f t="shared" si="36"/>
        <v>0</v>
      </c>
      <c r="AI90" s="298">
        <f t="shared" si="37"/>
        <v>9416663970</v>
      </c>
    </row>
    <row r="91" spans="1:44" ht="14.25" customHeight="1" x14ac:dyDescent="0.25">
      <c r="A91" s="10" t="s">
        <v>210</v>
      </c>
      <c r="B91" s="120" t="s">
        <v>333</v>
      </c>
      <c r="C91" s="134" t="s">
        <v>99</v>
      </c>
      <c r="D91" s="135" t="str">
        <f>IF(ISNUMBER(MATCH(Table13[[#This Row],[General]],COVENANTS!$A$2:$A$100,0)), "Y","N")</f>
        <v>N</v>
      </c>
      <c r="E91" s="135" t="str">
        <f>IF(ISNUMBER(MATCH(Table13[[#This Row],[General]],COVENANTS!$B$2:$B$100,0)), "Y","N")</f>
        <v>N</v>
      </c>
      <c r="F91" s="135" t="str">
        <f>IF(ISNUMBER(MATCH(Table13[[#This Row],[General]],COVENANTS!$C$2:$C$100,0)), "Y","N")</f>
        <v>N</v>
      </c>
      <c r="G91" s="135" t="str">
        <f>IF(ISNUMBER(MATCH(Table13[[#This Row],[General]],COVENANTS!$D$2:$D$100,0)), "Y","N")</f>
        <v>N</v>
      </c>
      <c r="H91" s="122">
        <v>0</v>
      </c>
      <c r="I91" s="123">
        <v>25</v>
      </c>
      <c r="J91" s="123">
        <v>25</v>
      </c>
      <c r="K91" s="123">
        <v>12</v>
      </c>
      <c r="L91" s="122">
        <v>30</v>
      </c>
      <c r="M91" s="123">
        <v>0</v>
      </c>
      <c r="N91" s="123">
        <v>15</v>
      </c>
      <c r="O91" s="123">
        <v>0</v>
      </c>
      <c r="P91" s="122">
        <v>0</v>
      </c>
      <c r="Q91" s="123">
        <v>0</v>
      </c>
      <c r="R91" s="123">
        <v>0</v>
      </c>
      <c r="S91" s="123">
        <v>0</v>
      </c>
      <c r="T91" s="122">
        <v>30</v>
      </c>
      <c r="U91" s="123">
        <v>10</v>
      </c>
      <c r="V91" s="123">
        <v>50</v>
      </c>
      <c r="W91" s="123">
        <v>0</v>
      </c>
      <c r="X91" s="122">
        <v>0</v>
      </c>
      <c r="Y91" s="123">
        <v>0</v>
      </c>
      <c r="Z91" s="123">
        <v>0</v>
      </c>
      <c r="AA91" s="123">
        <v>0</v>
      </c>
      <c r="AB91" s="122">
        <v>0</v>
      </c>
      <c r="AC91" s="123">
        <v>0</v>
      </c>
      <c r="AD91" s="123">
        <v>0</v>
      </c>
      <c r="AE91" s="122">
        <f t="shared" si="33"/>
        <v>60</v>
      </c>
      <c r="AF91" s="123">
        <f t="shared" si="34"/>
        <v>10</v>
      </c>
      <c r="AG91" s="123">
        <f t="shared" si="35"/>
        <v>65</v>
      </c>
      <c r="AH91" s="123">
        <f t="shared" si="36"/>
        <v>0</v>
      </c>
      <c r="AI91" s="298">
        <f t="shared" si="37"/>
        <v>7957744200</v>
      </c>
    </row>
    <row r="92" spans="1:44" ht="14.25" customHeight="1" x14ac:dyDescent="0.25">
      <c r="A92" s="10" t="s">
        <v>211</v>
      </c>
      <c r="B92" s="120" t="s">
        <v>332</v>
      </c>
      <c r="C92" s="134" t="s">
        <v>108</v>
      </c>
      <c r="D92" s="135" t="str">
        <f>IF(ISNUMBER(MATCH(Table13[[#This Row],[General]],COVENANTS!$A$2:$A$100,0)), "Y","N")</f>
        <v>N</v>
      </c>
      <c r="E92" s="135" t="str">
        <f>IF(ISNUMBER(MATCH(Table13[[#This Row],[General]],COVENANTS!$B$2:$B$100,0)), "Y","N")</f>
        <v>N</v>
      </c>
      <c r="F92" s="135" t="str">
        <f>IF(ISNUMBER(MATCH(Table13[[#This Row],[General]],COVENANTS!$C$2:$C$100,0)), "Y","N")</f>
        <v>Y</v>
      </c>
      <c r="G92" s="135" t="str">
        <f>IF(ISNUMBER(MATCH(Table13[[#This Row],[General]],COVENANTS!$D$2:$D$100,0)), "Y","N")</f>
        <v>N</v>
      </c>
      <c r="H92" s="122">
        <v>25</v>
      </c>
      <c r="I92" s="123">
        <v>25</v>
      </c>
      <c r="J92" s="123">
        <v>25</v>
      </c>
      <c r="K92" s="123">
        <v>12</v>
      </c>
      <c r="L92" s="122">
        <v>30</v>
      </c>
      <c r="M92" s="123">
        <v>15</v>
      </c>
      <c r="N92" s="123">
        <v>0</v>
      </c>
      <c r="O92" s="123">
        <v>0</v>
      </c>
      <c r="P92" s="122">
        <v>0</v>
      </c>
      <c r="Q92" s="123">
        <v>0</v>
      </c>
      <c r="R92" s="123">
        <v>0</v>
      </c>
      <c r="S92" s="123">
        <v>0</v>
      </c>
      <c r="T92" s="122">
        <v>26</v>
      </c>
      <c r="U92" s="123">
        <v>10</v>
      </c>
      <c r="V92" s="123">
        <v>20</v>
      </c>
      <c r="W92" s="123">
        <v>0</v>
      </c>
      <c r="X92" s="122">
        <v>0</v>
      </c>
      <c r="Y92" s="123">
        <v>0</v>
      </c>
      <c r="Z92" s="123">
        <v>0</v>
      </c>
      <c r="AA92" s="123">
        <v>0</v>
      </c>
      <c r="AB92" s="122">
        <v>0</v>
      </c>
      <c r="AC92" s="123">
        <v>0</v>
      </c>
      <c r="AD92" s="123">
        <v>0</v>
      </c>
      <c r="AE92" s="122">
        <f t="shared" si="33"/>
        <v>56</v>
      </c>
      <c r="AF92" s="123">
        <f t="shared" si="34"/>
        <v>25</v>
      </c>
      <c r="AG92" s="123">
        <f t="shared" si="35"/>
        <v>20</v>
      </c>
      <c r="AH92" s="123">
        <f t="shared" si="36"/>
        <v>0</v>
      </c>
      <c r="AI92" s="298">
        <f t="shared" si="37"/>
        <v>7427227920</v>
      </c>
    </row>
    <row r="93" spans="1:44" ht="14.25" customHeight="1" x14ac:dyDescent="0.25">
      <c r="A93" s="10" t="s">
        <v>212</v>
      </c>
      <c r="B93" s="120" t="s">
        <v>333</v>
      </c>
      <c r="C93" s="142" t="s">
        <v>295</v>
      </c>
      <c r="D93" s="135" t="str">
        <f>IF(ISNUMBER(MATCH(Table13[[#This Row],[General]],COVENANTS!$A$2:$A$100,0)), "Y","N")</f>
        <v>N</v>
      </c>
      <c r="E93" s="135" t="str">
        <f>IF(ISNUMBER(MATCH(Table13[[#This Row],[General]],COVENANTS!$B$2:$B$100,0)), "Y","N")</f>
        <v>N</v>
      </c>
      <c r="F93" s="135" t="str">
        <f>IF(ISNUMBER(MATCH(Table13[[#This Row],[General]],COVENANTS!$C$2:$C$100,0)), "Y","N")</f>
        <v>N</v>
      </c>
      <c r="G93" s="135" t="str">
        <f>IF(ISNUMBER(MATCH(Table13[[#This Row],[General]],COVENANTS!$D$2:$D$100,0)), "Y","N")</f>
        <v>N</v>
      </c>
      <c r="H93" s="122">
        <v>25</v>
      </c>
      <c r="I93" s="123">
        <v>25</v>
      </c>
      <c r="J93" s="123">
        <v>25</v>
      </c>
      <c r="K93" s="123">
        <v>12</v>
      </c>
      <c r="L93" s="122">
        <v>20</v>
      </c>
      <c r="M93" s="123">
        <v>0</v>
      </c>
      <c r="N93" s="123">
        <v>0</v>
      </c>
      <c r="O93" s="123">
        <v>0</v>
      </c>
      <c r="P93" s="122">
        <v>0</v>
      </c>
      <c r="Q93" s="123">
        <v>0</v>
      </c>
      <c r="R93" s="123">
        <v>0</v>
      </c>
      <c r="S93" s="123">
        <v>0</v>
      </c>
      <c r="T93" s="122">
        <v>32</v>
      </c>
      <c r="U93" s="123">
        <v>0</v>
      </c>
      <c r="V93" s="123">
        <v>10</v>
      </c>
      <c r="W93" s="123">
        <v>0</v>
      </c>
      <c r="X93" s="122"/>
      <c r="Y93" s="123"/>
      <c r="Z93" s="123"/>
      <c r="AA93" s="123"/>
      <c r="AB93" s="122">
        <v>0</v>
      </c>
      <c r="AC93" s="123">
        <v>0</v>
      </c>
      <c r="AD93" s="123">
        <v>0</v>
      </c>
      <c r="AE93" s="122">
        <f t="shared" si="33"/>
        <v>52</v>
      </c>
      <c r="AF93" s="123">
        <f t="shared" si="34"/>
        <v>0</v>
      </c>
      <c r="AG93" s="123">
        <f t="shared" si="35"/>
        <v>10</v>
      </c>
      <c r="AH93" s="123">
        <f t="shared" si="36"/>
        <v>0</v>
      </c>
      <c r="AI93" s="298">
        <f t="shared" si="37"/>
        <v>6896711640</v>
      </c>
      <c r="AJ93" s="41"/>
      <c r="AK93" s="41"/>
      <c r="AL93" s="41"/>
      <c r="AM93" s="403"/>
      <c r="AN93" s="403"/>
      <c r="AO93" s="403"/>
      <c r="AP93" s="99"/>
      <c r="AQ93" s="99"/>
      <c r="AR93" s="99"/>
    </row>
    <row r="94" spans="1:44" ht="14.25" customHeight="1" x14ac:dyDescent="0.25">
      <c r="A94" s="10" t="s">
        <v>213</v>
      </c>
      <c r="B94" s="120" t="s">
        <v>333</v>
      </c>
      <c r="C94" s="142" t="s">
        <v>101</v>
      </c>
      <c r="D94" s="135" t="str">
        <f>IF(ISNUMBER(MATCH(Table13[[#This Row],[General]],COVENANTS!$A$2:$A$100,0)), "Y","N")</f>
        <v>N</v>
      </c>
      <c r="E94" s="135" t="str">
        <f>IF(ISNUMBER(MATCH(Table13[[#This Row],[General]],COVENANTS!$B$2:$B$100,0)), "Y","N")</f>
        <v>Y</v>
      </c>
      <c r="F94" s="135" t="str">
        <f>IF(ISNUMBER(MATCH(Table13[[#This Row],[General]],COVENANTS!$C$2:$C$100,0)), "Y","N")</f>
        <v>N</v>
      </c>
      <c r="G94" s="135" t="str">
        <f>IF(ISNUMBER(MATCH(Table13[[#This Row],[General]],COVENANTS!$D$2:$D$100,0)), "Y","N")</f>
        <v>N</v>
      </c>
      <c r="H94" s="122">
        <v>25</v>
      </c>
      <c r="I94" s="123">
        <v>25</v>
      </c>
      <c r="J94" s="123">
        <v>25</v>
      </c>
      <c r="K94" s="123">
        <v>12</v>
      </c>
      <c r="L94" s="122">
        <v>15</v>
      </c>
      <c r="M94" s="123">
        <v>0</v>
      </c>
      <c r="N94" s="123">
        <v>25</v>
      </c>
      <c r="O94" s="123">
        <v>0</v>
      </c>
      <c r="P94" s="122">
        <v>0</v>
      </c>
      <c r="Q94" s="123">
        <v>0</v>
      </c>
      <c r="R94" s="123">
        <v>0</v>
      </c>
      <c r="S94" s="123">
        <v>0</v>
      </c>
      <c r="T94" s="122">
        <v>26</v>
      </c>
      <c r="U94" s="123">
        <v>0</v>
      </c>
      <c r="V94" s="123">
        <v>10</v>
      </c>
      <c r="W94" s="123">
        <v>0</v>
      </c>
      <c r="X94" s="122">
        <v>0</v>
      </c>
      <c r="Y94" s="123">
        <v>0</v>
      </c>
      <c r="Z94" s="123">
        <v>0</v>
      </c>
      <c r="AA94" s="123">
        <v>0</v>
      </c>
      <c r="AB94" s="122">
        <v>0</v>
      </c>
      <c r="AC94" s="123">
        <v>0</v>
      </c>
      <c r="AD94" s="123">
        <v>0</v>
      </c>
      <c r="AE94" s="122">
        <f t="shared" si="33"/>
        <v>41</v>
      </c>
      <c r="AF94" s="123">
        <f t="shared" si="34"/>
        <v>0</v>
      </c>
      <c r="AG94" s="123">
        <f t="shared" si="35"/>
        <v>35</v>
      </c>
      <c r="AH94" s="123">
        <f t="shared" si="36"/>
        <v>0</v>
      </c>
      <c r="AI94" s="298">
        <f t="shared" si="37"/>
        <v>5437791870</v>
      </c>
      <c r="AJ94" s="41"/>
      <c r="AK94" s="41"/>
      <c r="AL94" s="41"/>
      <c r="AM94" s="403"/>
      <c r="AN94" s="403"/>
      <c r="AO94" s="403"/>
      <c r="AP94" s="99"/>
      <c r="AQ94" s="99"/>
      <c r="AR94" s="99"/>
    </row>
    <row r="95" spans="1:44" ht="14.25" customHeight="1" x14ac:dyDescent="0.25">
      <c r="A95" s="10" t="s">
        <v>214</v>
      </c>
      <c r="B95" s="120" t="s">
        <v>333</v>
      </c>
      <c r="C95" s="142" t="s">
        <v>107</v>
      </c>
      <c r="D95" s="135" t="str">
        <f>IF(ISNUMBER(MATCH(Table13[[#This Row],[General]],COVENANTS!$A$2:$A$100,0)), "Y","N")</f>
        <v>N</v>
      </c>
      <c r="E95" s="135" t="str">
        <f>IF(ISNUMBER(MATCH(Table13[[#This Row],[General]],COVENANTS!$B$2:$B$100,0)), "Y","N")</f>
        <v>Y</v>
      </c>
      <c r="F95" s="135" t="str">
        <f>IF(ISNUMBER(MATCH(Table13[[#This Row],[General]],COVENANTS!$C$2:$C$100,0)), "Y","N")</f>
        <v>N</v>
      </c>
      <c r="G95" s="135" t="str">
        <f>IF(ISNUMBER(MATCH(Table13[[#This Row],[General]],COVENANTS!$D$2:$D$100,0)), "Y","N")</f>
        <v>N</v>
      </c>
      <c r="H95" s="122">
        <v>25</v>
      </c>
      <c r="I95" s="123">
        <v>25</v>
      </c>
      <c r="J95" s="123">
        <v>0</v>
      </c>
      <c r="K95" s="123">
        <v>12</v>
      </c>
      <c r="L95" s="122">
        <v>0</v>
      </c>
      <c r="M95" s="123">
        <v>0</v>
      </c>
      <c r="N95" s="123">
        <v>35</v>
      </c>
      <c r="O95" s="123">
        <v>0</v>
      </c>
      <c r="P95" s="122">
        <v>0</v>
      </c>
      <c r="Q95" s="123">
        <v>0</v>
      </c>
      <c r="R95" s="123">
        <v>0</v>
      </c>
      <c r="S95" s="123">
        <v>0</v>
      </c>
      <c r="T95" s="122">
        <v>20</v>
      </c>
      <c r="U95" s="123">
        <v>30</v>
      </c>
      <c r="V95" s="123">
        <v>20</v>
      </c>
      <c r="W95" s="123">
        <v>0</v>
      </c>
      <c r="X95" s="122">
        <v>0</v>
      </c>
      <c r="Y95" s="123">
        <v>0</v>
      </c>
      <c r="Z95" s="123">
        <v>0</v>
      </c>
      <c r="AA95" s="123">
        <v>0</v>
      </c>
      <c r="AB95" s="122">
        <v>0</v>
      </c>
      <c r="AC95" s="123">
        <v>0</v>
      </c>
      <c r="AD95" s="123">
        <v>0</v>
      </c>
      <c r="AE95" s="122">
        <f t="shared" si="33"/>
        <v>20</v>
      </c>
      <c r="AF95" s="123">
        <f t="shared" si="34"/>
        <v>30</v>
      </c>
      <c r="AG95" s="123">
        <f t="shared" si="35"/>
        <v>55</v>
      </c>
      <c r="AH95" s="123">
        <f t="shared" si="36"/>
        <v>0</v>
      </c>
      <c r="AI95" s="298">
        <f t="shared" si="37"/>
        <v>2652581400</v>
      </c>
      <c r="AJ95" s="41"/>
      <c r="AK95" s="41"/>
      <c r="AL95" s="41"/>
      <c r="AM95" s="403"/>
      <c r="AN95" s="403"/>
      <c r="AO95" s="403"/>
      <c r="AP95" s="99"/>
      <c r="AQ95" s="99"/>
      <c r="AR95" s="99"/>
    </row>
    <row r="96" spans="1:44" ht="14.25" customHeight="1" thickBot="1" x14ac:dyDescent="0.3">
      <c r="A96" s="10" t="s">
        <v>215</v>
      </c>
      <c r="B96" s="209" t="s">
        <v>332</v>
      </c>
      <c r="C96" s="121" t="s">
        <v>627</v>
      </c>
      <c r="D96" s="135" t="str">
        <f>IF(ISNUMBER(MATCH(Table13[[#This Row],[General]],COVENANTS!$A$2:$A$100,0)), "Y","N")</f>
        <v>N</v>
      </c>
      <c r="E96" s="135" t="str">
        <f>IF(ISNUMBER(MATCH(Table13[[#This Row],[General]],COVENANTS!$B$2:$B$100,0)), "Y","N")</f>
        <v>Y</v>
      </c>
      <c r="F96" s="135" t="str">
        <f>IF(ISNUMBER(MATCH(Table13[[#This Row],[General]],COVENANTS!$C$2:$C$100,0)), "Y","N")</f>
        <v>N</v>
      </c>
      <c r="G96" s="135" t="str">
        <f>IF(ISNUMBER(MATCH(Table13[[#This Row],[General]],COVENANTS!$D$2:$D$100,0)), "Y","N")</f>
        <v>N</v>
      </c>
      <c r="H96" s="122">
        <v>25</v>
      </c>
      <c r="I96" s="123">
        <v>25</v>
      </c>
      <c r="J96" s="123">
        <v>25</v>
      </c>
      <c r="K96" s="123">
        <v>12</v>
      </c>
      <c r="L96" s="122">
        <v>0</v>
      </c>
      <c r="M96" s="123">
        <v>0</v>
      </c>
      <c r="N96" s="123">
        <v>0</v>
      </c>
      <c r="O96" s="123">
        <v>0</v>
      </c>
      <c r="P96" s="213">
        <v>0</v>
      </c>
      <c r="Q96" s="211">
        <v>0</v>
      </c>
      <c r="R96" s="211">
        <v>0</v>
      </c>
      <c r="S96" s="211">
        <v>0</v>
      </c>
      <c r="T96" s="213">
        <v>20</v>
      </c>
      <c r="U96" s="211">
        <v>10</v>
      </c>
      <c r="V96" s="211">
        <v>0</v>
      </c>
      <c r="W96" s="211">
        <v>0</v>
      </c>
      <c r="X96" s="213">
        <v>0</v>
      </c>
      <c r="Y96" s="211">
        <v>0</v>
      </c>
      <c r="Z96" s="211">
        <v>0</v>
      </c>
      <c r="AA96" s="211">
        <v>0</v>
      </c>
      <c r="AB96" s="213">
        <v>0</v>
      </c>
      <c r="AC96" s="211">
        <v>0</v>
      </c>
      <c r="AD96" s="211">
        <v>0</v>
      </c>
      <c r="AE96" s="213">
        <f t="shared" si="33"/>
        <v>20</v>
      </c>
      <c r="AF96" s="211">
        <f t="shared" si="34"/>
        <v>10</v>
      </c>
      <c r="AG96" s="211">
        <f t="shared" si="35"/>
        <v>0</v>
      </c>
      <c r="AH96" s="211">
        <f t="shared" si="36"/>
        <v>0</v>
      </c>
      <c r="AI96" s="298">
        <f t="shared" si="37"/>
        <v>2652581400</v>
      </c>
      <c r="AJ96" s="41"/>
      <c r="AK96" s="41"/>
      <c r="AL96" s="41"/>
      <c r="AM96" s="403"/>
      <c r="AN96" s="403"/>
      <c r="AO96" s="403"/>
      <c r="AP96" s="99"/>
      <c r="AQ96" s="99"/>
      <c r="AR96" s="99"/>
    </row>
    <row r="97" spans="1:44" ht="14.25" customHeight="1" thickTop="1" x14ac:dyDescent="0.25">
      <c r="A97" s="10" t="s">
        <v>216</v>
      </c>
      <c r="B97" s="120" t="s">
        <v>333</v>
      </c>
      <c r="C97" s="417" t="s">
        <v>40</v>
      </c>
      <c r="D97" s="135" t="str">
        <f>IF(ISNUMBER(MATCH(Table13[[#This Row],[General]],COVENANTS!$A$2:$A$100,0)), "Y","N")</f>
        <v>N</v>
      </c>
      <c r="E97" s="135" t="str">
        <f>IF(ISNUMBER(MATCH(Table13[[#This Row],[General]],COVENANTS!$B$2:$B$100,0)), "Y","N")</f>
        <v>N</v>
      </c>
      <c r="F97" s="135" t="str">
        <f>IF(ISNUMBER(MATCH(Table13[[#This Row],[General]],COVENANTS!$C$2:$C$100,0)), "Y","N")</f>
        <v>N</v>
      </c>
      <c r="G97" s="135" t="str">
        <f>IF(ISNUMBER(MATCH(Table13[[#This Row],[General]],COVENANTS!$D$2:$D$100,0)), "Y","N")</f>
        <v>N</v>
      </c>
      <c r="H97" s="122">
        <v>25</v>
      </c>
      <c r="I97" s="123">
        <v>25</v>
      </c>
      <c r="J97" s="123">
        <v>25</v>
      </c>
      <c r="K97" s="123">
        <v>12</v>
      </c>
      <c r="L97" s="122">
        <v>0</v>
      </c>
      <c r="M97" s="123">
        <v>10</v>
      </c>
      <c r="N97" s="123">
        <v>0</v>
      </c>
      <c r="O97" s="123">
        <v>0</v>
      </c>
      <c r="P97" s="122">
        <v>0</v>
      </c>
      <c r="Q97" s="123">
        <v>0</v>
      </c>
      <c r="R97" s="123">
        <v>0</v>
      </c>
      <c r="S97" s="123">
        <v>0</v>
      </c>
      <c r="T97" s="122">
        <v>6</v>
      </c>
      <c r="U97" s="123">
        <v>10</v>
      </c>
      <c r="V97" s="123">
        <v>36</v>
      </c>
      <c r="W97" s="123">
        <v>0</v>
      </c>
      <c r="X97" s="122">
        <v>0</v>
      </c>
      <c r="Y97" s="123">
        <v>0</v>
      </c>
      <c r="Z97" s="123">
        <v>0</v>
      </c>
      <c r="AA97" s="123">
        <v>0</v>
      </c>
      <c r="AB97" s="122">
        <v>0</v>
      </c>
      <c r="AC97" s="123">
        <v>0</v>
      </c>
      <c r="AD97" s="123">
        <v>0</v>
      </c>
      <c r="AE97" s="122">
        <f t="shared" si="33"/>
        <v>6</v>
      </c>
      <c r="AF97" s="123">
        <f t="shared" si="34"/>
        <v>20</v>
      </c>
      <c r="AG97" s="123">
        <f t="shared" si="35"/>
        <v>36</v>
      </c>
      <c r="AH97" s="123">
        <f t="shared" si="36"/>
        <v>0</v>
      </c>
      <c r="AI97" s="298">
        <f t="shared" si="37"/>
        <v>795774420</v>
      </c>
      <c r="AJ97" s="41"/>
      <c r="AK97" s="41"/>
      <c r="AL97" s="41"/>
      <c r="AM97" s="403"/>
      <c r="AN97" s="403"/>
      <c r="AO97" s="403"/>
      <c r="AP97" s="99"/>
      <c r="AQ97" s="99"/>
      <c r="AR97" s="99"/>
    </row>
    <row r="98" spans="1:44" ht="14.25" customHeight="1" x14ac:dyDescent="0.25">
      <c r="A98" s="10" t="s">
        <v>217</v>
      </c>
      <c r="B98" s="104"/>
      <c r="C98" s="121"/>
      <c r="D98" s="135" t="str">
        <f>IF(ISNUMBER(MATCH(Table13[[#This Row],[General]],COVENANTS!$A$2:$A$100,0)), "Y","N")</f>
        <v>N</v>
      </c>
      <c r="E98" s="135" t="str">
        <f>IF(ISNUMBER(MATCH(Table13[[#This Row],[General]],COVENANTS!$B$2:$B$100,0)), "Y","N")</f>
        <v>N</v>
      </c>
      <c r="F98" s="135" t="str">
        <f>IF(ISNUMBER(MATCH(Table13[[#This Row],[General]],COVENANTS!$C$2:$C$100,0)), "Y","N")</f>
        <v>N</v>
      </c>
      <c r="G98" s="135" t="str">
        <f>IF(ISNUMBER(MATCH(Table13[[#This Row],[General]],COVENANTS!$D$2:$D$100,0)), "Y","N")</f>
        <v>N</v>
      </c>
      <c r="H98" s="122">
        <v>0</v>
      </c>
      <c r="I98" s="123">
        <v>0</v>
      </c>
      <c r="J98" s="123">
        <v>0</v>
      </c>
      <c r="K98" s="123">
        <v>0</v>
      </c>
      <c r="L98" s="122">
        <v>0</v>
      </c>
      <c r="M98" s="123">
        <v>0</v>
      </c>
      <c r="N98" s="123">
        <v>0</v>
      </c>
      <c r="O98" s="123">
        <v>0</v>
      </c>
      <c r="P98" s="106">
        <v>0</v>
      </c>
      <c r="Q98" s="105">
        <v>0</v>
      </c>
      <c r="R98" s="105">
        <v>0</v>
      </c>
      <c r="S98" s="105">
        <v>0</v>
      </c>
      <c r="T98" s="106">
        <v>0</v>
      </c>
      <c r="U98" s="105">
        <v>0</v>
      </c>
      <c r="V98" s="105">
        <v>0</v>
      </c>
      <c r="W98" s="105">
        <v>0</v>
      </c>
      <c r="X98" s="106">
        <v>0</v>
      </c>
      <c r="Y98" s="105">
        <v>0</v>
      </c>
      <c r="Z98" s="105">
        <v>0</v>
      </c>
      <c r="AA98" s="105">
        <v>0</v>
      </c>
      <c r="AB98" s="106">
        <v>0</v>
      </c>
      <c r="AC98" s="105">
        <v>0</v>
      </c>
      <c r="AD98" s="105">
        <v>0</v>
      </c>
      <c r="AE98" s="106">
        <f t="shared" si="33"/>
        <v>0</v>
      </c>
      <c r="AF98" s="105">
        <f t="shared" si="34"/>
        <v>0</v>
      </c>
      <c r="AG98" s="105">
        <f t="shared" si="35"/>
        <v>0</v>
      </c>
      <c r="AH98" s="105">
        <f t="shared" si="36"/>
        <v>0</v>
      </c>
      <c r="AI98" s="298">
        <f t="shared" si="37"/>
        <v>0</v>
      </c>
      <c r="AJ98" s="41"/>
      <c r="AK98" s="41"/>
      <c r="AL98" s="41"/>
      <c r="AM98" s="403"/>
      <c r="AN98" s="403"/>
      <c r="AO98" s="403"/>
      <c r="AP98" s="99"/>
      <c r="AQ98" s="99"/>
      <c r="AR98" s="99"/>
    </row>
    <row r="99" spans="1:44" ht="14.25" customHeight="1" x14ac:dyDescent="0.25">
      <c r="A99" s="10" t="s">
        <v>218</v>
      </c>
      <c r="B99" s="104"/>
      <c r="C99" s="121"/>
      <c r="D99" s="135" t="str">
        <f>IF(ISNUMBER(MATCH(Table13[[#This Row],[General]],COVENANTS!$A$2:$A$100,0)), "Y","N")</f>
        <v>N</v>
      </c>
      <c r="E99" s="135" t="str">
        <f>IF(ISNUMBER(MATCH(Table13[[#This Row],[General]],COVENANTS!$B$2:$B$100,0)), "Y","N")</f>
        <v>N</v>
      </c>
      <c r="F99" s="135" t="str">
        <f>IF(ISNUMBER(MATCH(Table13[[#This Row],[General]],COVENANTS!$C$2:$C$100,0)), "Y","N")</f>
        <v>N</v>
      </c>
      <c r="G99" s="135" t="str">
        <f>IF(ISNUMBER(MATCH(Table13[[#This Row],[General]],COVENANTS!$D$2:$D$100,0)), "Y","N")</f>
        <v>N</v>
      </c>
      <c r="H99" s="122">
        <v>0</v>
      </c>
      <c r="I99" s="123">
        <v>0</v>
      </c>
      <c r="J99" s="123">
        <v>0</v>
      </c>
      <c r="K99" s="123">
        <v>0</v>
      </c>
      <c r="L99" s="122">
        <v>0</v>
      </c>
      <c r="M99" s="123">
        <v>0</v>
      </c>
      <c r="N99" s="123">
        <v>0</v>
      </c>
      <c r="O99" s="123">
        <v>0</v>
      </c>
      <c r="P99" s="106">
        <v>0</v>
      </c>
      <c r="Q99" s="105">
        <v>0</v>
      </c>
      <c r="R99" s="105">
        <v>0</v>
      </c>
      <c r="S99" s="105">
        <v>0</v>
      </c>
      <c r="T99" s="106">
        <v>0</v>
      </c>
      <c r="U99" s="105">
        <v>0</v>
      </c>
      <c r="V99" s="105">
        <v>0</v>
      </c>
      <c r="W99" s="105">
        <v>0</v>
      </c>
      <c r="X99" s="106">
        <v>0</v>
      </c>
      <c r="Y99" s="105">
        <v>0</v>
      </c>
      <c r="Z99" s="105">
        <v>0</v>
      </c>
      <c r="AA99" s="105">
        <v>0</v>
      </c>
      <c r="AB99" s="106">
        <v>0</v>
      </c>
      <c r="AC99" s="105">
        <v>0</v>
      </c>
      <c r="AD99" s="105">
        <v>0</v>
      </c>
      <c r="AE99" s="106">
        <f t="shared" si="33"/>
        <v>0</v>
      </c>
      <c r="AF99" s="105">
        <f t="shared" si="34"/>
        <v>0</v>
      </c>
      <c r="AG99" s="105">
        <f t="shared" si="35"/>
        <v>0</v>
      </c>
      <c r="AH99" s="105">
        <f t="shared" si="36"/>
        <v>0</v>
      </c>
      <c r="AI99" s="298">
        <f t="shared" si="37"/>
        <v>0</v>
      </c>
      <c r="AJ99" s="41"/>
      <c r="AK99" s="41"/>
      <c r="AL99" s="41"/>
      <c r="AM99" s="403"/>
      <c r="AN99" s="403"/>
      <c r="AO99" s="403"/>
      <c r="AP99" s="99"/>
      <c r="AQ99" s="99"/>
      <c r="AR99" s="99"/>
    </row>
    <row r="100" spans="1:44" ht="14.25" customHeight="1" x14ac:dyDescent="0.25">
      <c r="A100" s="10" t="s">
        <v>434</v>
      </c>
      <c r="B100" s="104"/>
      <c r="C100" s="121"/>
      <c r="D100" s="135" t="str">
        <f>IF(ISNUMBER(MATCH(Table13[[#This Row],[General]],COVENANTS!$A$2:$A$100,0)), "Y","N")</f>
        <v>N</v>
      </c>
      <c r="E100" s="135" t="str">
        <f>IF(ISNUMBER(MATCH(Table13[[#This Row],[General]],COVENANTS!$B$2:$B$100,0)), "Y","N")</f>
        <v>N</v>
      </c>
      <c r="F100" s="135" t="str">
        <f>IF(ISNUMBER(MATCH(Table13[[#This Row],[General]],COVENANTS!$C$2:$C$100,0)), "Y","N")</f>
        <v>N</v>
      </c>
      <c r="G100" s="135" t="str">
        <f>IF(ISNUMBER(MATCH(Table13[[#This Row],[General]],COVENANTS!$D$2:$D$100,0)), "Y","N")</f>
        <v>N</v>
      </c>
      <c r="H100" s="122">
        <v>0</v>
      </c>
      <c r="I100" s="123">
        <v>0</v>
      </c>
      <c r="J100" s="123">
        <v>0</v>
      </c>
      <c r="K100" s="123">
        <v>0</v>
      </c>
      <c r="L100" s="122">
        <v>0</v>
      </c>
      <c r="M100" s="123">
        <v>0</v>
      </c>
      <c r="N100" s="123">
        <v>0</v>
      </c>
      <c r="O100" s="123">
        <v>0</v>
      </c>
      <c r="P100" s="106">
        <v>0</v>
      </c>
      <c r="Q100" s="105">
        <v>0</v>
      </c>
      <c r="R100" s="105">
        <v>0</v>
      </c>
      <c r="S100" s="105">
        <v>0</v>
      </c>
      <c r="T100" s="106">
        <v>0</v>
      </c>
      <c r="U100" s="105">
        <v>0</v>
      </c>
      <c r="V100" s="105">
        <v>0</v>
      </c>
      <c r="W100" s="105">
        <v>0</v>
      </c>
      <c r="X100" s="106">
        <v>0</v>
      </c>
      <c r="Y100" s="105">
        <v>0</v>
      </c>
      <c r="Z100" s="105">
        <v>0</v>
      </c>
      <c r="AA100" s="105">
        <v>0</v>
      </c>
      <c r="AB100" s="106">
        <v>0</v>
      </c>
      <c r="AC100" s="105">
        <v>0</v>
      </c>
      <c r="AD100" s="105">
        <v>0</v>
      </c>
      <c r="AE100" s="106">
        <f t="shared" si="33"/>
        <v>0</v>
      </c>
      <c r="AF100" s="105">
        <f t="shared" si="34"/>
        <v>0</v>
      </c>
      <c r="AG100" s="105">
        <f t="shared" si="35"/>
        <v>0</v>
      </c>
      <c r="AH100" s="105">
        <f t="shared" si="36"/>
        <v>0</v>
      </c>
      <c r="AI100" s="298">
        <f t="shared" si="37"/>
        <v>0</v>
      </c>
      <c r="AJ100" s="41"/>
      <c r="AK100" s="41"/>
      <c r="AL100" s="41"/>
      <c r="AM100" s="403"/>
      <c r="AN100" s="403"/>
      <c r="AO100" s="403"/>
      <c r="AP100" s="99"/>
      <c r="AQ100" s="99"/>
      <c r="AR100" s="99"/>
    </row>
    <row r="101" spans="1:44" ht="14.25" customHeight="1" x14ac:dyDescent="0.25">
      <c r="A101" s="10" t="s">
        <v>435</v>
      </c>
      <c r="C101" s="121"/>
      <c r="D101" s="135" t="str">
        <f>IF(ISNUMBER(MATCH(Table13[[#This Row],[General]],COVENANTS!$A$2:$A$100,0)), "Y","N")</f>
        <v>N</v>
      </c>
      <c r="E101" s="135" t="str">
        <f>IF(ISNUMBER(MATCH(Table13[[#This Row],[General]],COVENANTS!$B$2:$B$100,0)), "Y","N")</f>
        <v>N</v>
      </c>
      <c r="F101" s="135" t="str">
        <f>IF(ISNUMBER(MATCH(Table13[[#This Row],[General]],COVENANTS!$C$2:$C$100,0)), "Y","N")</f>
        <v>N</v>
      </c>
      <c r="G101" s="135" t="str">
        <f>IF(ISNUMBER(MATCH(Table13[[#This Row],[General]],COVENANTS!$D$2:$D$100,0)), "Y","N")</f>
        <v>N</v>
      </c>
      <c r="H101" s="122">
        <v>0</v>
      </c>
      <c r="I101" s="123">
        <v>0</v>
      </c>
      <c r="J101" s="123">
        <v>0</v>
      </c>
      <c r="K101" s="123">
        <v>0</v>
      </c>
      <c r="L101" s="122">
        <v>0</v>
      </c>
      <c r="M101" s="123">
        <v>0</v>
      </c>
      <c r="N101" s="123">
        <v>0</v>
      </c>
      <c r="O101" s="123">
        <v>0</v>
      </c>
      <c r="P101" s="97">
        <v>0</v>
      </c>
      <c r="Q101" s="113">
        <v>0</v>
      </c>
      <c r="R101" s="113">
        <v>0</v>
      </c>
      <c r="S101" s="113">
        <v>0</v>
      </c>
      <c r="T101" s="97">
        <v>0</v>
      </c>
      <c r="U101" s="113">
        <v>0</v>
      </c>
      <c r="V101" s="113">
        <v>0</v>
      </c>
      <c r="W101" s="113">
        <v>0</v>
      </c>
      <c r="X101" s="97">
        <v>0</v>
      </c>
      <c r="Y101" s="113">
        <v>0</v>
      </c>
      <c r="Z101" s="113">
        <v>0</v>
      </c>
      <c r="AA101" s="113">
        <v>0</v>
      </c>
      <c r="AB101" s="97">
        <v>0</v>
      </c>
      <c r="AC101" s="113">
        <v>0</v>
      </c>
      <c r="AD101" s="113">
        <v>0</v>
      </c>
      <c r="AE101" s="97">
        <f t="shared" si="33"/>
        <v>0</v>
      </c>
      <c r="AF101" s="113">
        <f t="shared" si="34"/>
        <v>0</v>
      </c>
      <c r="AG101" s="113">
        <f t="shared" si="35"/>
        <v>0</v>
      </c>
      <c r="AH101" s="113">
        <f t="shared" si="36"/>
        <v>0</v>
      </c>
      <c r="AI101" s="298">
        <f t="shared" si="37"/>
        <v>0</v>
      </c>
      <c r="AJ101" s="41"/>
      <c r="AK101" s="41"/>
      <c r="AL101" s="41"/>
      <c r="AM101" s="403"/>
      <c r="AN101" s="403"/>
      <c r="AO101" s="403"/>
      <c r="AP101" s="99"/>
      <c r="AQ101" s="99"/>
      <c r="AR101" s="99"/>
    </row>
    <row r="102" spans="1:44" ht="14.25" customHeight="1" x14ac:dyDescent="0.25">
      <c r="A102" s="10" t="s">
        <v>436</v>
      </c>
      <c r="B102" s="104"/>
      <c r="C102" s="121"/>
      <c r="D102" s="135" t="str">
        <f>IF(ISNUMBER(MATCH(Table13[[#This Row],[General]],COVENANTS!$A$2:$A$100,0)), "Y","N")</f>
        <v>N</v>
      </c>
      <c r="E102" s="135" t="str">
        <f>IF(ISNUMBER(MATCH(Table13[[#This Row],[General]],COVENANTS!$B$2:$B$100,0)), "Y","N")</f>
        <v>N</v>
      </c>
      <c r="F102" s="135" t="str">
        <f>IF(ISNUMBER(MATCH(Table13[[#This Row],[General]],COVENANTS!$C$2:$C$100,0)), "Y","N")</f>
        <v>N</v>
      </c>
      <c r="G102" s="135" t="str">
        <f>IF(ISNUMBER(MATCH(Table13[[#This Row],[General]],COVENANTS!$D$2:$D$100,0)), "Y","N")</f>
        <v>N</v>
      </c>
      <c r="H102" s="122">
        <v>0</v>
      </c>
      <c r="I102" s="123">
        <v>0</v>
      </c>
      <c r="J102" s="123">
        <v>0</v>
      </c>
      <c r="K102" s="123">
        <v>0</v>
      </c>
      <c r="L102" s="106">
        <v>0</v>
      </c>
      <c r="M102" s="105">
        <v>0</v>
      </c>
      <c r="N102" s="105">
        <v>0</v>
      </c>
      <c r="O102" s="105">
        <v>0</v>
      </c>
      <c r="P102" s="106">
        <v>0</v>
      </c>
      <c r="Q102" s="105">
        <v>0</v>
      </c>
      <c r="R102" s="105">
        <v>0</v>
      </c>
      <c r="S102" s="105">
        <v>0</v>
      </c>
      <c r="T102" s="106">
        <v>0</v>
      </c>
      <c r="U102" s="105">
        <v>0</v>
      </c>
      <c r="V102" s="105">
        <v>0</v>
      </c>
      <c r="W102" s="105">
        <v>0</v>
      </c>
      <c r="X102" s="106">
        <v>0</v>
      </c>
      <c r="Y102" s="105">
        <v>0</v>
      </c>
      <c r="Z102" s="105">
        <v>0</v>
      </c>
      <c r="AA102" s="105">
        <v>0</v>
      </c>
      <c r="AB102" s="106">
        <v>0</v>
      </c>
      <c r="AC102" s="105">
        <v>0</v>
      </c>
      <c r="AD102" s="105">
        <v>0</v>
      </c>
      <c r="AE102" s="106">
        <f t="shared" si="33"/>
        <v>0</v>
      </c>
      <c r="AF102" s="105">
        <f t="shared" si="34"/>
        <v>0</v>
      </c>
      <c r="AG102" s="105">
        <f t="shared" si="35"/>
        <v>0</v>
      </c>
      <c r="AH102" s="105">
        <f t="shared" si="36"/>
        <v>0</v>
      </c>
      <c r="AI102" s="298">
        <f t="shared" si="37"/>
        <v>0</v>
      </c>
      <c r="AJ102" s="41"/>
      <c r="AK102" s="41"/>
      <c r="AL102" s="41"/>
      <c r="AM102" s="403"/>
      <c r="AN102" s="403"/>
      <c r="AO102" s="403"/>
      <c r="AP102" s="99"/>
      <c r="AQ102" s="99"/>
      <c r="AR102" s="99"/>
    </row>
    <row r="103" spans="1:44" ht="14.25" customHeight="1" x14ac:dyDescent="0.25">
      <c r="A103" s="10" t="s">
        <v>437</v>
      </c>
      <c r="B103" s="383"/>
      <c r="C103" s="404"/>
      <c r="D103" s="389" t="str">
        <f>IF(ISNUMBER(MATCH(Table13[[#This Row],[General]],COVENANTS!$A$2:$A$100,0)), "Y","N")</f>
        <v>N</v>
      </c>
      <c r="E103" s="389" t="str">
        <f>IF(ISNUMBER(MATCH(Table13[[#This Row],[General]],COVENANTS!$B$2:$B$100,0)), "Y","N")</f>
        <v>N</v>
      </c>
      <c r="F103" s="389" t="str">
        <f>IF(ISNUMBER(MATCH(Table13[[#This Row],[General]],COVENANTS!$C$2:$C$100,0)), "Y","N")</f>
        <v>N</v>
      </c>
      <c r="G103" s="389" t="str">
        <f>IF(ISNUMBER(MATCH(Table13[[#This Row],[General]],COVENANTS!$D$2:$D$100,0)), "Y","N")</f>
        <v>N</v>
      </c>
      <c r="H103" s="122">
        <v>0</v>
      </c>
      <c r="I103" s="123">
        <v>0</v>
      </c>
      <c r="J103" s="123">
        <v>0</v>
      </c>
      <c r="K103" s="123">
        <v>0</v>
      </c>
      <c r="L103" s="106">
        <v>0</v>
      </c>
      <c r="M103" s="105">
        <v>0</v>
      </c>
      <c r="N103" s="105">
        <v>0</v>
      </c>
      <c r="O103" s="105">
        <v>0</v>
      </c>
      <c r="P103" s="106">
        <v>0</v>
      </c>
      <c r="Q103" s="105">
        <v>0</v>
      </c>
      <c r="R103" s="105">
        <v>0</v>
      </c>
      <c r="S103" s="105">
        <v>0</v>
      </c>
      <c r="T103" s="106">
        <v>0</v>
      </c>
      <c r="U103" s="105">
        <v>0</v>
      </c>
      <c r="V103" s="105">
        <v>0</v>
      </c>
      <c r="W103" s="105">
        <v>0</v>
      </c>
      <c r="X103" s="106">
        <v>0</v>
      </c>
      <c r="Y103" s="105">
        <v>0</v>
      </c>
      <c r="Z103" s="105">
        <v>0</v>
      </c>
      <c r="AA103" s="105">
        <v>0</v>
      </c>
      <c r="AB103" s="106">
        <v>0</v>
      </c>
      <c r="AC103" s="105">
        <v>0</v>
      </c>
      <c r="AD103" s="105">
        <v>0</v>
      </c>
      <c r="AE103" s="106">
        <f t="shared" si="33"/>
        <v>0</v>
      </c>
      <c r="AF103" s="105">
        <f t="shared" si="34"/>
        <v>0</v>
      </c>
      <c r="AG103" s="105">
        <f t="shared" si="35"/>
        <v>0</v>
      </c>
      <c r="AH103" s="105">
        <f t="shared" si="36"/>
        <v>0</v>
      </c>
      <c r="AI103" s="297">
        <f t="shared" si="37"/>
        <v>0</v>
      </c>
    </row>
    <row r="104" spans="1:44" ht="14.25" customHeight="1" x14ac:dyDescent="0.25">
      <c r="A104" s="10" t="s">
        <v>438</v>
      </c>
      <c r="B104" s="383"/>
      <c r="C104" s="404"/>
      <c r="D104" s="389" t="str">
        <f>IF(ISNUMBER(MATCH(Table13[[#This Row],[General]],COVENANTS!$A$2:$A$100,0)), "Y","N")</f>
        <v>N</v>
      </c>
      <c r="E104" s="389" t="str">
        <f>IF(ISNUMBER(MATCH(Table13[[#This Row],[General]],COVENANTS!$B$2:$B$100,0)), "Y","N")</f>
        <v>N</v>
      </c>
      <c r="F104" s="389" t="str">
        <f>IF(ISNUMBER(MATCH(Table13[[#This Row],[General]],COVENANTS!$C$2:$C$100,0)), "Y","N")</f>
        <v>N</v>
      </c>
      <c r="G104" s="389" t="str">
        <f>IF(ISNUMBER(MATCH(Table13[[#This Row],[General]],COVENANTS!$D$2:$D$100,0)), "Y","N")</f>
        <v>N</v>
      </c>
      <c r="H104" s="122">
        <v>0</v>
      </c>
      <c r="I104" s="123">
        <v>0</v>
      </c>
      <c r="J104" s="123">
        <v>0</v>
      </c>
      <c r="K104" s="123">
        <v>0</v>
      </c>
      <c r="L104" s="106">
        <v>0</v>
      </c>
      <c r="M104" s="105">
        <v>0</v>
      </c>
      <c r="N104" s="105">
        <v>0</v>
      </c>
      <c r="O104" s="105">
        <v>0</v>
      </c>
      <c r="P104" s="106">
        <v>0</v>
      </c>
      <c r="Q104" s="105">
        <v>0</v>
      </c>
      <c r="R104" s="105">
        <v>0</v>
      </c>
      <c r="S104" s="105">
        <v>0</v>
      </c>
      <c r="T104" s="106">
        <v>0</v>
      </c>
      <c r="U104" s="105">
        <v>0</v>
      </c>
      <c r="V104" s="105">
        <v>0</v>
      </c>
      <c r="W104" s="105">
        <v>0</v>
      </c>
      <c r="X104" s="106">
        <v>0</v>
      </c>
      <c r="Y104" s="105">
        <v>0</v>
      </c>
      <c r="Z104" s="105">
        <v>0</v>
      </c>
      <c r="AA104" s="105">
        <v>0</v>
      </c>
      <c r="AB104" s="106">
        <v>0</v>
      </c>
      <c r="AC104" s="105">
        <v>0</v>
      </c>
      <c r="AD104" s="105">
        <v>0</v>
      </c>
      <c r="AE104" s="106">
        <f t="shared" si="33"/>
        <v>0</v>
      </c>
      <c r="AF104" s="105">
        <f t="shared" si="34"/>
        <v>0</v>
      </c>
      <c r="AG104" s="105">
        <f t="shared" si="35"/>
        <v>0</v>
      </c>
      <c r="AH104" s="105">
        <f t="shared" si="36"/>
        <v>0</v>
      </c>
      <c r="AI104" s="300">
        <f t="shared" si="37"/>
        <v>0</v>
      </c>
    </row>
    <row r="105" spans="1:44" ht="14.25" customHeight="1" x14ac:dyDescent="0.25">
      <c r="A105" s="10" t="s">
        <v>439</v>
      </c>
      <c r="B105" s="383"/>
      <c r="C105" s="404"/>
      <c r="D105" s="389" t="str">
        <f>IF(ISNUMBER(MATCH(Table13[[#This Row],[General]],COVENANTS!$A$2:$A$100,0)), "Y","N")</f>
        <v>N</v>
      </c>
      <c r="E105" s="389" t="str">
        <f>IF(ISNUMBER(MATCH(Table13[[#This Row],[General]],COVENANTS!$B$2:$B$100,0)), "Y","N")</f>
        <v>N</v>
      </c>
      <c r="F105" s="389" t="str">
        <f>IF(ISNUMBER(MATCH(Table13[[#This Row],[General]],COVENANTS!$C$2:$C$100,0)), "Y","N")</f>
        <v>N</v>
      </c>
      <c r="G105" s="389" t="str">
        <f>IF(ISNUMBER(MATCH(Table13[[#This Row],[General]],COVENANTS!$D$2:$D$100,0)), "Y","N")</f>
        <v>N</v>
      </c>
      <c r="H105" s="122">
        <v>0</v>
      </c>
      <c r="I105" s="123">
        <v>0</v>
      </c>
      <c r="J105" s="123">
        <v>0</v>
      </c>
      <c r="K105" s="123">
        <v>0</v>
      </c>
      <c r="L105" s="106">
        <v>0</v>
      </c>
      <c r="M105" s="105">
        <v>0</v>
      </c>
      <c r="N105" s="105">
        <v>0</v>
      </c>
      <c r="O105" s="105">
        <v>0</v>
      </c>
      <c r="P105" s="106">
        <v>0</v>
      </c>
      <c r="Q105" s="105">
        <v>0</v>
      </c>
      <c r="R105" s="105">
        <v>0</v>
      </c>
      <c r="S105" s="105">
        <v>0</v>
      </c>
      <c r="T105" s="106">
        <v>0</v>
      </c>
      <c r="U105" s="105">
        <v>0</v>
      </c>
      <c r="V105" s="105">
        <v>0</v>
      </c>
      <c r="W105" s="105">
        <v>0</v>
      </c>
      <c r="X105" s="106">
        <v>0</v>
      </c>
      <c r="Y105" s="105">
        <v>0</v>
      </c>
      <c r="Z105" s="105">
        <v>0</v>
      </c>
      <c r="AA105" s="105">
        <v>0</v>
      </c>
      <c r="AB105" s="106">
        <v>0</v>
      </c>
      <c r="AC105" s="105">
        <v>0</v>
      </c>
      <c r="AD105" s="105">
        <v>0</v>
      </c>
      <c r="AE105" s="106">
        <f t="shared" si="33"/>
        <v>0</v>
      </c>
      <c r="AF105" s="105">
        <f t="shared" si="34"/>
        <v>0</v>
      </c>
      <c r="AG105" s="105">
        <f t="shared" si="35"/>
        <v>0</v>
      </c>
      <c r="AH105" s="105">
        <f t="shared" si="36"/>
        <v>0</v>
      </c>
      <c r="AI105" s="300">
        <f t="shared" si="37"/>
        <v>0</v>
      </c>
    </row>
    <row r="106" spans="1:44" ht="14.25" customHeight="1" x14ac:dyDescent="0.25">
      <c r="A106" s="10" t="s">
        <v>440</v>
      </c>
      <c r="B106" s="383"/>
      <c r="C106" s="404"/>
      <c r="D106" s="389" t="str">
        <f>IF(ISNUMBER(MATCH(Table13[[#This Row],[General]],COVENANTS!$A$2:$A$100,0)), "Y","N")</f>
        <v>N</v>
      </c>
      <c r="E106" s="389" t="str">
        <f>IF(ISNUMBER(MATCH(Table13[[#This Row],[General]],COVENANTS!$B$2:$B$100,0)), "Y","N")</f>
        <v>N</v>
      </c>
      <c r="F106" s="389" t="str">
        <f>IF(ISNUMBER(MATCH(Table13[[#This Row],[General]],COVENANTS!$C$2:$C$100,0)), "Y","N")</f>
        <v>N</v>
      </c>
      <c r="G106" s="389" t="str">
        <f>IF(ISNUMBER(MATCH(Table13[[#This Row],[General]],COVENANTS!$D$2:$D$100,0)), "Y","N")</f>
        <v>N</v>
      </c>
      <c r="H106" s="122">
        <v>0</v>
      </c>
      <c r="I106" s="123">
        <v>0</v>
      </c>
      <c r="J106" s="123">
        <v>0</v>
      </c>
      <c r="K106" s="123">
        <v>0</v>
      </c>
      <c r="L106" s="106">
        <v>0</v>
      </c>
      <c r="M106" s="105">
        <v>0</v>
      </c>
      <c r="N106" s="105">
        <v>0</v>
      </c>
      <c r="O106" s="105">
        <v>0</v>
      </c>
      <c r="P106" s="106">
        <v>0</v>
      </c>
      <c r="Q106" s="105">
        <v>0</v>
      </c>
      <c r="R106" s="105">
        <v>0</v>
      </c>
      <c r="S106" s="105">
        <v>0</v>
      </c>
      <c r="T106" s="106">
        <v>0</v>
      </c>
      <c r="U106" s="105">
        <v>0</v>
      </c>
      <c r="V106" s="105">
        <v>0</v>
      </c>
      <c r="W106" s="105">
        <v>0</v>
      </c>
      <c r="X106" s="106">
        <v>0</v>
      </c>
      <c r="Y106" s="105">
        <v>0</v>
      </c>
      <c r="Z106" s="105">
        <v>0</v>
      </c>
      <c r="AA106" s="105">
        <v>0</v>
      </c>
      <c r="AB106" s="106">
        <v>0</v>
      </c>
      <c r="AC106" s="105">
        <v>0</v>
      </c>
      <c r="AD106" s="105">
        <v>0</v>
      </c>
      <c r="AE106" s="106">
        <f t="shared" si="33"/>
        <v>0</v>
      </c>
      <c r="AF106" s="105">
        <f t="shared" si="34"/>
        <v>0</v>
      </c>
      <c r="AG106" s="105">
        <f t="shared" si="35"/>
        <v>0</v>
      </c>
      <c r="AH106" s="105">
        <f t="shared" si="36"/>
        <v>0</v>
      </c>
      <c r="AI106" s="300">
        <f t="shared" si="37"/>
        <v>0</v>
      </c>
    </row>
    <row r="107" spans="1:44" ht="14.25" customHeight="1" x14ac:dyDescent="0.25">
      <c r="A107" s="10" t="s">
        <v>441</v>
      </c>
      <c r="B107" s="383"/>
      <c r="C107" s="404"/>
      <c r="D107" s="389" t="str">
        <f>IF(ISNUMBER(MATCH(Table13[[#This Row],[General]],COVENANTS!$A$2:$A$100,0)), "Y","N")</f>
        <v>N</v>
      </c>
      <c r="E107" s="389" t="str">
        <f>IF(ISNUMBER(MATCH(Table13[[#This Row],[General]],COVENANTS!$B$2:$B$100,0)), "Y","N")</f>
        <v>N</v>
      </c>
      <c r="F107" s="389" t="str">
        <f>IF(ISNUMBER(MATCH(Table13[[#This Row],[General]],COVENANTS!$C$2:$C$100,0)), "Y","N")</f>
        <v>N</v>
      </c>
      <c r="G107" s="389" t="str">
        <f>IF(ISNUMBER(MATCH(Table13[[#This Row],[General]],COVENANTS!$D$2:$D$100,0)), "Y","N")</f>
        <v>N</v>
      </c>
      <c r="H107" s="122">
        <v>0</v>
      </c>
      <c r="I107" s="123">
        <v>0</v>
      </c>
      <c r="J107" s="123">
        <v>0</v>
      </c>
      <c r="K107" s="123">
        <v>0</v>
      </c>
      <c r="L107" s="106">
        <v>0</v>
      </c>
      <c r="M107" s="105">
        <v>0</v>
      </c>
      <c r="N107" s="105">
        <v>0</v>
      </c>
      <c r="O107" s="105">
        <v>0</v>
      </c>
      <c r="P107" s="106">
        <v>0</v>
      </c>
      <c r="Q107" s="105">
        <v>0</v>
      </c>
      <c r="R107" s="105">
        <v>0</v>
      </c>
      <c r="S107" s="105">
        <v>0</v>
      </c>
      <c r="T107" s="106">
        <v>0</v>
      </c>
      <c r="U107" s="105">
        <v>0</v>
      </c>
      <c r="V107" s="105">
        <v>0</v>
      </c>
      <c r="W107" s="105">
        <v>0</v>
      </c>
      <c r="X107" s="106">
        <v>0</v>
      </c>
      <c r="Y107" s="105">
        <v>0</v>
      </c>
      <c r="Z107" s="105">
        <v>0</v>
      </c>
      <c r="AA107" s="105">
        <v>0</v>
      </c>
      <c r="AB107" s="106">
        <v>0</v>
      </c>
      <c r="AC107" s="105">
        <v>0</v>
      </c>
      <c r="AD107" s="105">
        <v>0</v>
      </c>
      <c r="AE107" s="106">
        <f t="shared" si="33"/>
        <v>0</v>
      </c>
      <c r="AF107" s="105">
        <f t="shared" si="34"/>
        <v>0</v>
      </c>
      <c r="AG107" s="105">
        <f t="shared" si="35"/>
        <v>0</v>
      </c>
      <c r="AH107" s="105">
        <f t="shared" si="36"/>
        <v>0</v>
      </c>
      <c r="AI107" s="300">
        <f t="shared" si="37"/>
        <v>0</v>
      </c>
    </row>
  </sheetData>
  <sheetProtection autoFilter="0"/>
  <mergeCells count="20">
    <mergeCell ref="X55:AA55"/>
    <mergeCell ref="P1:S1"/>
    <mergeCell ref="T1:W1"/>
    <mergeCell ref="X1:AA1"/>
    <mergeCell ref="AB1:AD1"/>
    <mergeCell ref="A1:C1"/>
    <mergeCell ref="A55:C55"/>
    <mergeCell ref="L55:O55"/>
    <mergeCell ref="P55:S55"/>
    <mergeCell ref="T55:W55"/>
    <mergeCell ref="L1:O1"/>
    <mergeCell ref="H1:K1"/>
    <mergeCell ref="H55:K55"/>
    <mergeCell ref="D1:G1"/>
    <mergeCell ref="D55:G55"/>
    <mergeCell ref="AP1:AU1"/>
    <mergeCell ref="AJ1:AO1"/>
    <mergeCell ref="AE1:AI1"/>
    <mergeCell ref="AE55:AI55"/>
    <mergeCell ref="AB55:AD55"/>
  </mergeCells>
  <phoneticPr fontId="2" type="noConversion"/>
  <conditionalFormatting sqref="B3:B53 B57:B107">
    <cfRule type="cellIs" dxfId="30" priority="3" operator="equal">
      <formula>"U"</formula>
    </cfRule>
    <cfRule type="cellIs" dxfId="29" priority="4" operator="equal">
      <formula>"A"</formula>
    </cfRule>
  </conditionalFormatting>
  <conditionalFormatting sqref="D3:G53 D57:G107">
    <cfRule type="cellIs" dxfId="28" priority="1" operator="equal">
      <formula>"N"</formula>
    </cfRule>
    <cfRule type="containsText" dxfId="27" priority="2" operator="containsText" text="Y">
      <formula>NOT(ISERROR(SEARCH("Y",D3)))</formula>
    </cfRule>
  </conditionalFormatting>
  <conditionalFormatting sqref="H3:K53 H57:K107">
    <cfRule type="cellIs" dxfId="26" priority="5" operator="equal">
      <formula>0</formula>
    </cfRule>
  </conditionalFormatting>
  <pageMargins left="0.7" right="0.7" top="0.75" bottom="0.75" header="0.3" footer="0.3"/>
  <pageSetup paperSize="9" orientation="portrait" r:id="rId1"/>
  <legacy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B961C89A-145A-4C91-9E2F-7E3D274D325E}">
          <x14:formula1>
            <xm:f>Calculator!$G$2:$G$18</xm:f>
          </x14:formula1>
          <xm:sqref>AX5</xm:sqref>
        </x14:dataValidation>
        <x14:dataValidation type="list" allowBlank="1" showInputMessage="1" showErrorMessage="1" xr:uid="{44AB604B-05FA-4E44-A313-647E0F4C4A75}">
          <x14:formula1>
            <xm:f>Calculator!$S$2:$S$51</xm:f>
          </x14:formula1>
          <xm:sqref>AX9</xm:sqref>
        </x14:dataValidation>
        <x14:dataValidation type="list" allowBlank="1" showInputMessage="1" showErrorMessage="1" xr:uid="{8F4282FF-EF6E-4818-8697-864E4F51AF01}">
          <x14:formula1>
            <xm:f>Calculator!$P$2:$P$51</xm:f>
          </x14:formula1>
          <xm:sqref>AX6</xm:sqref>
        </x14:dataValidation>
        <x14:dataValidation type="list" allowBlank="1" showInputMessage="1" showErrorMessage="1" xr:uid="{1B5E1095-A166-48AA-A0A1-F556515EE8B6}">
          <x14:formula1>
            <xm:f>Calculator!$X$2:$X$13</xm:f>
          </x14:formula1>
          <xm:sqref>AX10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F12F-29C6-40F9-8FD2-F10FB5AD6608}">
  <sheetPr>
    <tabColor rgb="FFFFFF00"/>
  </sheetPr>
  <dimension ref="A1:AY121"/>
  <sheetViews>
    <sheetView showGridLines="0" tabSelected="1" zoomScale="85" zoomScaleNormal="85" workbookViewId="0">
      <pane xSplit="3" ySplit="2" topLeftCell="D31" activePane="bottomRight" state="frozen"/>
      <selection pane="topRight" activeCell="D1" sqref="D1"/>
      <selection pane="bottomLeft" activeCell="A3" sqref="A3"/>
      <selection pane="bottomRight" activeCell="AF110" sqref="AF110"/>
    </sheetView>
  </sheetViews>
  <sheetFormatPr defaultRowHeight="14.25" customHeight="1" x14ac:dyDescent="0.25"/>
  <cols>
    <col min="1" max="1" width="4.140625" style="28" bestFit="1" customWidth="1"/>
    <col min="2" max="2" width="6.85546875" style="28" customWidth="1"/>
    <col min="3" max="3" width="23.7109375" style="73" bestFit="1" customWidth="1"/>
    <col min="4" max="4" width="6.5703125" style="73" bestFit="1" customWidth="1"/>
    <col min="5" max="7" width="6" style="73" bestFit="1" customWidth="1"/>
    <col min="8" max="9" width="8.85546875" style="28" bestFit="1" customWidth="1"/>
    <col min="10" max="10" width="8" style="28" bestFit="1" customWidth="1"/>
    <col min="11" max="11" width="8.140625" style="28" bestFit="1" customWidth="1"/>
    <col min="12" max="13" width="7" style="28" bestFit="1" customWidth="1"/>
    <col min="14" max="14" width="6.140625" style="28" bestFit="1" customWidth="1"/>
    <col min="15" max="15" width="6.42578125" style="28" bestFit="1" customWidth="1"/>
    <col min="16" max="17" width="8" style="28" bestFit="1" customWidth="1"/>
    <col min="18" max="18" width="7.140625" style="28" bestFit="1" customWidth="1"/>
    <col min="19" max="19" width="7.42578125" style="28" bestFit="1" customWidth="1"/>
    <col min="20" max="21" width="8" style="28" bestFit="1" customWidth="1"/>
    <col min="22" max="22" width="7.140625" style="28" bestFit="1" customWidth="1"/>
    <col min="23" max="23" width="7.42578125" style="28" bestFit="1" customWidth="1"/>
    <col min="24" max="25" width="9" style="28" bestFit="1" customWidth="1"/>
    <col min="26" max="26" width="8.140625" style="28" bestFit="1" customWidth="1"/>
    <col min="27" max="27" width="8.42578125" style="28" bestFit="1" customWidth="1"/>
    <col min="28" max="29" width="9" style="28" bestFit="1" customWidth="1"/>
    <col min="30" max="30" width="8.140625" style="28" bestFit="1" customWidth="1"/>
    <col min="31" max="32" width="9" style="28" bestFit="1" customWidth="1"/>
    <col min="33" max="33" width="8.140625" style="28" bestFit="1" customWidth="1"/>
    <col min="34" max="34" width="8.42578125" style="28" bestFit="1" customWidth="1"/>
    <col min="35" max="35" width="9.85546875" style="305" bestFit="1" customWidth="1"/>
    <col min="36" max="36" width="9" style="26" customWidth="1"/>
    <col min="37" max="37" width="10" style="26" customWidth="1"/>
    <col min="38" max="38" width="7" style="26" customWidth="1"/>
    <col min="39" max="39" width="14.42578125" style="26" customWidth="1"/>
    <col min="40" max="40" width="12.85546875" style="26" customWidth="1"/>
    <col min="41" max="41" width="12.42578125" style="26" customWidth="1"/>
    <col min="42" max="42" width="8.140625" style="26" customWidth="1"/>
    <col min="43" max="44" width="8" style="26" customWidth="1"/>
    <col min="45" max="46" width="12.42578125" style="23" customWidth="1"/>
    <col min="47" max="47" width="13.42578125" style="23" customWidth="1"/>
    <col min="48" max="48" width="3.28515625" style="23" customWidth="1"/>
    <col min="49" max="49" width="14.140625" style="23" bestFit="1" customWidth="1"/>
    <col min="50" max="50" width="9.85546875" style="23" bestFit="1" customWidth="1"/>
    <col min="51" max="51" width="15.5703125" style="23" bestFit="1" customWidth="1"/>
    <col min="52" max="16384" width="9.140625" style="28"/>
  </cols>
  <sheetData>
    <row r="1" spans="1:51" s="63" customFormat="1" ht="18" customHeight="1" x14ac:dyDescent="0.25">
      <c r="A1" s="528" t="s">
        <v>109</v>
      </c>
      <c r="B1" s="528"/>
      <c r="C1" s="529"/>
      <c r="D1" s="545" t="s">
        <v>564</v>
      </c>
      <c r="E1" s="528"/>
      <c r="F1" s="528"/>
      <c r="G1" s="528"/>
      <c r="H1" s="541" t="s">
        <v>293</v>
      </c>
      <c r="I1" s="541"/>
      <c r="J1" s="541"/>
      <c r="K1" s="542"/>
      <c r="L1" s="539" t="s">
        <v>282</v>
      </c>
      <c r="M1" s="539"/>
      <c r="N1" s="539"/>
      <c r="O1" s="540"/>
      <c r="P1" s="548" t="s">
        <v>283</v>
      </c>
      <c r="Q1" s="548"/>
      <c r="R1" s="548"/>
      <c r="S1" s="549"/>
      <c r="T1" s="550" t="s">
        <v>284</v>
      </c>
      <c r="U1" s="550"/>
      <c r="V1" s="550"/>
      <c r="W1" s="551"/>
      <c r="X1" s="552" t="s">
        <v>285</v>
      </c>
      <c r="Y1" s="552"/>
      <c r="Z1" s="552"/>
      <c r="AA1" s="553"/>
      <c r="AB1" s="554" t="s">
        <v>327</v>
      </c>
      <c r="AC1" s="554"/>
      <c r="AD1" s="555"/>
      <c r="AE1" s="520" t="s">
        <v>5</v>
      </c>
      <c r="AF1" s="520"/>
      <c r="AG1" s="520"/>
      <c r="AH1" s="520"/>
      <c r="AI1" s="522"/>
      <c r="AJ1" s="520" t="s">
        <v>275</v>
      </c>
      <c r="AK1" s="520"/>
      <c r="AL1" s="520"/>
      <c r="AM1" s="520"/>
      <c r="AN1" s="520"/>
      <c r="AO1" s="521"/>
      <c r="AP1" s="520" t="s">
        <v>276</v>
      </c>
      <c r="AQ1" s="520"/>
      <c r="AR1" s="520"/>
      <c r="AS1" s="520"/>
      <c r="AT1" s="520"/>
      <c r="AU1" s="521"/>
      <c r="AV1" s="60"/>
      <c r="AW1" s="42" t="s">
        <v>230</v>
      </c>
      <c r="AX1" s="42" t="s">
        <v>201</v>
      </c>
      <c r="AY1" s="42" t="s">
        <v>257</v>
      </c>
    </row>
    <row r="2" spans="1:51" ht="14.25" customHeight="1" thickBot="1" x14ac:dyDescent="0.3">
      <c r="A2" s="38" t="s">
        <v>48</v>
      </c>
      <c r="B2" s="32" t="s">
        <v>331</v>
      </c>
      <c r="C2" s="32" t="s">
        <v>0</v>
      </c>
      <c r="D2" s="32" t="s">
        <v>565</v>
      </c>
      <c r="E2" s="32" t="s">
        <v>503</v>
      </c>
      <c r="F2" s="32" t="s">
        <v>504</v>
      </c>
      <c r="G2" s="32" t="s">
        <v>505</v>
      </c>
      <c r="H2" s="32" t="s">
        <v>289</v>
      </c>
      <c r="I2" s="32" t="s">
        <v>290</v>
      </c>
      <c r="J2" s="32" t="s">
        <v>291</v>
      </c>
      <c r="K2" s="32" t="s">
        <v>292</v>
      </c>
      <c r="L2" s="32" t="s">
        <v>270</v>
      </c>
      <c r="M2" s="32" t="s">
        <v>271</v>
      </c>
      <c r="N2" s="32" t="s">
        <v>272</v>
      </c>
      <c r="O2" s="32" t="s">
        <v>273</v>
      </c>
      <c r="P2" s="32" t="s">
        <v>537</v>
      </c>
      <c r="Q2" s="32" t="s">
        <v>538</v>
      </c>
      <c r="R2" s="32" t="s">
        <v>539</v>
      </c>
      <c r="S2" s="32" t="s">
        <v>540</v>
      </c>
      <c r="T2" s="32" t="s">
        <v>541</v>
      </c>
      <c r="U2" s="32" t="s">
        <v>542</v>
      </c>
      <c r="V2" s="32" t="s">
        <v>543</v>
      </c>
      <c r="W2" s="32" t="s">
        <v>544</v>
      </c>
      <c r="X2" s="32" t="s">
        <v>545</v>
      </c>
      <c r="Y2" s="32" t="s">
        <v>546</v>
      </c>
      <c r="Z2" s="32" t="s">
        <v>547</v>
      </c>
      <c r="AA2" s="32" t="s">
        <v>548</v>
      </c>
      <c r="AB2" s="32" t="s">
        <v>549</v>
      </c>
      <c r="AC2" s="32" t="s">
        <v>550</v>
      </c>
      <c r="AD2" s="32" t="s">
        <v>551</v>
      </c>
      <c r="AE2" s="32" t="s">
        <v>552</v>
      </c>
      <c r="AF2" s="32" t="s">
        <v>553</v>
      </c>
      <c r="AG2" s="32" t="s">
        <v>554</v>
      </c>
      <c r="AH2" s="32" t="s">
        <v>555</v>
      </c>
      <c r="AI2" s="304" t="s">
        <v>274</v>
      </c>
      <c r="AJ2" s="32" t="s">
        <v>556</v>
      </c>
      <c r="AK2" s="32" t="s">
        <v>557</v>
      </c>
      <c r="AL2" s="32" t="s">
        <v>277</v>
      </c>
      <c r="AM2" s="32" t="s">
        <v>558</v>
      </c>
      <c r="AN2" s="32" t="s">
        <v>559</v>
      </c>
      <c r="AO2" s="32" t="s">
        <v>281</v>
      </c>
      <c r="AP2" s="32" t="s">
        <v>560</v>
      </c>
      <c r="AQ2" s="32" t="s">
        <v>561</v>
      </c>
      <c r="AR2" s="32" t="s">
        <v>562</v>
      </c>
      <c r="AS2" s="32" t="s">
        <v>279</v>
      </c>
      <c r="AT2" s="32" t="s">
        <v>280</v>
      </c>
      <c r="AU2" s="32" t="s">
        <v>563</v>
      </c>
      <c r="AW2" s="24">
        <f>VLOOKUP(AX6,Calculator!P:Q,2,FALSE)</f>
        <v>660000</v>
      </c>
      <c r="AX2" s="24">
        <f>VLOOKUP(AX5,Calculator!K:L,2,FALSE)</f>
        <v>4070</v>
      </c>
      <c r="AY2" s="24">
        <f>(AW2+AW3)*(AX2+AX3)</f>
        <v>317529597000</v>
      </c>
    </row>
    <row r="3" spans="1:51" ht="14.25" customHeight="1" thickTop="1" x14ac:dyDescent="0.25">
      <c r="A3" s="39" t="s">
        <v>49</v>
      </c>
      <c r="B3" s="143" t="s">
        <v>332</v>
      </c>
      <c r="C3" s="144" t="s">
        <v>528</v>
      </c>
      <c r="D3" s="175" t="str">
        <f>IF(ISNUMBER(MATCH(Table15[[#This Row],[General]],COVENANTS!$A$2:$A$100,0)), "Y","N")</f>
        <v>Y</v>
      </c>
      <c r="E3" s="175" t="str">
        <f>IF(ISNUMBER(MATCH(Table15[[#This Row],[General]],COVENANTS!$B$2:$B$100,0)), "Y","N")</f>
        <v>N</v>
      </c>
      <c r="F3" s="175" t="str">
        <f>IF(ISNUMBER(MATCH(Table15[[#This Row],[General]],COVENANTS!$C$2:$C$100,0)), "Y","N")</f>
        <v>N</v>
      </c>
      <c r="G3" s="175" t="str">
        <f>IF(ISNUMBER(MATCH(Table15[[#This Row],[General]],COVENANTS!$D$2:$D$100,0)), "Y","N")</f>
        <v>N</v>
      </c>
      <c r="H3" s="126">
        <v>25</v>
      </c>
      <c r="I3" s="127">
        <v>25</v>
      </c>
      <c r="J3" s="127">
        <v>25</v>
      </c>
      <c r="K3" s="127">
        <v>12</v>
      </c>
      <c r="L3" s="145">
        <v>45</v>
      </c>
      <c r="M3" s="146">
        <v>45</v>
      </c>
      <c r="N3" s="146">
        <v>30</v>
      </c>
      <c r="O3" s="146">
        <v>0</v>
      </c>
      <c r="P3" s="145">
        <v>125</v>
      </c>
      <c r="Q3" s="146">
        <v>60</v>
      </c>
      <c r="R3" s="146">
        <v>65</v>
      </c>
      <c r="S3" s="146">
        <v>18</v>
      </c>
      <c r="T3" s="145">
        <v>70</v>
      </c>
      <c r="U3" s="146">
        <v>35</v>
      </c>
      <c r="V3" s="146">
        <v>45</v>
      </c>
      <c r="W3" s="146">
        <v>6</v>
      </c>
      <c r="X3" s="145">
        <v>15</v>
      </c>
      <c r="Y3" s="146">
        <v>5</v>
      </c>
      <c r="Z3" s="146">
        <v>10</v>
      </c>
      <c r="AA3" s="146">
        <v>8</v>
      </c>
      <c r="AB3" s="147">
        <f>900*0.1+(AM3-900)*0.2</f>
        <v>257.58863037439994</v>
      </c>
      <c r="AC3" s="148">
        <f>900*0.1+(AN3-900)*0.2</f>
        <v>229.20024698879999</v>
      </c>
      <c r="AD3" s="148">
        <f>900*0.1+(AO3-900)*0.2</f>
        <v>245.00453831679999</v>
      </c>
      <c r="AE3" s="145">
        <f>P3+T3+X3+AB3</f>
        <v>467.58863037439994</v>
      </c>
      <c r="AF3" s="146">
        <f>Q3+U3+Y3+AC3</f>
        <v>329.20024698880002</v>
      </c>
      <c r="AG3" s="146">
        <f>R3+V3+Z3+AD3</f>
        <v>365.00453831679999</v>
      </c>
      <c r="AH3" s="146">
        <f>S3+W3+AA3</f>
        <v>32</v>
      </c>
      <c r="AI3" s="301">
        <f>(AW$2*(AH3/100)+AW$2+AW$3)*(AX$2*(AE3/100)+AX$2+AX$3)-AY$2</f>
        <v>92772118845.167542</v>
      </c>
      <c r="AJ3" s="145">
        <v>137</v>
      </c>
      <c r="AK3" s="146">
        <v>124</v>
      </c>
      <c r="AL3" s="146">
        <v>129</v>
      </c>
      <c r="AM3" s="150">
        <f>(AJ3+AS3*(AX$9-1))+500+((AJ3+AS3*(AX$9-1))+500)*$AY$10</f>
        <v>1737.9431518719998</v>
      </c>
      <c r="AN3" s="151">
        <f>(AK3+AT3*(AX$9-1))+500+((AK3+AT3*(AX$9-1))+500)*$AY$10</f>
        <v>1596.0012349439999</v>
      </c>
      <c r="AO3" s="151">
        <f>(AL3+AU3*(AX$9-1))+500+((AL3+AU3*(AX$9-1))+500)*$AY$10</f>
        <v>1675.0226915839999</v>
      </c>
      <c r="AP3" s="152">
        <v>9.3699999999999992</v>
      </c>
      <c r="AQ3" s="153">
        <v>8.24</v>
      </c>
      <c r="AR3" s="153">
        <v>8.89</v>
      </c>
      <c r="AS3" s="150">
        <f>(((((1+20/100)*$AP3)*(1+20/100)))*(1+20/100))*(1+20/100)*(1+20/100)</f>
        <v>23.315558399999993</v>
      </c>
      <c r="AT3" s="151">
        <f>(((((1+20/100)*$AQ3)*(1+20/100)))*(1+20/100))*(1+20/100)*(1+20/100)</f>
        <v>20.503756799999998</v>
      </c>
      <c r="AU3" s="151">
        <f>(((((1+20/100)*$AR3)*(1+20/100)))*(1+20/100))*(1+20/100)*(1+20/100)</f>
        <v>22.121164799999995</v>
      </c>
      <c r="AW3" s="24">
        <f>AX8</f>
        <v>3055100</v>
      </c>
      <c r="AX3" s="24">
        <f>((AX7/100)*AX2)</f>
        <v>81400</v>
      </c>
    </row>
    <row r="4" spans="1:51" ht="14.25" customHeight="1" x14ac:dyDescent="0.25">
      <c r="A4" s="39" t="s">
        <v>50</v>
      </c>
      <c r="B4" s="165" t="s">
        <v>332</v>
      </c>
      <c r="C4" s="166" t="s">
        <v>1120</v>
      </c>
      <c r="D4" s="177" t="str">
        <f>IF(ISNUMBER(MATCH(Table15[[#This Row],[General]],COVENANTS!$A$2:$A$100,0)), "Y","N")</f>
        <v>Y</v>
      </c>
      <c r="E4" s="177" t="str">
        <f>IF(ISNUMBER(MATCH(Table15[[#This Row],[General]],COVENANTS!$B$2:$B$100,0)), "Y","N")</f>
        <v>N</v>
      </c>
      <c r="F4" s="177" t="str">
        <f>IF(ISNUMBER(MATCH(Table15[[#This Row],[General]],COVENANTS!$C$2:$C$100,0)), "Y","N")</f>
        <v>N</v>
      </c>
      <c r="G4" s="177" t="str">
        <f>IF(ISNUMBER(MATCH(Table15[[#This Row],[General]],COVENANTS!$D$2:$D$100,0)), "Y","N")</f>
        <v>N</v>
      </c>
      <c r="H4" s="106">
        <v>25</v>
      </c>
      <c r="I4" s="105">
        <v>25</v>
      </c>
      <c r="J4" s="105">
        <v>25</v>
      </c>
      <c r="K4" s="105">
        <v>12</v>
      </c>
      <c r="L4" s="167">
        <v>60</v>
      </c>
      <c r="M4" s="168">
        <v>40</v>
      </c>
      <c r="N4" s="168">
        <v>60</v>
      </c>
      <c r="O4" s="168">
        <v>0</v>
      </c>
      <c r="P4" s="167">
        <v>145</v>
      </c>
      <c r="Q4" s="168">
        <v>85</v>
      </c>
      <c r="R4" s="168">
        <v>120</v>
      </c>
      <c r="S4" s="168">
        <v>8</v>
      </c>
      <c r="T4" s="167">
        <v>80</v>
      </c>
      <c r="U4" s="168">
        <v>60</v>
      </c>
      <c r="V4" s="168">
        <v>20</v>
      </c>
      <c r="W4" s="168">
        <v>6</v>
      </c>
      <c r="X4" s="167">
        <v>10</v>
      </c>
      <c r="Y4" s="168">
        <v>10</v>
      </c>
      <c r="Z4" s="168">
        <v>10</v>
      </c>
      <c r="AA4" s="168">
        <v>10</v>
      </c>
      <c r="AB4" s="169">
        <f>900*0.1+(AM4-900)*0.2</f>
        <v>265.08902891520006</v>
      </c>
      <c r="AC4" s="170">
        <f>900*0.1+(AN4-900)*0.2</f>
        <v>242.78069155839998</v>
      </c>
      <c r="AD4" s="170">
        <f>900*0.1+(AO4-900)*0.2</f>
        <v>245.8970440704</v>
      </c>
      <c r="AE4" s="167">
        <f>P4+T4+X4+AB4</f>
        <v>500.08902891520006</v>
      </c>
      <c r="AF4" s="168">
        <f>Q4+U4+Y4+AC4</f>
        <v>397.78069155840001</v>
      </c>
      <c r="AG4" s="168">
        <f>R4+V4+Z4+AD4</f>
        <v>395.8970440704</v>
      </c>
      <c r="AH4" s="168">
        <f>S4+W4+AA4</f>
        <v>24</v>
      </c>
      <c r="AI4" s="297">
        <f>(AW$2*(AH4/100)+AW$2+AW$3)*(AX$2*(AE4/100)+AX$2+AX$3)-AY$2</f>
        <v>92378208537.573242</v>
      </c>
      <c r="AJ4" s="167">
        <v>136</v>
      </c>
      <c r="AK4" s="168">
        <v>126</v>
      </c>
      <c r="AL4" s="168">
        <v>130</v>
      </c>
      <c r="AM4" s="171">
        <f>(AJ4+AS4*(AX$9-1))+500+((AJ4+AS4*(AX$9-1))+500)*$AY$10</f>
        <v>1775.4451445760001</v>
      </c>
      <c r="AN4" s="172">
        <f>(AK4+AT4*(AX$9-1))+500+((AK4+AT4*(AX$9-1))+500)*$AY$10</f>
        <v>1663.9034577919999</v>
      </c>
      <c r="AO4" s="172">
        <f>(AL4+AU4*(AX$9-1))+500+((AL4+AU4*(AX$9-1))+500)*$AY$10</f>
        <v>1679.4852203519999</v>
      </c>
      <c r="AP4" s="173">
        <v>9.7100000000000009</v>
      </c>
      <c r="AQ4" s="174">
        <v>8.82</v>
      </c>
      <c r="AR4" s="174">
        <v>8.92</v>
      </c>
      <c r="AS4" s="171">
        <f>(((((1+20/100)*$AP4)*(1+20/100)))*(1+20/100))*(1+20/100)*(1+20/100)</f>
        <v>24.1615872</v>
      </c>
      <c r="AT4" s="172">
        <f>(((((1+20/100)*$AQ4)*(1+20/100)))*(1+20/100))*(1+20/100)*(1+20/100)</f>
        <v>21.946982399999996</v>
      </c>
      <c r="AU4" s="172">
        <f>(((((1+20/100)*$AR4)*(1+20/100)))*(1+20/100))*(1+20/100)*(1+20/100)</f>
        <v>22.195814399999993</v>
      </c>
    </row>
    <row r="5" spans="1:51" ht="14.25" customHeight="1" x14ac:dyDescent="0.25">
      <c r="A5" s="39" t="s">
        <v>51</v>
      </c>
      <c r="B5" s="165" t="s">
        <v>332</v>
      </c>
      <c r="C5" s="166" t="s">
        <v>1153</v>
      </c>
      <c r="D5" s="177" t="str">
        <f>IF(ISNUMBER(MATCH(Table15[[#This Row],[General]],COVENANTS!$A$2:$A$100,0)), "Y","N")</f>
        <v>Y</v>
      </c>
      <c r="E5" s="177" t="str">
        <f>IF(ISNUMBER(MATCH(Table15[[#This Row],[General]],COVENANTS!$B$2:$B$100,0)), "Y","N")</f>
        <v>N</v>
      </c>
      <c r="F5" s="177" t="str">
        <f>IF(ISNUMBER(MATCH(Table15[[#This Row],[General]],COVENANTS!$C$2:$C$100,0)), "Y","N")</f>
        <v>N</v>
      </c>
      <c r="G5" s="177" t="str">
        <f>IF(ISNUMBER(MATCH(Table15[[#This Row],[General]],COVENANTS!$D$2:$D$100,0)), "Y","N")</f>
        <v>N</v>
      </c>
      <c r="H5" s="106">
        <v>25</v>
      </c>
      <c r="I5" s="105">
        <v>25</v>
      </c>
      <c r="J5" s="105">
        <v>25</v>
      </c>
      <c r="K5" s="105">
        <v>12</v>
      </c>
      <c r="L5" s="167">
        <v>60</v>
      </c>
      <c r="M5" s="168">
        <v>60</v>
      </c>
      <c r="N5" s="168">
        <v>45</v>
      </c>
      <c r="O5" s="168">
        <v>0</v>
      </c>
      <c r="P5" s="167">
        <v>150</v>
      </c>
      <c r="Q5" s="168">
        <v>90</v>
      </c>
      <c r="R5" s="168">
        <v>110</v>
      </c>
      <c r="S5" s="168">
        <v>8</v>
      </c>
      <c r="T5" s="167">
        <v>85</v>
      </c>
      <c r="U5" s="168">
        <v>75</v>
      </c>
      <c r="V5" s="168">
        <v>50</v>
      </c>
      <c r="W5" s="168">
        <v>0</v>
      </c>
      <c r="X5" s="167">
        <v>20</v>
      </c>
      <c r="Y5" s="168">
        <v>15</v>
      </c>
      <c r="Z5" s="168">
        <v>20</v>
      </c>
      <c r="AA5" s="168">
        <v>10</v>
      </c>
      <c r="AB5" s="169">
        <f>900*0.1+(AM5-900)*0.2</f>
        <v>258.31364188159989</v>
      </c>
      <c r="AC5" s="170">
        <f>900*0.1+(AN5-900)*0.2</f>
        <v>241.43451530239994</v>
      </c>
      <c r="AD5" s="170">
        <f>900*0.1+(AO5-900)*0.2</f>
        <v>246.62205557759995</v>
      </c>
      <c r="AE5" s="167">
        <f>P5+T5+X5+AB5</f>
        <v>513.31364188159989</v>
      </c>
      <c r="AF5" s="168">
        <f>Q5+U5+Y5+AC5</f>
        <v>421.43451530239997</v>
      </c>
      <c r="AG5" s="168">
        <f>R5+V5+Z5+AD5</f>
        <v>426.62205557759995</v>
      </c>
      <c r="AH5" s="168">
        <f>S5+W5+AA5</f>
        <v>18</v>
      </c>
      <c r="AI5" s="297">
        <f>(AW$2*(AH5/100)+AW$2+AW$3)*(AX$2*(AE5/100)+AX$2+AX$3)-AY$2</f>
        <v>90251158084.521545</v>
      </c>
      <c r="AJ5" s="167">
        <v>134</v>
      </c>
      <c r="AK5" s="168">
        <v>125</v>
      </c>
      <c r="AL5" s="168">
        <v>127</v>
      </c>
      <c r="AM5" s="171">
        <f>(AJ5+AS5*(AX$9-1))+500+((AJ5+AS5*(AX$9-1))+500)*$AY$10</f>
        <v>1741.5682094079996</v>
      </c>
      <c r="AN5" s="172">
        <f>(AK5+AT5*(AX$9-1))+500+((AK5+AT5*(AX$9-1))+500)*$AY$10</f>
        <v>1657.1725765119998</v>
      </c>
      <c r="AO5" s="172">
        <f>(AL5+AU5*(AX$9-1))+500+((AL5+AU5*(AX$9-1))+500)*$AY$10</f>
        <v>1683.1102778879997</v>
      </c>
      <c r="AP5" s="173">
        <v>9.43</v>
      </c>
      <c r="AQ5" s="174">
        <v>8.77</v>
      </c>
      <c r="AR5" s="174">
        <v>8.98</v>
      </c>
      <c r="AS5" s="171">
        <f>(((((1+20/100)*$AP5)*(1+20/100)))*(1+20/100))*(1+20/100)*(1+20/100)</f>
        <v>23.464857599999991</v>
      </c>
      <c r="AT5" s="172">
        <f>(((((1+20/100)*$AQ5)*(1+20/100)))*(1+20/100))*(1+20/100)*(1+20/100)</f>
        <v>21.822566399999992</v>
      </c>
      <c r="AU5" s="172">
        <f>(((((1+20/100)*$AR5)*(1+20/100)))*(1+20/100))*(1+20/100)*(1+20/100)</f>
        <v>22.345113599999994</v>
      </c>
      <c r="AW5" s="33" t="s">
        <v>255</v>
      </c>
      <c r="AX5" s="25" t="s">
        <v>250</v>
      </c>
    </row>
    <row r="6" spans="1:51" ht="14.25" customHeight="1" x14ac:dyDescent="0.25">
      <c r="A6" s="39" t="s">
        <v>52</v>
      </c>
      <c r="B6" s="154" t="s">
        <v>332</v>
      </c>
      <c r="C6" s="155" t="s">
        <v>654</v>
      </c>
      <c r="D6" s="176" t="str">
        <f>IF(ISNUMBER(MATCH(Table15[[#This Row],[General]],COVENANTS!$A$2:$A$100,0)), "Y","N")</f>
        <v>Y</v>
      </c>
      <c r="E6" s="176" t="str">
        <f>IF(ISNUMBER(MATCH(Table15[[#This Row],[General]],COVENANTS!$B$2:$B$100,0)), "Y","N")</f>
        <v>N</v>
      </c>
      <c r="F6" s="176" t="str">
        <f>IF(ISNUMBER(MATCH(Table15[[#This Row],[General]],COVENANTS!$C$2:$C$100,0)), "Y","N")</f>
        <v>N</v>
      </c>
      <c r="G6" s="176" t="str">
        <f>IF(ISNUMBER(MATCH(Table15[[#This Row],[General]],COVENANTS!$D$2:$D$100,0)), "Y","N")</f>
        <v>Y</v>
      </c>
      <c r="H6" s="122">
        <v>25</v>
      </c>
      <c r="I6" s="123">
        <v>25</v>
      </c>
      <c r="J6" s="123">
        <v>25</v>
      </c>
      <c r="K6" s="123">
        <v>12</v>
      </c>
      <c r="L6" s="156">
        <v>55</v>
      </c>
      <c r="M6" s="157">
        <v>40</v>
      </c>
      <c r="N6" s="157">
        <v>55</v>
      </c>
      <c r="O6" s="157">
        <v>0</v>
      </c>
      <c r="P6" s="156">
        <v>130</v>
      </c>
      <c r="Q6" s="157">
        <v>85</v>
      </c>
      <c r="R6" s="157">
        <v>70</v>
      </c>
      <c r="S6" s="157">
        <v>14</v>
      </c>
      <c r="T6" s="156">
        <v>85</v>
      </c>
      <c r="U6" s="157">
        <v>60</v>
      </c>
      <c r="V6" s="157">
        <v>50</v>
      </c>
      <c r="W6" s="157">
        <v>6</v>
      </c>
      <c r="X6" s="156">
        <v>28</v>
      </c>
      <c r="Y6" s="157">
        <v>15</v>
      </c>
      <c r="Z6" s="157">
        <v>10</v>
      </c>
      <c r="AA6" s="157">
        <v>5</v>
      </c>
      <c r="AB6" s="158">
        <f>900*0.1+(AM6-900)*0.2</f>
        <v>238.85031603199997</v>
      </c>
      <c r="AC6" s="159">
        <f>900*0.1+(AN6-900)*0.2</f>
        <v>240.76884479999998</v>
      </c>
      <c r="AD6" s="159">
        <f>900*0.1+(AO6-900)*0.2</f>
        <v>249.16174909439994</v>
      </c>
      <c r="AE6" s="156">
        <f>P6+T6+X6+AB6</f>
        <v>481.85031603199997</v>
      </c>
      <c r="AF6" s="157">
        <f>Q6+U6+Y6+AC6</f>
        <v>400.76884480000001</v>
      </c>
      <c r="AG6" s="157">
        <f>R6+V6+Z6+AD6</f>
        <v>379.16174909439997</v>
      </c>
      <c r="AH6" s="157">
        <f>S6+W6+AA6</f>
        <v>25</v>
      </c>
      <c r="AI6" s="298">
        <f>(AW$2*(AH6/100)+AW$2+AW$3)*(AX$2*(AE6/100)+AX$2+AX$3)-AY$2</f>
        <v>90196385637.295593</v>
      </c>
      <c r="AJ6" s="156">
        <v>131</v>
      </c>
      <c r="AK6" s="157">
        <v>124</v>
      </c>
      <c r="AL6" s="157">
        <v>124</v>
      </c>
      <c r="AM6" s="160">
        <f>(AJ6+AS6*(AX$9-1))+500+((AJ6+AS6*(AX$9-1))+500)*$AY$10</f>
        <v>1644.2515801599998</v>
      </c>
      <c r="AN6" s="161">
        <f>(AK6+AT6*(AX$9-1))+500+((AK6+AT6*(AX$9-1))+500)*$AY$10</f>
        <v>1653.8442239999999</v>
      </c>
      <c r="AO6" s="161">
        <f>(AL6+AU6*(AX$9-1))+500+((AL6+AU6*(AX$9-1))+500)*$AY$10</f>
        <v>1695.8087454719996</v>
      </c>
      <c r="AP6" s="162">
        <v>8.6</v>
      </c>
      <c r="AQ6" s="163">
        <v>8.75</v>
      </c>
      <c r="AR6" s="163">
        <v>9.1199999999999992</v>
      </c>
      <c r="AS6" s="160">
        <f>(((((1+20/100)*$AP6)*(1+20/100)))*(1+20/100))*(1+20/100)*(1+20/100)</f>
        <v>21.399551999999996</v>
      </c>
      <c r="AT6" s="161">
        <f>(((((1+20/100)*$AQ6)*(1+20/100)))*(1+20/100))*(1+20/100)*(1+20/100)</f>
        <v>21.772799999999997</v>
      </c>
      <c r="AU6" s="161">
        <f>(((((1+20/100)*$AR6)*(1+20/100)))*(1+20/100))*(1+20/100)*(1+20/100)</f>
        <v>22.693478399999993</v>
      </c>
      <c r="AW6" s="33" t="s">
        <v>694</v>
      </c>
      <c r="AX6" s="25" t="s">
        <v>703</v>
      </c>
    </row>
    <row r="7" spans="1:51" ht="14.25" customHeight="1" x14ac:dyDescent="0.25">
      <c r="A7" s="39" t="s">
        <v>53</v>
      </c>
      <c r="B7" s="154" t="s">
        <v>333</v>
      </c>
      <c r="C7" s="155" t="s">
        <v>653</v>
      </c>
      <c r="D7" s="176" t="str">
        <f>IF(ISNUMBER(MATCH(Table15[[#This Row],[General]],COVENANTS!$A$2:$A$100,0)), "Y","N")</f>
        <v>Y</v>
      </c>
      <c r="E7" s="176" t="str">
        <f>IF(ISNUMBER(MATCH(Table15[[#This Row],[General]],COVENANTS!$B$2:$B$100,0)), "Y","N")</f>
        <v>N</v>
      </c>
      <c r="F7" s="176" t="str">
        <f>IF(ISNUMBER(MATCH(Table15[[#This Row],[General]],COVENANTS!$C$2:$C$100,0)), "Y","N")</f>
        <v>N</v>
      </c>
      <c r="G7" s="176" t="str">
        <f>IF(ISNUMBER(MATCH(Table15[[#This Row],[General]],COVENANTS!$D$2:$D$100,0)), "Y","N")</f>
        <v>Y</v>
      </c>
      <c r="H7" s="122">
        <v>25</v>
      </c>
      <c r="I7" s="123">
        <v>25</v>
      </c>
      <c r="J7" s="123">
        <v>25</v>
      </c>
      <c r="K7" s="123">
        <v>12</v>
      </c>
      <c r="L7" s="156">
        <v>55</v>
      </c>
      <c r="M7" s="157">
        <v>55</v>
      </c>
      <c r="N7" s="157">
        <v>40</v>
      </c>
      <c r="O7" s="157">
        <v>0</v>
      </c>
      <c r="P7" s="156">
        <v>120</v>
      </c>
      <c r="Q7" s="157">
        <v>105</v>
      </c>
      <c r="R7" s="157">
        <v>85</v>
      </c>
      <c r="S7" s="157">
        <v>5</v>
      </c>
      <c r="T7" s="156">
        <v>85</v>
      </c>
      <c r="U7" s="157">
        <v>10</v>
      </c>
      <c r="V7" s="157">
        <v>55</v>
      </c>
      <c r="W7" s="157">
        <v>10</v>
      </c>
      <c r="X7" s="156">
        <v>33</v>
      </c>
      <c r="Y7" s="157">
        <v>15</v>
      </c>
      <c r="Z7" s="157">
        <v>10</v>
      </c>
      <c r="AA7" s="157">
        <v>8</v>
      </c>
      <c r="AB7" s="158">
        <f>900*0.1+(AM7-900)*0.2</f>
        <v>244.98970306559997</v>
      </c>
      <c r="AC7" s="159">
        <f>900*0.1+(AN7-900)*0.2</f>
        <v>239.59016279040003</v>
      </c>
      <c r="AD7" s="159">
        <f>900*0.1+(AO7-900)*0.2</f>
        <v>240.75400954879998</v>
      </c>
      <c r="AE7" s="156">
        <f>P7+T7+X7+AB7</f>
        <v>482.9897030656</v>
      </c>
      <c r="AF7" s="157">
        <f>Q7+U7+Y7+AC7</f>
        <v>369.59016279040003</v>
      </c>
      <c r="AG7" s="157">
        <f>R7+V7+Z7+AD7</f>
        <v>390.75400954880001</v>
      </c>
      <c r="AH7" s="157">
        <f>S7+W7+AA7</f>
        <v>23</v>
      </c>
      <c r="AI7" s="298">
        <f>(AW$2*(AH7/100)+AW$2+AW$3)*(AX$2*(AE7/100)+AX$2+AX$3)-AY$2</f>
        <v>88988632329.323792</v>
      </c>
      <c r="AJ7" s="156">
        <v>130</v>
      </c>
      <c r="AK7" s="157">
        <v>127</v>
      </c>
      <c r="AL7" s="157">
        <v>125</v>
      </c>
      <c r="AM7" s="160">
        <f>(AJ7+AS7*(AX$9-1))+500+((AJ7+AS7*(AX$9-1))+500)*$AY$10</f>
        <v>1674.9485153279998</v>
      </c>
      <c r="AN7" s="161">
        <f>(AK7+AT7*(AX$9-1))+500+((AK7+AT7*(AX$9-1))+500)*$AY$10</f>
        <v>1647.9508139520001</v>
      </c>
      <c r="AO7" s="161">
        <f>(AL7+AU7*(AX$9-1))+500+((AL7+AU7*(AX$9-1))+500)*$AY$10</f>
        <v>1653.7700477439998</v>
      </c>
      <c r="AP7" s="162">
        <v>8.8800000000000008</v>
      </c>
      <c r="AQ7" s="163">
        <v>8.67</v>
      </c>
      <c r="AR7" s="163">
        <v>8.74</v>
      </c>
      <c r="AS7" s="160">
        <f>(((((1+20/100)*$AP7)*(1+20/100)))*(1+20/100))*(1+20/100)*(1+20/100)</f>
        <v>22.096281599999998</v>
      </c>
      <c r="AT7" s="161">
        <f>(((((1+20/100)*$AQ7)*(1+20/100)))*(1+20/100))*(1+20/100)*(1+20/100)</f>
        <v>21.573734399999999</v>
      </c>
      <c r="AU7" s="161">
        <f>(((((1+20/100)*$AR7)*(1+20/100)))*(1+20/100))*(1+20/100)*(1+20/100)</f>
        <v>21.747916799999995</v>
      </c>
      <c r="AW7" s="33" t="s">
        <v>256</v>
      </c>
      <c r="AX7" s="25">
        <v>2000</v>
      </c>
    </row>
    <row r="8" spans="1:51" ht="14.25" customHeight="1" x14ac:dyDescent="0.25">
      <c r="A8" s="39" t="s">
        <v>54</v>
      </c>
      <c r="B8" s="154" t="s">
        <v>332</v>
      </c>
      <c r="C8" s="155" t="s">
        <v>625</v>
      </c>
      <c r="D8" s="176" t="str">
        <f>IF(ISNUMBER(MATCH(Table15[[#This Row],[General]],COVENANTS!$A$2:$A$100,0)), "Y","N")</f>
        <v>Y</v>
      </c>
      <c r="E8" s="176" t="str">
        <f>IF(ISNUMBER(MATCH(Table15[[#This Row],[General]],COVENANTS!$B$2:$B$100,0)), "Y","N")</f>
        <v>N</v>
      </c>
      <c r="F8" s="176" t="str">
        <f>IF(ISNUMBER(MATCH(Table15[[#This Row],[General]],COVENANTS!$C$2:$C$100,0)), "Y","N")</f>
        <v>N</v>
      </c>
      <c r="G8" s="176" t="str">
        <f>IF(ISNUMBER(MATCH(Table15[[#This Row],[General]],COVENANTS!$D$2:$D$100,0)), "Y","N")</f>
        <v>N</v>
      </c>
      <c r="H8" s="122">
        <v>25</v>
      </c>
      <c r="I8" s="123">
        <v>25</v>
      </c>
      <c r="J8" s="123">
        <v>25</v>
      </c>
      <c r="K8" s="123">
        <v>12</v>
      </c>
      <c r="L8" s="156">
        <v>55</v>
      </c>
      <c r="M8" s="157">
        <v>55</v>
      </c>
      <c r="N8" s="157">
        <v>35</v>
      </c>
      <c r="O8" s="157">
        <v>0</v>
      </c>
      <c r="P8" s="156">
        <v>130</v>
      </c>
      <c r="Q8" s="157">
        <v>95</v>
      </c>
      <c r="R8" s="157">
        <v>100</v>
      </c>
      <c r="S8" s="157">
        <v>10</v>
      </c>
      <c r="T8" s="156">
        <v>80</v>
      </c>
      <c r="U8" s="157">
        <v>40</v>
      </c>
      <c r="V8" s="157">
        <v>50</v>
      </c>
      <c r="W8" s="157">
        <v>0</v>
      </c>
      <c r="X8" s="156">
        <v>15</v>
      </c>
      <c r="Y8" s="157">
        <v>10</v>
      </c>
      <c r="Z8" s="157">
        <v>10</v>
      </c>
      <c r="AA8" s="157">
        <v>8</v>
      </c>
      <c r="AB8" s="158">
        <f>900*0.1+(AM8-900)*0.2</f>
        <v>267.00755768319993</v>
      </c>
      <c r="AC8" s="159">
        <f>900*0.1+(AN8-900)*0.2</f>
        <v>239.60499804159994</v>
      </c>
      <c r="AD8" s="159">
        <f>900*0.1+(AO8-900)*0.2</f>
        <v>238.68282178559994</v>
      </c>
      <c r="AE8" s="156">
        <f>P8+T8+X8+AB8</f>
        <v>492.00755768319993</v>
      </c>
      <c r="AF8" s="157">
        <f>Q8+U8+Y8+AC8</f>
        <v>384.60499804159997</v>
      </c>
      <c r="AG8" s="157">
        <f>R8+V8+Z8+AD8</f>
        <v>398.68282178559991</v>
      </c>
      <c r="AH8" s="157">
        <f>S8+W8+AA8</f>
        <v>18</v>
      </c>
      <c r="AI8" s="298">
        <f>(AW$2*(AH8/100)+AW$2+AW$3)*(AX$2*(AE8/100)+AX$2+AX$3)-AY$2</f>
        <v>86926562458.845947</v>
      </c>
      <c r="AJ8" s="156">
        <v>129</v>
      </c>
      <c r="AK8" s="157">
        <v>126</v>
      </c>
      <c r="AL8" s="157">
        <v>127</v>
      </c>
      <c r="AM8" s="160">
        <f>(AJ8+AS8*(AX$9-1))+500+((AJ8+AS8*(AX$9-1))+500)*$AY$10</f>
        <v>1785.0377884159998</v>
      </c>
      <c r="AN8" s="161">
        <f>(AK8+AT8*(AX$9-1))+500+((AK8+AT8*(AX$9-1))+500)*$AY$10</f>
        <v>1648.0249902079997</v>
      </c>
      <c r="AO8" s="161">
        <f>(AL8+AU8*(AX$9-1))+500+((AL8+AU8*(AX$9-1))+500)*$AY$10</f>
        <v>1643.4141089279997</v>
      </c>
      <c r="AP8" s="162">
        <v>9.86</v>
      </c>
      <c r="AQ8" s="163">
        <v>8.68</v>
      </c>
      <c r="AR8" s="163">
        <v>8.6300000000000008</v>
      </c>
      <c r="AS8" s="160">
        <f>(((((1+20/100)*$AP8)*(1+20/100)))*(1+20/100))*(1+20/100)*(1+20/100)</f>
        <v>24.534835199999993</v>
      </c>
      <c r="AT8" s="161">
        <f>(((((1+20/100)*$AQ8)*(1+20/100)))*(1+20/100))*(1+20/100)*(1+20/100)</f>
        <v>21.598617599999994</v>
      </c>
      <c r="AU8" s="161">
        <f>(((((1+20/100)*$AR8)*(1+20/100)))*(1+20/100))*(1+20/100)*(1+20/100)</f>
        <v>21.474201599999997</v>
      </c>
      <c r="AW8" s="33" t="s">
        <v>258</v>
      </c>
      <c r="AX8" s="25">
        <v>3055100</v>
      </c>
    </row>
    <row r="9" spans="1:51" ht="14.25" customHeight="1" x14ac:dyDescent="0.25">
      <c r="A9" s="39" t="s">
        <v>55</v>
      </c>
      <c r="B9" s="165" t="s">
        <v>333</v>
      </c>
      <c r="C9" s="166" t="s">
        <v>1124</v>
      </c>
      <c r="D9" s="177" t="str">
        <f>IF(ISNUMBER(MATCH(Table15[[#This Row],[General]],COVENANTS!$A$2:$A$100,0)), "Y","N")</f>
        <v>Y</v>
      </c>
      <c r="E9" s="177" t="str">
        <f>IF(ISNUMBER(MATCH(Table15[[#This Row],[General]],COVENANTS!$B$2:$B$100,0)), "Y","N")</f>
        <v>N</v>
      </c>
      <c r="F9" s="177" t="str">
        <f>IF(ISNUMBER(MATCH(Table15[[#This Row],[General]],COVENANTS!$C$2:$C$100,0)), "Y","N")</f>
        <v>N</v>
      </c>
      <c r="G9" s="177" t="str">
        <f>IF(ISNUMBER(MATCH(Table15[[#This Row],[General]],COVENANTS!$D$2:$D$100,0)), "Y","N")</f>
        <v>N</v>
      </c>
      <c r="H9" s="106">
        <v>25</v>
      </c>
      <c r="I9" s="105">
        <v>25</v>
      </c>
      <c r="J9" s="105">
        <v>25</v>
      </c>
      <c r="K9" s="105">
        <v>12</v>
      </c>
      <c r="L9" s="167">
        <v>60</v>
      </c>
      <c r="M9" s="168">
        <v>60</v>
      </c>
      <c r="N9" s="168">
        <v>45</v>
      </c>
      <c r="O9" s="168">
        <v>0</v>
      </c>
      <c r="P9" s="167">
        <v>120</v>
      </c>
      <c r="Q9" s="168">
        <v>120</v>
      </c>
      <c r="R9" s="168">
        <v>75</v>
      </c>
      <c r="S9" s="168">
        <v>8</v>
      </c>
      <c r="T9" s="167">
        <v>85</v>
      </c>
      <c r="U9" s="168">
        <v>65</v>
      </c>
      <c r="V9" s="168">
        <v>65</v>
      </c>
      <c r="W9" s="168">
        <v>0</v>
      </c>
      <c r="X9" s="167">
        <v>20</v>
      </c>
      <c r="Y9" s="168">
        <v>15</v>
      </c>
      <c r="Z9" s="168">
        <v>20</v>
      </c>
      <c r="AA9" s="168">
        <v>10</v>
      </c>
      <c r="AB9" s="169">
        <f>900*0.1+(AM9-900)*0.2</f>
        <v>256.51379512319988</v>
      </c>
      <c r="AC9" s="170">
        <f>900*0.1+(AN9-900)*0.2</f>
        <v>235.79330452479999</v>
      </c>
      <c r="AD9" s="170">
        <f>900*0.1+(AO9-900)*0.2</f>
        <v>247.72656133119992</v>
      </c>
      <c r="AE9" s="167">
        <f>P9+T9+X9+AB9</f>
        <v>481.51379512319988</v>
      </c>
      <c r="AF9" s="168">
        <f>Q9+U9+Y9+AC9</f>
        <v>435.79330452479996</v>
      </c>
      <c r="AG9" s="168">
        <f>R9+V9+Z9+AD9</f>
        <v>407.72656133119995</v>
      </c>
      <c r="AH9" s="168">
        <f>S9+W9+AA9</f>
        <v>18</v>
      </c>
      <c r="AI9" s="297">
        <f>(AW$2*(AH9/100)+AW$2+AW$3)*(AX$2*(AE9/100)+AX$2+AX$3)-AY$2</f>
        <v>85289118582.299377</v>
      </c>
      <c r="AJ9" s="167">
        <v>133</v>
      </c>
      <c r="AK9" s="168">
        <v>123</v>
      </c>
      <c r="AL9" s="168">
        <v>129</v>
      </c>
      <c r="AM9" s="171">
        <f>(AJ9+AS9*(AX$9-1))+500+((AJ9+AS9*(AX$9-1))+500)*$AY$10</f>
        <v>1732.5689756159995</v>
      </c>
      <c r="AN9" s="172">
        <f>(AK9+AT9*(AX$9-1))+500+((AK9+AT9*(AX$9-1))+500)*$AY$10</f>
        <v>1628.9665226239999</v>
      </c>
      <c r="AO9" s="172">
        <f>(AL9+AU9*(AX$9-1))+500+((AL9+AU9*(AX$9-1))+500)*$AY$10</f>
        <v>1688.6328066559995</v>
      </c>
      <c r="AP9" s="173">
        <v>9.36</v>
      </c>
      <c r="AQ9" s="174">
        <v>8.5399999999999991</v>
      </c>
      <c r="AR9" s="174">
        <v>9.01</v>
      </c>
      <c r="AS9" s="171">
        <f>(((((1+20/100)*$AP9)*(1+20/100)))*(1+20/100))*(1+20/100)*(1+20/100)</f>
        <v>23.290675199999992</v>
      </c>
      <c r="AT9" s="172">
        <f>(((((1+20/100)*$AQ9)*(1+20/100)))*(1+20/100))*(1+20/100)*(1+20/100)</f>
        <v>21.250252799999995</v>
      </c>
      <c r="AU9" s="172">
        <f>(((((1+20/100)*$AR9)*(1+20/100)))*(1+20/100))*(1+20/100)*(1+20/100)</f>
        <v>22.419763199999995</v>
      </c>
      <c r="AW9" s="33" t="s">
        <v>278</v>
      </c>
      <c r="AX9" s="25">
        <v>44</v>
      </c>
    </row>
    <row r="10" spans="1:51" ht="14.25" customHeight="1" x14ac:dyDescent="0.25">
      <c r="A10" s="39" t="s">
        <v>56</v>
      </c>
      <c r="B10" s="165" t="s">
        <v>332</v>
      </c>
      <c r="C10" s="166" t="s">
        <v>745</v>
      </c>
      <c r="D10" s="177" t="str">
        <f>IF(ISNUMBER(MATCH(Table15[[#This Row],[General]],COVENANTS!$A$2:$A$100,0)), "Y","N")</f>
        <v>Y</v>
      </c>
      <c r="E10" s="177" t="str">
        <f>IF(ISNUMBER(MATCH(Table15[[#This Row],[General]],COVENANTS!$B$2:$B$100,0)), "Y","N")</f>
        <v>N</v>
      </c>
      <c r="F10" s="177" t="str">
        <f>IF(ISNUMBER(MATCH(Table15[[#This Row],[General]],COVENANTS!$C$2:$C$100,0)), "Y","N")</f>
        <v>N</v>
      </c>
      <c r="G10" s="177" t="str">
        <f>IF(ISNUMBER(MATCH(Table15[[#This Row],[General]],COVENANTS!$D$2:$D$100,0)), "Y","N")</f>
        <v>N</v>
      </c>
      <c r="H10" s="106">
        <v>25</v>
      </c>
      <c r="I10" s="105">
        <v>25</v>
      </c>
      <c r="J10" s="105">
        <v>25</v>
      </c>
      <c r="K10" s="105">
        <v>12</v>
      </c>
      <c r="L10" s="167">
        <v>55</v>
      </c>
      <c r="M10" s="168">
        <v>40</v>
      </c>
      <c r="N10" s="168">
        <v>55</v>
      </c>
      <c r="O10" s="168">
        <v>0</v>
      </c>
      <c r="P10" s="167">
        <v>135</v>
      </c>
      <c r="Q10" s="168">
        <v>130</v>
      </c>
      <c r="R10" s="168">
        <v>125</v>
      </c>
      <c r="S10" s="168">
        <v>10</v>
      </c>
      <c r="T10" s="167">
        <v>75</v>
      </c>
      <c r="U10" s="168">
        <v>60</v>
      </c>
      <c r="V10" s="168">
        <v>60</v>
      </c>
      <c r="W10" s="168">
        <v>0</v>
      </c>
      <c r="X10" s="167">
        <v>20</v>
      </c>
      <c r="Y10" s="168">
        <v>10</v>
      </c>
      <c r="Z10" s="168">
        <v>15</v>
      </c>
      <c r="AA10" s="168">
        <v>8</v>
      </c>
      <c r="AB10" s="169">
        <f>900*0.1+(AM10-900)*0.2</f>
        <v>247.69689082879995</v>
      </c>
      <c r="AC10" s="170">
        <f>900*0.1+(AN10-900)*0.2</f>
        <v>237.41082178559995</v>
      </c>
      <c r="AD10" s="170">
        <f>900*0.1+(AO10-900)*0.2</f>
        <v>245.45820881919997</v>
      </c>
      <c r="AE10" s="167">
        <f>P10+T10+X10+AB10</f>
        <v>477.69689082879995</v>
      </c>
      <c r="AF10" s="168">
        <f>Q10+U10+Y10+AC10</f>
        <v>437.41082178559998</v>
      </c>
      <c r="AG10" s="168">
        <f>R10+V10+Z10+AD10</f>
        <v>445.45820881919997</v>
      </c>
      <c r="AH10" s="168">
        <f>S10+W10+AA10</f>
        <v>18</v>
      </c>
      <c r="AI10" s="297">
        <f>(AW$2*(AH10/100)+AW$2+AW$3)*(AX$2*(AE10/100)+AX$2+AX$3)-AY$2</f>
        <v>84693529866.765381</v>
      </c>
      <c r="AJ10" s="167">
        <v>131</v>
      </c>
      <c r="AK10" s="168">
        <v>121</v>
      </c>
      <c r="AL10" s="168">
        <v>129</v>
      </c>
      <c r="AM10" s="171">
        <f>(AJ10+AS10*(AX$9-1))+500+((AJ10+AS10*(AX$9-1))+500)*$AY$10</f>
        <v>1688.4844541439998</v>
      </c>
      <c r="AN10" s="172">
        <f>(AK10+AT10*(AX$9-1))+500+((AK10+AT10*(AX$9-1))+500)*$AY$10</f>
        <v>1637.0541089279998</v>
      </c>
      <c r="AO10" s="172">
        <f>(AL10+AU10*(AX$9-1))+500+((AL10+AU10*(AX$9-1))+500)*$AY$10</f>
        <v>1677.2910440959997</v>
      </c>
      <c r="AP10" s="173">
        <v>8.99</v>
      </c>
      <c r="AQ10" s="174">
        <v>8.6300000000000008</v>
      </c>
      <c r="AR10" s="174">
        <v>8.91</v>
      </c>
      <c r="AS10" s="171">
        <f>(((((1+20/100)*$AP10)*(1+20/100)))*(1+20/100))*(1+20/100)*(1+20/100)</f>
        <v>22.369996799999999</v>
      </c>
      <c r="AT10" s="172">
        <f>(((((1+20/100)*$AQ10)*(1+20/100)))*(1+20/100))*(1+20/100)*(1+20/100)</f>
        <v>21.474201599999997</v>
      </c>
      <c r="AU10" s="172">
        <f>(((((1+20/100)*$AR10)*(1+20/100)))*(1+20/100))*(1+20/100)*(1+20/100)</f>
        <v>22.170931199999995</v>
      </c>
      <c r="AW10" s="33" t="s">
        <v>802</v>
      </c>
      <c r="AX10" s="25" t="s">
        <v>808</v>
      </c>
      <c r="AY10" s="206">
        <f>VLOOKUP(AX10,Calculator!X2:Y13,2,0)</f>
        <v>0.06</v>
      </c>
    </row>
    <row r="11" spans="1:51" ht="14.25" customHeight="1" x14ac:dyDescent="0.25">
      <c r="A11" s="39" t="s">
        <v>57</v>
      </c>
      <c r="B11" s="154" t="s">
        <v>333</v>
      </c>
      <c r="C11" s="155" t="s">
        <v>492</v>
      </c>
      <c r="D11" s="176" t="str">
        <f>IF(ISNUMBER(MATCH(Table15[[#This Row],[General]],COVENANTS!$A$2:$A$100,0)), "Y","N")</f>
        <v>Y</v>
      </c>
      <c r="E11" s="176" t="str">
        <f>IF(ISNUMBER(MATCH(Table15[[#This Row],[General]],COVENANTS!$B$2:$B$100,0)), "Y","N")</f>
        <v>N</v>
      </c>
      <c r="F11" s="176" t="str">
        <f>IF(ISNUMBER(MATCH(Table15[[#This Row],[General]],COVENANTS!$C$2:$C$100,0)), "Y","N")</f>
        <v>N</v>
      </c>
      <c r="G11" s="176" t="str">
        <f>IF(ISNUMBER(MATCH(Table15[[#This Row],[General]],COVENANTS!$D$2:$D$100,0)), "Y","N")</f>
        <v>Y</v>
      </c>
      <c r="H11" s="122">
        <v>0</v>
      </c>
      <c r="I11" s="123">
        <v>25</v>
      </c>
      <c r="J11" s="123">
        <v>25</v>
      </c>
      <c r="K11" s="123">
        <v>12</v>
      </c>
      <c r="L11" s="156">
        <v>50</v>
      </c>
      <c r="M11" s="157">
        <v>40</v>
      </c>
      <c r="N11" s="157">
        <v>40</v>
      </c>
      <c r="O11" s="157">
        <v>0</v>
      </c>
      <c r="P11" s="156">
        <v>120</v>
      </c>
      <c r="Q11" s="157">
        <v>85</v>
      </c>
      <c r="R11" s="157">
        <v>80</v>
      </c>
      <c r="S11" s="157">
        <v>0</v>
      </c>
      <c r="T11" s="156">
        <v>75</v>
      </c>
      <c r="U11" s="157">
        <v>20</v>
      </c>
      <c r="V11" s="157">
        <v>40</v>
      </c>
      <c r="W11" s="157">
        <v>10</v>
      </c>
      <c r="X11" s="156">
        <v>15</v>
      </c>
      <c r="Y11" s="157">
        <v>5</v>
      </c>
      <c r="Z11" s="157">
        <v>15</v>
      </c>
      <c r="AA11" s="157">
        <v>8</v>
      </c>
      <c r="AB11" s="158">
        <f>900*0.1+(AM11-900)*0.2</f>
        <v>244.5360325632</v>
      </c>
      <c r="AC11" s="159">
        <f>900*0.1+(AN11-900)*0.2</f>
        <v>239.136492288</v>
      </c>
      <c r="AD11" s="159">
        <f>900*0.1+(AO11-900)*0.2</f>
        <v>240.08833904640002</v>
      </c>
      <c r="AE11" s="156">
        <f>P11+T11+X11+AB11</f>
        <v>454.53603256320002</v>
      </c>
      <c r="AF11" s="157">
        <f>Q11+U11+Y11+AC11</f>
        <v>349.136492288</v>
      </c>
      <c r="AG11" s="157">
        <f>R11+V11+Z11+AD11</f>
        <v>375.08833904640005</v>
      </c>
      <c r="AH11" s="157">
        <f>S11+W11+AA11</f>
        <v>18</v>
      </c>
      <c r="AI11" s="298">
        <f>(AW$2*(AH11/100)+AW$2+AW$3)*(AX$2*(AE11/100)+AX$2+AX$3)-AY$2</f>
        <v>81079515796.432922</v>
      </c>
      <c r="AJ11" s="156">
        <v>130</v>
      </c>
      <c r="AK11" s="157">
        <v>127</v>
      </c>
      <c r="AL11" s="157">
        <v>124</v>
      </c>
      <c r="AM11" s="160">
        <f>(AJ11+AS11*(AX$9-1))+500+((AJ11+AS11*(AX$9-1))+500)*$AY$10</f>
        <v>1672.6801628159999</v>
      </c>
      <c r="AN11" s="161">
        <f>(AK11+AT11*(AX$9-1))+500+((AK11+AT11*(AX$9-1))+500)*$AY$10</f>
        <v>1645.68246144</v>
      </c>
      <c r="AO11" s="161">
        <f>(AL11+AU11*(AX$9-1))+500+((AL11+AU11*(AX$9-1))+500)*$AY$10</f>
        <v>1650.441695232</v>
      </c>
      <c r="AP11" s="162">
        <v>8.86</v>
      </c>
      <c r="AQ11" s="163">
        <v>8.65</v>
      </c>
      <c r="AR11" s="163">
        <v>8.7200000000000006</v>
      </c>
      <c r="AS11" s="160">
        <f>(((((1+20/100)*$AP11)*(1+20/100)))*(1+20/100))*(1+20/100)*(1+20/100)</f>
        <v>22.046515199999998</v>
      </c>
      <c r="AT11" s="161">
        <f>(((((1+20/100)*$AQ11)*(1+20/100)))*(1+20/100))*(1+20/100)*(1+20/100)</f>
        <v>21.523968</v>
      </c>
      <c r="AU11" s="161">
        <f>(((((1+20/100)*$AR11)*(1+20/100)))*(1+20/100))*(1+20/100)*(1+20/100)</f>
        <v>21.698150399999999</v>
      </c>
    </row>
    <row r="12" spans="1:51" ht="14.25" customHeight="1" x14ac:dyDescent="0.25">
      <c r="A12" s="39" t="s">
        <v>58</v>
      </c>
      <c r="B12" s="154" t="s">
        <v>333</v>
      </c>
      <c r="C12" s="155" t="s">
        <v>631</v>
      </c>
      <c r="D12" s="176" t="str">
        <f>IF(ISNUMBER(MATCH(Table15[[#This Row],[General]],COVENANTS!$A$2:$A$100,0)), "Y","N")</f>
        <v>Y</v>
      </c>
      <c r="E12" s="176" t="str">
        <f>IF(ISNUMBER(MATCH(Table15[[#This Row],[General]],COVENANTS!$B$2:$B$100,0)), "Y","N")</f>
        <v>N</v>
      </c>
      <c r="F12" s="176" t="str">
        <f>IF(ISNUMBER(MATCH(Table15[[#This Row],[General]],COVENANTS!$C$2:$C$100,0)), "Y","N")</f>
        <v>Y</v>
      </c>
      <c r="G12" s="176" t="str">
        <f>IF(ISNUMBER(MATCH(Table15[[#This Row],[General]],COVENANTS!$D$2:$D$100,0)), "Y","N")</f>
        <v>N</v>
      </c>
      <c r="H12" s="122">
        <v>25</v>
      </c>
      <c r="I12" s="123">
        <v>25</v>
      </c>
      <c r="J12" s="123">
        <v>25</v>
      </c>
      <c r="K12" s="123">
        <v>12</v>
      </c>
      <c r="L12" s="156">
        <v>55</v>
      </c>
      <c r="M12" s="157">
        <v>0</v>
      </c>
      <c r="N12" s="157">
        <v>55</v>
      </c>
      <c r="O12" s="157">
        <v>8</v>
      </c>
      <c r="P12" s="156">
        <v>120</v>
      </c>
      <c r="Q12" s="157">
        <v>65</v>
      </c>
      <c r="R12" s="157">
        <v>85</v>
      </c>
      <c r="S12" s="157">
        <v>8</v>
      </c>
      <c r="T12" s="156">
        <v>80</v>
      </c>
      <c r="U12" s="157">
        <v>50</v>
      </c>
      <c r="V12" s="157">
        <v>60</v>
      </c>
      <c r="W12" s="157">
        <v>0</v>
      </c>
      <c r="X12" s="156">
        <v>20</v>
      </c>
      <c r="Y12" s="157">
        <v>10</v>
      </c>
      <c r="Z12" s="157">
        <v>10</v>
      </c>
      <c r="AA12" s="157">
        <v>6</v>
      </c>
      <c r="AB12" s="158">
        <f>900*0.1+(AM12-900)*0.2</f>
        <v>241.84368005119993</v>
      </c>
      <c r="AC12" s="159">
        <f>900*0.1+(AN12-900)*0.2</f>
        <v>240.52717429759997</v>
      </c>
      <c r="AD12" s="159">
        <f>900*0.1+(AO12-900)*0.2</f>
        <v>246.45886781439995</v>
      </c>
      <c r="AE12" s="156">
        <f>P12+T12+X12+AB12</f>
        <v>461.84368005119995</v>
      </c>
      <c r="AF12" s="157">
        <f>Q12+U12+Y12+AC12</f>
        <v>365.52717429759997</v>
      </c>
      <c r="AG12" s="157">
        <f>R12+V12+Z12+AD12</f>
        <v>401.45886781439992</v>
      </c>
      <c r="AH12" s="157">
        <f>S12+W12+AA12</f>
        <v>14</v>
      </c>
      <c r="AI12" s="298">
        <f>(AW$2*(AH12/100)+AW$2+AW$3)*(AX$2*(AE12/100)+AX$2+AX$3)-AY$2</f>
        <v>79467149340.05426</v>
      </c>
      <c r="AJ12" s="156">
        <v>128</v>
      </c>
      <c r="AK12" s="157">
        <v>125</v>
      </c>
      <c r="AL12" s="157">
        <v>138</v>
      </c>
      <c r="AM12" s="160">
        <f>(AJ12+AS12*(AX$9-1))+500+((AJ12+AS12*(AX$9-1))+500)*$AY$10</f>
        <v>1659.2184002559995</v>
      </c>
      <c r="AN12" s="161">
        <f>(AK12+AT12*(AX$9-1))+500+((AK12+AT12*(AX$9-1))+500)*$AY$10</f>
        <v>1652.6358714879998</v>
      </c>
      <c r="AO12" s="161">
        <f>(AL12+AU12*(AX$9-1))+500+((AL12+AU12*(AX$9-1))+500)*$AY$10</f>
        <v>1682.2943390719997</v>
      </c>
      <c r="AP12" s="162">
        <v>8.76</v>
      </c>
      <c r="AQ12" s="163">
        <v>8.73</v>
      </c>
      <c r="AR12" s="163">
        <v>8.8699999999999992</v>
      </c>
      <c r="AS12" s="160">
        <f>(((((1+20/100)*$AP12)*(1+20/100)))*(1+20/100))*(1+20/100)*(1+20/100)</f>
        <v>21.797683199999991</v>
      </c>
      <c r="AT12" s="161">
        <f>(((((1+20/100)*$AQ12)*(1+20/100)))*(1+20/100))*(1+20/100)*(1+20/100)</f>
        <v>21.723033599999997</v>
      </c>
      <c r="AU12" s="161">
        <f>(((((1+20/100)*$AR12)*(1+20/100)))*(1+20/100))*(1+20/100)*(1+20/100)</f>
        <v>22.071398399999993</v>
      </c>
    </row>
    <row r="13" spans="1:51" ht="14.25" customHeight="1" x14ac:dyDescent="0.25">
      <c r="A13" s="39" t="s">
        <v>59</v>
      </c>
      <c r="B13" s="154" t="s">
        <v>332</v>
      </c>
      <c r="C13" s="155" t="s">
        <v>139</v>
      </c>
      <c r="D13" s="176" t="str">
        <f>IF(ISNUMBER(MATCH(Table15[[#This Row],[General]],COVENANTS!$A$2:$A$100,0)), "Y","N")</f>
        <v>Y</v>
      </c>
      <c r="E13" s="176" t="str">
        <f>IF(ISNUMBER(MATCH(Table15[[#This Row],[General]],COVENANTS!$B$2:$B$100,0)), "Y","N")</f>
        <v>Y</v>
      </c>
      <c r="F13" s="176" t="str">
        <f>IF(ISNUMBER(MATCH(Table15[[#This Row],[General]],COVENANTS!$C$2:$C$100,0)), "Y","N")</f>
        <v>N</v>
      </c>
      <c r="G13" s="176" t="str">
        <f>IF(ISNUMBER(MATCH(Table15[[#This Row],[General]],COVENANTS!$D$2:$D$100,0)), "Y","N")</f>
        <v>Y</v>
      </c>
      <c r="H13" s="122">
        <v>25</v>
      </c>
      <c r="I13" s="123">
        <v>25</v>
      </c>
      <c r="J13" s="123">
        <v>25</v>
      </c>
      <c r="K13" s="123">
        <v>12</v>
      </c>
      <c r="L13" s="156">
        <v>45</v>
      </c>
      <c r="M13" s="157">
        <v>45</v>
      </c>
      <c r="N13" s="157">
        <v>35</v>
      </c>
      <c r="O13" s="157">
        <v>0</v>
      </c>
      <c r="P13" s="156">
        <v>105</v>
      </c>
      <c r="Q13" s="157">
        <v>85</v>
      </c>
      <c r="R13" s="157">
        <v>75</v>
      </c>
      <c r="S13" s="157">
        <v>8</v>
      </c>
      <c r="T13" s="156">
        <v>75</v>
      </c>
      <c r="U13" s="157">
        <v>45</v>
      </c>
      <c r="V13" s="157">
        <v>35</v>
      </c>
      <c r="W13" s="157">
        <v>6</v>
      </c>
      <c r="X13" s="156">
        <v>20</v>
      </c>
      <c r="Y13" s="157">
        <v>10</v>
      </c>
      <c r="Z13" s="157">
        <v>10</v>
      </c>
      <c r="AA13" s="157">
        <v>0</v>
      </c>
      <c r="AB13" s="158">
        <f>900*0.1+(AM13-900)*0.2</f>
        <v>256.93779512319998</v>
      </c>
      <c r="AC13" s="159">
        <f>900*0.1+(AN13-900)*0.2</f>
        <v>227.47457648639997</v>
      </c>
      <c r="AD13" s="159">
        <f>900*0.1+(AO13-900)*0.2</f>
        <v>243.71770306559998</v>
      </c>
      <c r="AE13" s="156">
        <f>P13+T13+X13+AB13</f>
        <v>456.93779512319998</v>
      </c>
      <c r="AF13" s="157">
        <f>Q13+U13+Y13+AC13</f>
        <v>367.4745764864</v>
      </c>
      <c r="AG13" s="157">
        <f>R13+V13+Z13+AD13</f>
        <v>363.71770306559995</v>
      </c>
      <c r="AH13" s="157">
        <f>S13+W13+AA13</f>
        <v>14</v>
      </c>
      <c r="AI13" s="298">
        <f>(AW$2*(AH13/100)+AW$2+AW$3)*(AX$2*(AE13/100)+AX$2+AX$3)-AY$2</f>
        <v>78706907655.715454</v>
      </c>
      <c r="AJ13" s="156">
        <v>135</v>
      </c>
      <c r="AK13" s="157">
        <v>118</v>
      </c>
      <c r="AL13" s="157">
        <v>124</v>
      </c>
      <c r="AM13" s="160">
        <f>(AJ13+AS13*(AX$9-1))+500+((AJ13+AS13*(AX$9-1))+500)*$AY$10</f>
        <v>1734.6889756159997</v>
      </c>
      <c r="AN13" s="161">
        <f>(AK13+AT13*(AX$9-1))+500+((AK13+AT13*(AX$9-1))+500)*$AY$10</f>
        <v>1587.3728824319999</v>
      </c>
      <c r="AO13" s="161">
        <f>(AL13+AU13*(AX$9-1))+500+((AL13+AU13*(AX$9-1))+500)*$AY$10</f>
        <v>1668.5885153279999</v>
      </c>
      <c r="AP13" s="162">
        <v>9.36</v>
      </c>
      <c r="AQ13" s="163">
        <v>8.2200000000000006</v>
      </c>
      <c r="AR13" s="163">
        <v>8.8800000000000008</v>
      </c>
      <c r="AS13" s="160">
        <f>(((((1+20/100)*$AP13)*(1+20/100)))*(1+20/100))*(1+20/100)*(1+20/100)</f>
        <v>23.290675199999992</v>
      </c>
      <c r="AT13" s="161">
        <f>(((((1+20/100)*$AQ13)*(1+20/100)))*(1+20/100))*(1+20/100)*(1+20/100)</f>
        <v>20.453990399999999</v>
      </c>
      <c r="AU13" s="161">
        <f>(((((1+20/100)*$AR13)*(1+20/100)))*(1+20/100))*(1+20/100)*(1+20/100)</f>
        <v>22.096281599999998</v>
      </c>
    </row>
    <row r="14" spans="1:51" ht="14.25" customHeight="1" x14ac:dyDescent="0.25">
      <c r="A14" s="39" t="s">
        <v>60</v>
      </c>
      <c r="B14" s="154" t="s">
        <v>333</v>
      </c>
      <c r="C14" s="155" t="s">
        <v>530</v>
      </c>
      <c r="D14" s="176" t="str">
        <f>IF(ISNUMBER(MATCH(Table15[[#This Row],[General]],COVENANTS!$A$2:$A$100,0)), "Y","N")</f>
        <v>Y</v>
      </c>
      <c r="E14" s="176" t="str">
        <f>IF(ISNUMBER(MATCH(Table15[[#This Row],[General]],COVENANTS!$B$2:$B$100,0)), "Y","N")</f>
        <v>Y</v>
      </c>
      <c r="F14" s="176" t="str">
        <f>IF(ISNUMBER(MATCH(Table15[[#This Row],[General]],COVENANTS!$C$2:$C$100,0)), "Y","N")</f>
        <v>N</v>
      </c>
      <c r="G14" s="176" t="str">
        <f>IF(ISNUMBER(MATCH(Table15[[#This Row],[General]],COVENANTS!$D$2:$D$100,0)), "Y","N")</f>
        <v>N</v>
      </c>
      <c r="H14" s="122">
        <v>0</v>
      </c>
      <c r="I14" s="123">
        <v>25</v>
      </c>
      <c r="J14" s="123">
        <v>25</v>
      </c>
      <c r="K14" s="123">
        <v>12</v>
      </c>
      <c r="L14" s="156">
        <v>50</v>
      </c>
      <c r="M14" s="157">
        <v>40</v>
      </c>
      <c r="N14" s="157">
        <v>40</v>
      </c>
      <c r="O14" s="157">
        <v>0</v>
      </c>
      <c r="P14" s="156">
        <v>90</v>
      </c>
      <c r="Q14" s="157">
        <v>90</v>
      </c>
      <c r="R14" s="157">
        <v>70</v>
      </c>
      <c r="S14" s="157">
        <v>8</v>
      </c>
      <c r="T14" s="156">
        <v>70</v>
      </c>
      <c r="U14" s="157">
        <v>50</v>
      </c>
      <c r="V14" s="157">
        <v>40</v>
      </c>
      <c r="W14" s="157">
        <v>6</v>
      </c>
      <c r="X14" s="156">
        <v>5</v>
      </c>
      <c r="Y14" s="157">
        <v>10</v>
      </c>
      <c r="Z14" s="157">
        <v>10</v>
      </c>
      <c r="AA14" s="157">
        <v>8</v>
      </c>
      <c r="AB14" s="158">
        <f>900*0.1+(AM14-900)*0.2</f>
        <v>251.75025484800005</v>
      </c>
      <c r="AC14" s="159">
        <f>900*0.1+(AN14-900)*0.2</f>
        <v>248.64873758719997</v>
      </c>
      <c r="AD14" s="159">
        <f>900*0.1+(AO14-900)*0.2</f>
        <v>247.10539658239998</v>
      </c>
      <c r="AE14" s="156">
        <f>P14+T14+X14+AB14</f>
        <v>416.75025484800005</v>
      </c>
      <c r="AF14" s="157">
        <f>Q14+U14+Y14+AC14</f>
        <v>398.6487375872</v>
      </c>
      <c r="AG14" s="157">
        <f>R14+V14+Z14+AD14</f>
        <v>367.10539658239998</v>
      </c>
      <c r="AH14" s="157">
        <f>S14+W14+AA14</f>
        <v>22</v>
      </c>
      <c r="AI14" s="298">
        <f>(AW$2*(AH14/100)+AW$2+AW$3)*(AX$2*(AE14/100)+AX$2+AX$3)-AY$2</f>
        <v>77887631057.742188</v>
      </c>
      <c r="AJ14" s="156">
        <v>133</v>
      </c>
      <c r="AK14" s="157">
        <v>128</v>
      </c>
      <c r="AL14" s="157">
        <v>125</v>
      </c>
      <c r="AM14" s="160">
        <f>(AJ14+AS14*(AX$9-1))+500+((AJ14+AS14*(AX$9-1))+500)*$AY$10</f>
        <v>1708.7512742400002</v>
      </c>
      <c r="AN14" s="161">
        <f>(AK14+AT14*(AX$9-1))+500+((AK14+AT14*(AX$9-1))+500)*$AY$10</f>
        <v>1693.2436879359998</v>
      </c>
      <c r="AO14" s="161">
        <f>(AL14+AU14*(AX$9-1))+500+((AL14+AU14*(AX$9-1))+500)*$AY$10</f>
        <v>1685.5269829119998</v>
      </c>
      <c r="AP14" s="162">
        <v>9.15</v>
      </c>
      <c r="AQ14" s="163">
        <v>9.06</v>
      </c>
      <c r="AR14" s="163">
        <v>9.02</v>
      </c>
      <c r="AS14" s="160">
        <f>(((((1+20/100)*$AP14)*(1+20/100)))*(1+20/100))*(1+20/100)*(1+20/100)</f>
        <v>22.768128000000001</v>
      </c>
      <c r="AT14" s="161">
        <f>(((((1+20/100)*$AQ14)*(1+20/100)))*(1+20/100))*(1+20/100)*(1+20/100)</f>
        <v>22.544179199999999</v>
      </c>
      <c r="AU14" s="161">
        <f>(((((1+20/100)*$AR14)*(1+20/100)))*(1+20/100))*(1+20/100)*(1+20/100)</f>
        <v>22.444646399999996</v>
      </c>
    </row>
    <row r="15" spans="1:51" ht="14.25" customHeight="1" x14ac:dyDescent="0.25">
      <c r="A15" s="39" t="s">
        <v>61</v>
      </c>
      <c r="B15" s="154" t="s">
        <v>333</v>
      </c>
      <c r="C15" s="155" t="s">
        <v>141</v>
      </c>
      <c r="D15" s="176" t="str">
        <f>IF(ISNUMBER(MATCH(Table15[[#This Row],[General]],COVENANTS!$A$2:$A$100,0)), "Y","N")</f>
        <v>Y</v>
      </c>
      <c r="E15" s="176" t="str">
        <f>IF(ISNUMBER(MATCH(Table15[[#This Row],[General]],COVENANTS!$B$2:$B$100,0)), "Y","N")</f>
        <v>Y</v>
      </c>
      <c r="F15" s="176" t="str">
        <f>IF(ISNUMBER(MATCH(Table15[[#This Row],[General]],COVENANTS!$C$2:$C$100,0)), "Y","N")</f>
        <v>N</v>
      </c>
      <c r="G15" s="176" t="str">
        <f>IF(ISNUMBER(MATCH(Table15[[#This Row],[General]],COVENANTS!$D$2:$D$100,0)), "Y","N")</f>
        <v>N</v>
      </c>
      <c r="H15" s="122">
        <v>25</v>
      </c>
      <c r="I15" s="123">
        <v>25</v>
      </c>
      <c r="J15" s="123">
        <v>25</v>
      </c>
      <c r="K15" s="123">
        <v>12</v>
      </c>
      <c r="L15" s="156">
        <v>45</v>
      </c>
      <c r="M15" s="157">
        <v>30</v>
      </c>
      <c r="N15" s="157">
        <v>45</v>
      </c>
      <c r="O15" s="157">
        <v>0</v>
      </c>
      <c r="P15" s="156">
        <v>103</v>
      </c>
      <c r="Q15" s="157">
        <v>48</v>
      </c>
      <c r="R15" s="157">
        <v>63</v>
      </c>
      <c r="S15" s="157">
        <v>10</v>
      </c>
      <c r="T15" s="156">
        <v>70</v>
      </c>
      <c r="U15" s="157">
        <v>50</v>
      </c>
      <c r="V15" s="157">
        <v>50</v>
      </c>
      <c r="W15" s="157">
        <v>0</v>
      </c>
      <c r="X15" s="156">
        <v>10</v>
      </c>
      <c r="Y15" s="157">
        <v>10</v>
      </c>
      <c r="Z15" s="157">
        <v>10</v>
      </c>
      <c r="AA15" s="157">
        <v>8</v>
      </c>
      <c r="AB15" s="158">
        <f>900*0.1+(AM15-900)*0.2</f>
        <v>246.19805557759992</v>
      </c>
      <c r="AC15" s="159">
        <f>900*0.1+(AN15-900)*0.2</f>
        <v>249.99491384319995</v>
      </c>
      <c r="AD15" s="159">
        <f>900*0.1+(AO15-900)*0.2</f>
        <v>236.75998653440001</v>
      </c>
      <c r="AE15" s="156">
        <f>P15+T15+X15+AB15</f>
        <v>429.19805557759992</v>
      </c>
      <c r="AF15" s="157">
        <f>Q15+U15+Y15+AC15</f>
        <v>357.99491384319992</v>
      </c>
      <c r="AG15" s="157">
        <f>R15+V15+Z15+AD15</f>
        <v>359.75998653440001</v>
      </c>
      <c r="AH15" s="157">
        <f>S15+W15+AA15</f>
        <v>18</v>
      </c>
      <c r="AI15" s="298">
        <f>(AW$2*(AH15/100)+AW$2+AW$3)*(AX$2*(AE15/100)+AX$2+AX$3)-AY$2</f>
        <v>77125784708.853699</v>
      </c>
      <c r="AJ15" s="156">
        <v>125</v>
      </c>
      <c r="AK15" s="157">
        <v>129</v>
      </c>
      <c r="AL15" s="157">
        <v>119</v>
      </c>
      <c r="AM15" s="160">
        <f>(AJ15+AS15*(AX$9-1))+500+((AJ15+AS15*(AX$9-1))+500)*$AY$10</f>
        <v>1680.9902778879996</v>
      </c>
      <c r="AN15" s="161">
        <f>(AK15+AT15*(AX$9-1))+500+((AK15+AT15*(AX$9-1))+500)*$AY$10</f>
        <v>1699.9745692159997</v>
      </c>
      <c r="AO15" s="161">
        <f>(AL15+AU15*(AX$9-1))+500+((AL15+AU15*(AX$9-1))+500)*$AY$10</f>
        <v>1633.7999326720001</v>
      </c>
      <c r="AP15" s="162">
        <v>8.98</v>
      </c>
      <c r="AQ15" s="163">
        <v>9.11</v>
      </c>
      <c r="AR15" s="163">
        <v>8.6199999999999992</v>
      </c>
      <c r="AS15" s="160">
        <f>(((((1+20/100)*$AP15)*(1+20/100)))*(1+20/100))*(1+20/100)*(1+20/100)</f>
        <v>22.345113599999994</v>
      </c>
      <c r="AT15" s="161">
        <f>(((((1+20/100)*$AQ15)*(1+20/100)))*(1+20/100))*(1+20/100)*(1+20/100)</f>
        <v>22.668595199999995</v>
      </c>
      <c r="AU15" s="161">
        <f>(((((1+20/100)*$AR15)*(1+20/100)))*(1+20/100))*(1+20/100)*(1+20/100)</f>
        <v>21.449318399999999</v>
      </c>
    </row>
    <row r="16" spans="1:51" ht="14.25" customHeight="1" x14ac:dyDescent="0.25">
      <c r="A16" s="39" t="s">
        <v>62</v>
      </c>
      <c r="B16" s="154" t="s">
        <v>332</v>
      </c>
      <c r="C16" s="155" t="s">
        <v>259</v>
      </c>
      <c r="D16" s="176" t="str">
        <f>IF(ISNUMBER(MATCH(Table15[[#This Row],[General]],COVENANTS!$A$2:$A$100,0)), "Y","N")</f>
        <v>Y</v>
      </c>
      <c r="E16" s="176" t="str">
        <f>IF(ISNUMBER(MATCH(Table15[[#This Row],[General]],COVENANTS!$B$2:$B$100,0)), "Y","N")</f>
        <v>N</v>
      </c>
      <c r="F16" s="176" t="str">
        <f>IF(ISNUMBER(MATCH(Table15[[#This Row],[General]],COVENANTS!$C$2:$C$100,0)), "Y","N")</f>
        <v>N</v>
      </c>
      <c r="G16" s="176" t="str">
        <f>IF(ISNUMBER(MATCH(Table15[[#This Row],[General]],COVENANTS!$D$2:$D$100,0)), "Y","N")</f>
        <v>Y</v>
      </c>
      <c r="H16" s="122">
        <v>25</v>
      </c>
      <c r="I16" s="123">
        <v>25</v>
      </c>
      <c r="J16" s="123">
        <v>25</v>
      </c>
      <c r="K16" s="123">
        <v>12</v>
      </c>
      <c r="L16" s="156">
        <v>50</v>
      </c>
      <c r="M16" s="157">
        <v>35</v>
      </c>
      <c r="N16" s="157">
        <v>50</v>
      </c>
      <c r="O16" s="157"/>
      <c r="P16" s="156">
        <v>125</v>
      </c>
      <c r="Q16" s="157">
        <v>95</v>
      </c>
      <c r="R16" s="157">
        <v>110</v>
      </c>
      <c r="S16" s="157">
        <v>10</v>
      </c>
      <c r="T16" s="156">
        <v>70</v>
      </c>
      <c r="U16" s="157">
        <v>45</v>
      </c>
      <c r="V16" s="157">
        <v>55</v>
      </c>
      <c r="W16" s="157"/>
      <c r="X16" s="156">
        <v>15</v>
      </c>
      <c r="Y16" s="157">
        <v>10</v>
      </c>
      <c r="Z16" s="157">
        <v>15</v>
      </c>
      <c r="AA16" s="157"/>
      <c r="AB16" s="158">
        <f>900*0.1+(AM16-900)*0.2</f>
        <v>244.30919731199998</v>
      </c>
      <c r="AC16" s="159">
        <f>900*0.1+(AN16-900)*0.2</f>
        <v>238.30332753919993</v>
      </c>
      <c r="AD16" s="159">
        <f>900*0.1+(AO16-900)*0.2</f>
        <v>238.93932753919995</v>
      </c>
      <c r="AE16" s="156">
        <f>P16+T16+X16+AB16</f>
        <v>454.30919731199998</v>
      </c>
      <c r="AF16" s="157">
        <f>Q16+U16+Y16+AC16</f>
        <v>388.30332753919993</v>
      </c>
      <c r="AG16" s="157">
        <f>R16+V16+Z16+AD16</f>
        <v>418.93932753919995</v>
      </c>
      <c r="AH16" s="157">
        <f>S16+W16+AA16</f>
        <v>10</v>
      </c>
      <c r="AI16" s="298">
        <f>(AW$2*(AH16/100)+AW$2+AW$3)*(AX$2*(AE16/100)+AX$2+AX$3)-AY$2</f>
        <v>75555012192.425598</v>
      </c>
      <c r="AJ16" s="156">
        <v>130</v>
      </c>
      <c r="AK16" s="157">
        <v>122</v>
      </c>
      <c r="AL16" s="157">
        <v>125</v>
      </c>
      <c r="AM16" s="160">
        <f>(AJ16+AS16*(AX$9-1))+500+((AJ16+AS16*(AX$9-1))+500)*$AY$10</f>
        <v>1671.5459865599998</v>
      </c>
      <c r="AN16" s="161">
        <f>(AK16+AT16*(AX$9-1))+500+((AK16+AT16*(AX$9-1))+500)*$AY$10</f>
        <v>1641.5166376959996</v>
      </c>
      <c r="AO16" s="161">
        <f>(AL16+AU16*(AX$9-1))+500+((AL16+AU16*(AX$9-1))+500)*$AY$10</f>
        <v>1644.6966376959997</v>
      </c>
      <c r="AP16" s="162">
        <v>8.85</v>
      </c>
      <c r="AQ16" s="163">
        <v>8.66</v>
      </c>
      <c r="AR16" s="163">
        <v>8.66</v>
      </c>
      <c r="AS16" s="160">
        <f>(((((1+20/100)*$AP16)*(1+20/100)))*(1+20/100))*(1+20/100)*(1+20/100)</f>
        <v>22.021631999999993</v>
      </c>
      <c r="AT16" s="161">
        <f>(((((1+20/100)*$AQ16)*(1+20/100)))*(1+20/100))*(1+20/100)*(1+20/100)</f>
        <v>21.548851199999994</v>
      </c>
      <c r="AU16" s="161">
        <f>(((((1+20/100)*$AR16)*(1+20/100)))*(1+20/100))*(1+20/100)*(1+20/100)</f>
        <v>21.548851199999994</v>
      </c>
    </row>
    <row r="17" spans="1:47" ht="14.25" customHeight="1" x14ac:dyDescent="0.25">
      <c r="A17" s="39" t="s">
        <v>63</v>
      </c>
      <c r="B17" s="154" t="s">
        <v>332</v>
      </c>
      <c r="C17" s="155" t="s">
        <v>287</v>
      </c>
      <c r="D17" s="176" t="str">
        <f>IF(ISNUMBER(MATCH(Table15[[#This Row],[General]],COVENANTS!$A$2:$A$100,0)), "Y","N")</f>
        <v>N</v>
      </c>
      <c r="E17" s="176" t="str">
        <f>IF(ISNUMBER(MATCH(Table15[[#This Row],[General]],COVENANTS!$B$2:$B$100,0)), "Y","N")</f>
        <v>N</v>
      </c>
      <c r="F17" s="176" t="str">
        <f>IF(ISNUMBER(MATCH(Table15[[#This Row],[General]],COVENANTS!$C$2:$C$100,0)), "Y","N")</f>
        <v>N</v>
      </c>
      <c r="G17" s="176" t="str">
        <f>IF(ISNUMBER(MATCH(Table15[[#This Row],[General]],COVENANTS!$D$2:$D$100,0)), "Y","N")</f>
        <v>N</v>
      </c>
      <c r="H17" s="122">
        <v>25</v>
      </c>
      <c r="I17" s="123">
        <v>25</v>
      </c>
      <c r="J17" s="123">
        <v>25</v>
      </c>
      <c r="K17" s="123">
        <v>12</v>
      </c>
      <c r="L17" s="156">
        <v>55</v>
      </c>
      <c r="M17" s="157">
        <v>20</v>
      </c>
      <c r="N17" s="157">
        <v>0</v>
      </c>
      <c r="O17" s="157">
        <v>0</v>
      </c>
      <c r="P17" s="156">
        <v>105</v>
      </c>
      <c r="Q17" s="157">
        <v>120</v>
      </c>
      <c r="R17" s="157">
        <v>25</v>
      </c>
      <c r="S17" s="157">
        <v>15</v>
      </c>
      <c r="T17" s="156">
        <v>65</v>
      </c>
      <c r="U17" s="157">
        <v>20</v>
      </c>
      <c r="V17" s="157">
        <v>40</v>
      </c>
      <c r="W17" s="157">
        <v>0</v>
      </c>
      <c r="X17" s="156">
        <v>0</v>
      </c>
      <c r="Y17" s="157">
        <v>0</v>
      </c>
      <c r="Z17" s="157">
        <v>0</v>
      </c>
      <c r="AA17" s="157">
        <v>0</v>
      </c>
      <c r="AB17" s="158">
        <f>900*0.1+(AM17-900)*0.2</f>
        <v>242.89937356799996</v>
      </c>
      <c r="AC17" s="159">
        <f>900*0.1+(AN17-900)*0.2</f>
        <v>239.82752680960002</v>
      </c>
      <c r="AD17" s="159">
        <f>900*0.1+(AO17-900)*0.2</f>
        <v>245.40939658239995</v>
      </c>
      <c r="AE17" s="156">
        <f>P17+T17+X17+AB17</f>
        <v>412.89937356799999</v>
      </c>
      <c r="AF17" s="157">
        <f>Q17+U17+Y17+AC17</f>
        <v>379.82752680960004</v>
      </c>
      <c r="AG17" s="157">
        <f>R17+V17+Z17+AD17</f>
        <v>310.40939658239995</v>
      </c>
      <c r="AH17" s="157">
        <f>S17+W17+AA17</f>
        <v>15</v>
      </c>
      <c r="AI17" s="298">
        <f>(AW$2*(AH17/100)+AW$2+AW$3)*(AX$2*(AE17/100)+AX$2+AX$3)-AY$2</f>
        <v>72557497679.536316</v>
      </c>
      <c r="AJ17" s="156">
        <v>118</v>
      </c>
      <c r="AK17" s="157">
        <v>111</v>
      </c>
      <c r="AL17" s="157">
        <v>117</v>
      </c>
      <c r="AM17" s="160">
        <f>(AJ17+AS17*(AX$9-1))+500+((AJ17+AS17*(AX$9-1))+500)*$AY$10</f>
        <v>1664.4968678399998</v>
      </c>
      <c r="AN17" s="161">
        <f>(AK17+AT17*(AX$9-1))+500+((AK17+AT17*(AX$9-1))+500)*$AY$10</f>
        <v>1649.1376340480001</v>
      </c>
      <c r="AO17" s="161">
        <f>(AL17+AU17*(AX$9-1))+500+((AL17+AU17*(AX$9-1))+500)*$AY$10</f>
        <v>1677.0469829119997</v>
      </c>
      <c r="AP17" s="162">
        <v>8.9</v>
      </c>
      <c r="AQ17" s="163">
        <v>8.83</v>
      </c>
      <c r="AR17" s="163">
        <v>9.02</v>
      </c>
      <c r="AS17" s="160">
        <f>(((((1+20/100)*$AP17)*(1+20/100)))*(1+20/100))*(1+20/100)*(1+20/100)</f>
        <v>22.146047999999997</v>
      </c>
      <c r="AT17" s="161">
        <f>(((((1+20/100)*$AQ17)*(1+20/100)))*(1+20/100))*(1+20/100)*(1+20/100)</f>
        <v>21.971865599999997</v>
      </c>
      <c r="AU17" s="161">
        <f>(((((1+20/100)*$AR17)*(1+20/100)))*(1+20/100))*(1+20/100)*(1+20/100)</f>
        <v>22.444646399999996</v>
      </c>
    </row>
    <row r="18" spans="1:47" ht="14.25" customHeight="1" x14ac:dyDescent="0.25">
      <c r="A18" s="39" t="s">
        <v>64</v>
      </c>
      <c r="B18" s="154" t="s">
        <v>332</v>
      </c>
      <c r="C18" s="155" t="s">
        <v>142</v>
      </c>
      <c r="D18" s="176" t="str">
        <f>IF(ISNUMBER(MATCH(Table15[[#This Row],[General]],COVENANTS!$A$2:$A$100,0)), "Y","N")</f>
        <v>N</v>
      </c>
      <c r="E18" s="176" t="str">
        <f>IF(ISNUMBER(MATCH(Table15[[#This Row],[General]],COVENANTS!$B$2:$B$100,0)), "Y","N")</f>
        <v>N</v>
      </c>
      <c r="F18" s="176" t="str">
        <f>IF(ISNUMBER(MATCH(Table15[[#This Row],[General]],COVENANTS!$C$2:$C$100,0)), "Y","N")</f>
        <v>Y</v>
      </c>
      <c r="G18" s="176" t="str">
        <f>IF(ISNUMBER(MATCH(Table15[[#This Row],[General]],COVENANTS!$D$2:$D$100,0)), "Y","N")</f>
        <v>N</v>
      </c>
      <c r="H18" s="122">
        <v>25</v>
      </c>
      <c r="I18" s="123">
        <v>25</v>
      </c>
      <c r="J18" s="123">
        <v>25</v>
      </c>
      <c r="K18" s="123">
        <v>12</v>
      </c>
      <c r="L18" s="156">
        <v>40</v>
      </c>
      <c r="M18" s="157">
        <v>15</v>
      </c>
      <c r="N18" s="157">
        <v>0</v>
      </c>
      <c r="O18" s="157">
        <v>0</v>
      </c>
      <c r="P18" s="156">
        <v>85</v>
      </c>
      <c r="Q18" s="157">
        <v>70</v>
      </c>
      <c r="R18" s="157">
        <v>65</v>
      </c>
      <c r="S18" s="157">
        <v>10</v>
      </c>
      <c r="T18" s="156">
        <v>65</v>
      </c>
      <c r="U18" s="157">
        <v>45</v>
      </c>
      <c r="V18" s="157">
        <v>10</v>
      </c>
      <c r="W18" s="157">
        <v>6</v>
      </c>
      <c r="X18" s="156">
        <v>10</v>
      </c>
      <c r="Y18" s="157">
        <v>0</v>
      </c>
      <c r="Z18" s="157">
        <v>0</v>
      </c>
      <c r="AA18" s="157">
        <v>0</v>
      </c>
      <c r="AB18" s="158">
        <f>900*0.1+(AM18-900)*0.2</f>
        <v>247.12023183359997</v>
      </c>
      <c r="AC18" s="159">
        <f>900*0.1+(AN18-900)*0.2</f>
        <v>241.59770306559994</v>
      </c>
      <c r="AD18" s="159">
        <f>900*0.1+(AO18-900)*0.2</f>
        <v>243.74737356799997</v>
      </c>
      <c r="AE18" s="156">
        <f>P18+T18+X18+AB18</f>
        <v>407.12023183359997</v>
      </c>
      <c r="AF18" s="157">
        <f>Q18+U18+Y18+AC18</f>
        <v>356.59770306559994</v>
      </c>
      <c r="AG18" s="157">
        <f>R18+V18+Z18+AD18</f>
        <v>318.74737356799994</v>
      </c>
      <c r="AH18" s="157">
        <f>S18+W18+AA18</f>
        <v>16</v>
      </c>
      <c r="AI18" s="298">
        <f>(AW$2*(AH18/100)+AW$2+AW$3)*(AX$2*(AE18/100)+AX$2+AX$3)-AY$2</f>
        <v>72333841779.502075</v>
      </c>
      <c r="AJ18" s="156">
        <v>124</v>
      </c>
      <c r="AK18" s="157">
        <v>114</v>
      </c>
      <c r="AL18" s="157">
        <v>122</v>
      </c>
      <c r="AM18" s="160">
        <f>(AJ18+AS18*(AX$9-1))+500+((AJ18+AS18*(AX$9-1))+500)*$AY$10</f>
        <v>1685.6011591679999</v>
      </c>
      <c r="AN18" s="161">
        <f>(AK18+AT18*(AX$9-1))+500+((AK18+AT18*(AX$9-1))+500)*$AY$10</f>
        <v>1657.9885153279997</v>
      </c>
      <c r="AO18" s="161">
        <f>(AL18+AU18*(AX$9-1))+500+((AL18+AU18*(AX$9-1))+500)*$AY$10</f>
        <v>1668.7368678399998</v>
      </c>
      <c r="AP18" s="162">
        <v>9.0299999999999994</v>
      </c>
      <c r="AQ18" s="163">
        <v>8.8800000000000008</v>
      </c>
      <c r="AR18" s="163">
        <v>8.9</v>
      </c>
      <c r="AS18" s="160">
        <f>(((((1+20/100)*$AP18)*(1+20/100)))*(1+20/100))*(1+20/100)*(1+20/100)</f>
        <v>22.469529599999994</v>
      </c>
      <c r="AT18" s="161">
        <f>(((((1+20/100)*$AQ18)*(1+20/100)))*(1+20/100))*(1+20/100)*(1+20/100)</f>
        <v>22.096281599999998</v>
      </c>
      <c r="AU18" s="161">
        <f>(((((1+20/100)*$AR18)*(1+20/100)))*(1+20/100))*(1+20/100)*(1+20/100)</f>
        <v>22.146047999999997</v>
      </c>
    </row>
    <row r="19" spans="1:47" ht="14.25" customHeight="1" x14ac:dyDescent="0.25">
      <c r="A19" s="39" t="s">
        <v>65</v>
      </c>
      <c r="B19" s="154" t="s">
        <v>332</v>
      </c>
      <c r="C19" s="155" t="s">
        <v>143</v>
      </c>
      <c r="D19" s="176" t="str">
        <f>IF(ISNUMBER(MATCH(Table15[[#This Row],[General]],COVENANTS!$A$2:$A$100,0)), "Y","N")</f>
        <v>Y</v>
      </c>
      <c r="E19" s="176" t="str">
        <f>IF(ISNUMBER(MATCH(Table15[[#This Row],[General]],COVENANTS!$B$2:$B$100,0)), "Y","N")</f>
        <v>N</v>
      </c>
      <c r="F19" s="176" t="str">
        <f>IF(ISNUMBER(MATCH(Table15[[#This Row],[General]],COVENANTS!$C$2:$C$100,0)), "Y","N")</f>
        <v>N</v>
      </c>
      <c r="G19" s="176" t="str">
        <f>IF(ISNUMBER(MATCH(Table15[[#This Row],[General]],COVENANTS!$D$2:$D$100,0)), "Y","N")</f>
        <v>N</v>
      </c>
      <c r="H19" s="122">
        <v>25</v>
      </c>
      <c r="I19" s="123">
        <v>25</v>
      </c>
      <c r="J19" s="123">
        <v>25</v>
      </c>
      <c r="K19" s="123">
        <v>12</v>
      </c>
      <c r="L19" s="156">
        <v>40</v>
      </c>
      <c r="M19" s="157">
        <v>30</v>
      </c>
      <c r="N19" s="157">
        <v>30</v>
      </c>
      <c r="O19" s="157">
        <v>0</v>
      </c>
      <c r="P19" s="156">
        <v>90</v>
      </c>
      <c r="Q19" s="157">
        <v>95</v>
      </c>
      <c r="R19" s="157">
        <v>65</v>
      </c>
      <c r="S19" s="157">
        <v>8</v>
      </c>
      <c r="T19" s="156">
        <v>70</v>
      </c>
      <c r="U19" s="157">
        <v>60</v>
      </c>
      <c r="V19" s="157">
        <v>10</v>
      </c>
      <c r="W19" s="157">
        <v>0</v>
      </c>
      <c r="X19" s="156">
        <v>15</v>
      </c>
      <c r="Y19" s="157">
        <v>5</v>
      </c>
      <c r="Z19" s="157">
        <v>5</v>
      </c>
      <c r="AA19" s="157">
        <v>0</v>
      </c>
      <c r="AB19" s="158">
        <f>900*0.1+(AM19-900)*0.2</f>
        <v>245.36489082879999</v>
      </c>
      <c r="AC19" s="159">
        <f>900*0.1+(AN19-900)*0.2</f>
        <v>240.70519731199997</v>
      </c>
      <c r="AD19" s="159">
        <f>900*0.1+(AO19-900)*0.2</f>
        <v>242.91420881919996</v>
      </c>
      <c r="AE19" s="156">
        <f>P19+T19+X19+AB19</f>
        <v>420.36489082879996</v>
      </c>
      <c r="AF19" s="157">
        <f>Q19+U19+Y19+AC19</f>
        <v>400.705197312</v>
      </c>
      <c r="AG19" s="157">
        <f>R19+V19+Z19+AD19</f>
        <v>322.91420881919998</v>
      </c>
      <c r="AH19" s="157">
        <f>S19+W19+AA19</f>
        <v>8</v>
      </c>
      <c r="AI19" s="298">
        <f>(AW$2*(AH19/100)+AW$2+AW$3)*(AX$2*(AE19/100)+AX$2+AX$3)-AY$2</f>
        <v>68977255896.661072</v>
      </c>
      <c r="AJ19" s="156">
        <v>120</v>
      </c>
      <c r="AK19" s="157">
        <v>113</v>
      </c>
      <c r="AL19" s="157">
        <v>117</v>
      </c>
      <c r="AM19" s="160">
        <f>(AJ19+AS19*(AX$9-1))+500+((AJ19+AS19*(AX$9-1))+500)*$AY$10</f>
        <v>1676.8244541439999</v>
      </c>
      <c r="AN19" s="161">
        <f>(AK19+AT19*(AX$9-1))+500+((AK19+AT19*(AX$9-1))+500)*$AY$10</f>
        <v>1653.5259865599999</v>
      </c>
      <c r="AO19" s="161">
        <f>(AL19+AU19*(AX$9-1))+500+((AL19+AU19*(AX$9-1))+500)*$AY$10</f>
        <v>1664.5710440959997</v>
      </c>
      <c r="AP19" s="162">
        <v>8.99</v>
      </c>
      <c r="AQ19" s="163">
        <v>8.85</v>
      </c>
      <c r="AR19" s="163">
        <v>8.91</v>
      </c>
      <c r="AS19" s="160">
        <f>(((((1+20/100)*$AP19)*(1+20/100)))*(1+20/100))*(1+20/100)*(1+20/100)</f>
        <v>22.369996799999999</v>
      </c>
      <c r="AT19" s="161">
        <f>(((((1+20/100)*$AQ19)*(1+20/100)))*(1+20/100))*(1+20/100)*(1+20/100)</f>
        <v>22.021631999999993</v>
      </c>
      <c r="AU19" s="161">
        <f>(((((1+20/100)*$AR19)*(1+20/100)))*(1+20/100))*(1+20/100)*(1+20/100)</f>
        <v>22.170931199999995</v>
      </c>
    </row>
    <row r="20" spans="1:47" ht="14.25" customHeight="1" x14ac:dyDescent="0.25">
      <c r="A20" s="39" t="s">
        <v>66</v>
      </c>
      <c r="B20" s="154" t="s">
        <v>332</v>
      </c>
      <c r="C20" s="155" t="s">
        <v>144</v>
      </c>
      <c r="D20" s="176" t="str">
        <f>IF(ISNUMBER(MATCH(Table15[[#This Row],[General]],COVENANTS!$A$2:$A$100,0)), "Y","N")</f>
        <v>Y</v>
      </c>
      <c r="E20" s="176" t="str">
        <f>IF(ISNUMBER(MATCH(Table15[[#This Row],[General]],COVENANTS!$B$2:$B$100,0)), "Y","N")</f>
        <v>N</v>
      </c>
      <c r="F20" s="176" t="str">
        <f>IF(ISNUMBER(MATCH(Table15[[#This Row],[General]],COVENANTS!$C$2:$C$100,0)), "Y","N")</f>
        <v>N</v>
      </c>
      <c r="G20" s="176" t="str">
        <f>IF(ISNUMBER(MATCH(Table15[[#This Row],[General]],COVENANTS!$D$2:$D$100,0)), "Y","N")</f>
        <v>Y</v>
      </c>
      <c r="H20" s="122">
        <v>25</v>
      </c>
      <c r="I20" s="123">
        <v>25</v>
      </c>
      <c r="J20" s="123">
        <v>25</v>
      </c>
      <c r="K20" s="123">
        <v>12</v>
      </c>
      <c r="L20" s="156">
        <v>45</v>
      </c>
      <c r="M20" s="157">
        <v>30</v>
      </c>
      <c r="N20" s="157">
        <v>45</v>
      </c>
      <c r="O20" s="157">
        <v>0</v>
      </c>
      <c r="P20" s="156">
        <v>105</v>
      </c>
      <c r="Q20" s="157">
        <v>90</v>
      </c>
      <c r="R20" s="157">
        <v>95</v>
      </c>
      <c r="S20" s="157">
        <v>0</v>
      </c>
      <c r="T20" s="156">
        <v>70</v>
      </c>
      <c r="U20" s="157">
        <v>50</v>
      </c>
      <c r="V20" s="157">
        <v>25</v>
      </c>
      <c r="W20" s="157">
        <v>0</v>
      </c>
      <c r="X20" s="156">
        <v>5</v>
      </c>
      <c r="Y20" s="157">
        <v>5</v>
      </c>
      <c r="Z20" s="157">
        <v>10</v>
      </c>
      <c r="AA20" s="157">
        <v>5</v>
      </c>
      <c r="AB20" s="158">
        <f>900*0.1+(AM20-900)*0.2</f>
        <v>249.54124334079995</v>
      </c>
      <c r="AC20" s="159">
        <f>900*0.1+(AN20-900)*0.2</f>
        <v>245.1232203264</v>
      </c>
      <c r="AD20" s="159">
        <f>900*0.1+(AO20-900)*0.2</f>
        <v>246.45456133119993</v>
      </c>
      <c r="AE20" s="156">
        <f>P20+T20+X20+AB20</f>
        <v>429.54124334079995</v>
      </c>
      <c r="AF20" s="157">
        <f>Q20+U20+Y20+AC20</f>
        <v>390.12322032639997</v>
      </c>
      <c r="AG20" s="157">
        <f>R20+V20+Z20+AD20</f>
        <v>376.4545613311999</v>
      </c>
      <c r="AH20" s="157">
        <f>S20+W20+AA20</f>
        <v>5</v>
      </c>
      <c r="AI20" s="298">
        <f>(AW$2*(AH20/100)+AW$2+AW$3)*(AX$2*(AE20/100)+AX$2+AX$3)-AY$2</f>
        <v>68346025840.542053</v>
      </c>
      <c r="AJ20" s="156">
        <v>129</v>
      </c>
      <c r="AK20" s="157">
        <v>121</v>
      </c>
      <c r="AL20" s="157">
        <v>123</v>
      </c>
      <c r="AM20" s="160">
        <f>(AJ20+AS20*(AX$9-1))+500+((AJ20+AS20*(AX$9-1))+500)*$AY$10</f>
        <v>1697.7062167039996</v>
      </c>
      <c r="AN20" s="161">
        <f>(AK20+AT20*(AX$9-1))+500+((AK20+AT20*(AX$9-1))+500)*$AY$10</f>
        <v>1675.616101632</v>
      </c>
      <c r="AO20" s="161">
        <f>(AL20+AU20*(AX$9-1))+500+((AL20+AU20*(AX$9-1))+500)*$AY$10</f>
        <v>1682.2728066559996</v>
      </c>
      <c r="AP20" s="162">
        <v>9.09</v>
      </c>
      <c r="AQ20" s="163">
        <v>8.9700000000000006</v>
      </c>
      <c r="AR20" s="163">
        <v>9.01</v>
      </c>
      <c r="AS20" s="160">
        <f>(((((1+20/100)*$AP20)*(1+20/100)))*(1+20/100))*(1+20/100)*(1+20/100)</f>
        <v>22.618828799999996</v>
      </c>
      <c r="AT20" s="161">
        <f>(((((1+20/100)*$AQ20)*(1+20/100)))*(1+20/100))*(1+20/100)*(1+20/100)</f>
        <v>22.3202304</v>
      </c>
      <c r="AU20" s="161">
        <f>(((((1+20/100)*$AR20)*(1+20/100)))*(1+20/100))*(1+20/100)*(1+20/100)</f>
        <v>22.419763199999995</v>
      </c>
    </row>
    <row r="21" spans="1:47" ht="14.25" customHeight="1" x14ac:dyDescent="0.25">
      <c r="A21" s="39" t="s">
        <v>67</v>
      </c>
      <c r="B21" s="154" t="s">
        <v>332</v>
      </c>
      <c r="C21" s="155" t="s">
        <v>145</v>
      </c>
      <c r="D21" s="176" t="str">
        <f>IF(ISNUMBER(MATCH(Table15[[#This Row],[General]],COVENANTS!$A$2:$A$100,0)), "Y","N")</f>
        <v>N</v>
      </c>
      <c r="E21" s="176" t="str">
        <f>IF(ISNUMBER(MATCH(Table15[[#This Row],[General]],COVENANTS!$B$2:$B$100,0)), "Y","N")</f>
        <v>N</v>
      </c>
      <c r="F21" s="176" t="str">
        <f>IF(ISNUMBER(MATCH(Table15[[#This Row],[General]],COVENANTS!$C$2:$C$100,0)), "Y","N")</f>
        <v>N</v>
      </c>
      <c r="G21" s="176" t="str">
        <f>IF(ISNUMBER(MATCH(Table15[[#This Row],[General]],COVENANTS!$D$2:$D$100,0)), "Y","N")</f>
        <v>N</v>
      </c>
      <c r="H21" s="122">
        <v>25</v>
      </c>
      <c r="I21" s="123">
        <v>25</v>
      </c>
      <c r="J21" s="123">
        <v>25</v>
      </c>
      <c r="K21" s="123">
        <v>12</v>
      </c>
      <c r="L21" s="156">
        <v>45</v>
      </c>
      <c r="M21" s="157">
        <v>45</v>
      </c>
      <c r="N21" s="157">
        <v>0</v>
      </c>
      <c r="O21" s="157">
        <v>0</v>
      </c>
      <c r="P21" s="156">
        <v>95</v>
      </c>
      <c r="Q21" s="157">
        <v>95</v>
      </c>
      <c r="R21" s="157">
        <v>45</v>
      </c>
      <c r="S21" s="157">
        <v>10</v>
      </c>
      <c r="T21" s="156">
        <v>65</v>
      </c>
      <c r="U21" s="157">
        <v>50</v>
      </c>
      <c r="V21" s="157">
        <v>20</v>
      </c>
      <c r="W21" s="157">
        <v>0</v>
      </c>
      <c r="X21" s="156">
        <v>0</v>
      </c>
      <c r="Y21" s="157">
        <v>0</v>
      </c>
      <c r="Z21" s="157">
        <v>0</v>
      </c>
      <c r="AA21" s="157">
        <v>0</v>
      </c>
      <c r="AB21" s="158">
        <f>900*0.1+(AM21-900)*0.2</f>
        <v>246.72590233599999</v>
      </c>
      <c r="AC21" s="159">
        <f>900*0.1+(AN21-900)*0.2</f>
        <v>242.0068678143999</v>
      </c>
      <c r="AD21" s="159">
        <f>900*0.1+(AO21-900)*0.2</f>
        <v>241.08469155839998</v>
      </c>
      <c r="AE21" s="156">
        <f>P21+T21+X21+AB21</f>
        <v>406.72590233599999</v>
      </c>
      <c r="AF21" s="157">
        <f>Q21+U21+Y21+AC21</f>
        <v>387.00686781439993</v>
      </c>
      <c r="AG21" s="157">
        <f>R21+V21+Z21+AD21</f>
        <v>306.08469155839998</v>
      </c>
      <c r="AH21" s="157">
        <f>S21+W21+AA21</f>
        <v>10</v>
      </c>
      <c r="AI21" s="298">
        <f>(AW$2*(AH21/100)+AW$2+AW$3)*(AX$2*(AE21/100)+AX$2+AX$3)-AY$2</f>
        <v>68232382289.431885</v>
      </c>
      <c r="AJ21" s="156">
        <v>120</v>
      </c>
      <c r="AK21" s="157">
        <v>117</v>
      </c>
      <c r="AL21" s="157">
        <v>118</v>
      </c>
      <c r="AM21" s="160">
        <f>(AJ21+AS21*(AX$9-1))+500+((AJ21+AS21*(AX$9-1))+500)*$AY$10</f>
        <v>1683.62951168</v>
      </c>
      <c r="AN21" s="161">
        <f>(AK21+AT21*(AX$9-1))+500+((AK21+AT21*(AX$9-1))+500)*$AY$10</f>
        <v>1660.0343390719995</v>
      </c>
      <c r="AO21" s="161">
        <f>(AL21+AU21*(AX$9-1))+500+((AL21+AU21*(AX$9-1))+500)*$AY$10</f>
        <v>1655.4234577919999</v>
      </c>
      <c r="AP21" s="162">
        <v>9.0500000000000007</v>
      </c>
      <c r="AQ21" s="163">
        <v>8.8699999999999992</v>
      </c>
      <c r="AR21" s="163">
        <v>8.82</v>
      </c>
      <c r="AS21" s="160">
        <f>(((((1+20/100)*$AP21)*(1+20/100)))*(1+20/100))*(1+20/100)*(1+20/100)</f>
        <v>22.519295999999997</v>
      </c>
      <c r="AT21" s="161">
        <f>(((((1+20/100)*$AQ21)*(1+20/100)))*(1+20/100))*(1+20/100)*(1+20/100)</f>
        <v>22.071398399999993</v>
      </c>
      <c r="AU21" s="161">
        <f>(((((1+20/100)*$AR21)*(1+20/100)))*(1+20/100))*(1+20/100)*(1+20/100)</f>
        <v>21.946982399999996</v>
      </c>
    </row>
    <row r="22" spans="1:47" ht="14.25" customHeight="1" x14ac:dyDescent="0.25">
      <c r="A22" s="39" t="s">
        <v>68</v>
      </c>
      <c r="B22" s="154" t="s">
        <v>332</v>
      </c>
      <c r="C22" s="164" t="s">
        <v>146</v>
      </c>
      <c r="D22" s="176" t="str">
        <f>IF(ISNUMBER(MATCH(Table15[[#This Row],[General]],COVENANTS!$A$2:$A$100,0)), "Y","N")</f>
        <v>N</v>
      </c>
      <c r="E22" s="176" t="str">
        <f>IF(ISNUMBER(MATCH(Table15[[#This Row],[General]],COVENANTS!$B$2:$B$100,0)), "Y","N")</f>
        <v>N</v>
      </c>
      <c r="F22" s="176" t="str">
        <f>IF(ISNUMBER(MATCH(Table15[[#This Row],[General]],COVENANTS!$C$2:$C$100,0)), "Y","N")</f>
        <v>N</v>
      </c>
      <c r="G22" s="176" t="str">
        <f>IF(ISNUMBER(MATCH(Table15[[#This Row],[General]],COVENANTS!$D$2:$D$100,0)), "Y","N")</f>
        <v>Y</v>
      </c>
      <c r="H22" s="122">
        <v>25</v>
      </c>
      <c r="I22" s="123">
        <v>25</v>
      </c>
      <c r="J22" s="123">
        <v>25</v>
      </c>
      <c r="K22" s="123">
        <v>12</v>
      </c>
      <c r="L22" s="156">
        <v>40</v>
      </c>
      <c r="M22" s="157">
        <v>10</v>
      </c>
      <c r="N22" s="157">
        <v>0</v>
      </c>
      <c r="O22" s="157">
        <v>10</v>
      </c>
      <c r="P22" s="156">
        <v>70</v>
      </c>
      <c r="Q22" s="157">
        <v>85</v>
      </c>
      <c r="R22" s="157">
        <v>25</v>
      </c>
      <c r="S22" s="157">
        <v>16</v>
      </c>
      <c r="T22" s="156">
        <v>65</v>
      </c>
      <c r="U22" s="157">
        <v>30</v>
      </c>
      <c r="V22" s="157">
        <v>20</v>
      </c>
      <c r="W22" s="157">
        <v>0</v>
      </c>
      <c r="X22" s="156">
        <v>0</v>
      </c>
      <c r="Y22" s="157">
        <v>0</v>
      </c>
      <c r="Z22" s="157">
        <v>0</v>
      </c>
      <c r="AA22" s="157">
        <v>0</v>
      </c>
      <c r="AB22" s="158">
        <f>900*0.1+(AM22-900)*0.2</f>
        <v>244.44271457279993</v>
      </c>
      <c r="AC22" s="159">
        <f>900*0.1+(AN22-900)*0.2</f>
        <v>247.40640808959995</v>
      </c>
      <c r="AD22" s="159">
        <f>900*0.1+(AO22-900)*0.2</f>
        <v>239.81269155840002</v>
      </c>
      <c r="AE22" s="156">
        <f>P22+T22+X22+AB22</f>
        <v>379.4427145727999</v>
      </c>
      <c r="AF22" s="157">
        <f>Q22+U22+Y22+AC22</f>
        <v>362.40640808959995</v>
      </c>
      <c r="AG22" s="157">
        <f>R22+V22+Z22+AD22</f>
        <v>284.81269155840005</v>
      </c>
      <c r="AH22" s="157">
        <f>S22+W22+AA22</f>
        <v>16</v>
      </c>
      <c r="AI22" s="298">
        <f>(AW$2*(AH22/100)+AW$2+AW$3)*(AX$2*(AE22/100)+AX$2+AX$3)-AY$2</f>
        <v>68029918928.429688</v>
      </c>
      <c r="AJ22" s="156">
        <v>121</v>
      </c>
      <c r="AK22" s="157">
        <v>120</v>
      </c>
      <c r="AL22" s="157">
        <v>112</v>
      </c>
      <c r="AM22" s="160">
        <f>(AJ22+AS22*(AX$9-1))+500+((AJ22+AS22*(AX$9-1))+500)*$AY$10</f>
        <v>1672.2135728639996</v>
      </c>
      <c r="AN22" s="161">
        <f>(AK22+AT22*(AX$9-1))+500+((AK22+AT22*(AX$9-1))+500)*$AY$10</f>
        <v>1687.0320404479996</v>
      </c>
      <c r="AO22" s="161">
        <f>(AL22+AU22*(AX$9-1))+500+((AL22+AU22*(AX$9-1))+500)*$AY$10</f>
        <v>1649.063457792</v>
      </c>
      <c r="AP22" s="162">
        <v>8.94</v>
      </c>
      <c r="AQ22" s="163">
        <v>9.08</v>
      </c>
      <c r="AR22" s="163">
        <v>8.82</v>
      </c>
      <c r="AS22" s="160">
        <f>(((((1+20/100)*$AP22)*(1+20/100)))*(1+20/100))*(1+20/100)*(1+20/100)</f>
        <v>22.245580799999995</v>
      </c>
      <c r="AT22" s="161">
        <f>(((((1+20/100)*$AQ22)*(1+20/100)))*(1+20/100))*(1+20/100)*(1+20/100)</f>
        <v>22.593945599999994</v>
      </c>
      <c r="AU22" s="161">
        <f>(((((1+20/100)*$AR22)*(1+20/100)))*(1+20/100))*(1+20/100)*(1+20/100)</f>
        <v>21.946982399999996</v>
      </c>
    </row>
    <row r="23" spans="1:47" ht="14.25" customHeight="1" x14ac:dyDescent="0.25">
      <c r="A23" s="39" t="s">
        <v>69</v>
      </c>
      <c r="B23" s="154" t="s">
        <v>333</v>
      </c>
      <c r="C23" s="155" t="s">
        <v>148</v>
      </c>
      <c r="D23" s="176" t="str">
        <f>IF(ISNUMBER(MATCH(Table15[[#This Row],[General]],COVENANTS!$A$2:$A$100,0)), "Y","N")</f>
        <v>N</v>
      </c>
      <c r="E23" s="176" t="str">
        <f>IF(ISNUMBER(MATCH(Table15[[#This Row],[General]],COVENANTS!$B$2:$B$100,0)), "Y","N")</f>
        <v>N</v>
      </c>
      <c r="F23" s="176" t="str">
        <f>IF(ISNUMBER(MATCH(Table15[[#This Row],[General]],COVENANTS!$C$2:$C$100,0)), "Y","N")</f>
        <v>N</v>
      </c>
      <c r="G23" s="176" t="str">
        <f>IF(ISNUMBER(MATCH(Table15[[#This Row],[General]],COVENANTS!$D$2:$D$100,0)), "Y","N")</f>
        <v>Y</v>
      </c>
      <c r="H23" s="122">
        <v>0</v>
      </c>
      <c r="I23" s="123">
        <v>25</v>
      </c>
      <c r="J23" s="123">
        <v>25</v>
      </c>
      <c r="K23" s="123">
        <v>12</v>
      </c>
      <c r="L23" s="156">
        <v>40</v>
      </c>
      <c r="M23" s="157">
        <v>20</v>
      </c>
      <c r="N23" s="157">
        <v>20</v>
      </c>
      <c r="O23" s="157">
        <v>0</v>
      </c>
      <c r="P23" s="156">
        <v>75</v>
      </c>
      <c r="Q23" s="157">
        <v>70</v>
      </c>
      <c r="R23" s="157">
        <v>35</v>
      </c>
      <c r="S23" s="157">
        <v>8</v>
      </c>
      <c r="T23" s="156">
        <v>65</v>
      </c>
      <c r="U23" s="157">
        <v>45</v>
      </c>
      <c r="V23" s="157">
        <v>10</v>
      </c>
      <c r="W23" s="157">
        <v>6</v>
      </c>
      <c r="X23" s="156">
        <v>0</v>
      </c>
      <c r="Y23" s="157">
        <v>0</v>
      </c>
      <c r="Z23" s="157">
        <v>0</v>
      </c>
      <c r="AA23" s="157">
        <v>0</v>
      </c>
      <c r="AB23" s="158">
        <f>900*0.1+(AM23-900)*0.2</f>
        <v>245.81856133119993</v>
      </c>
      <c r="AC23" s="159">
        <f>900*0.1+(AN23-900)*0.2</f>
        <v>239.81269155840002</v>
      </c>
      <c r="AD23" s="159">
        <f>900*0.1+(AO23-900)*0.2</f>
        <v>240.44869155839999</v>
      </c>
      <c r="AE23" s="156">
        <f>P23+T23+X23+AB23</f>
        <v>385.81856133119993</v>
      </c>
      <c r="AF23" s="157">
        <f>Q23+U23+Y23+AC23</f>
        <v>354.81269155840005</v>
      </c>
      <c r="AG23" s="157">
        <f>R23+V23+Z23+AD23</f>
        <v>285.44869155840001</v>
      </c>
      <c r="AH23" s="157">
        <f>S23+W23+AA23</f>
        <v>14</v>
      </c>
      <c r="AI23" s="298">
        <f>(AW$2*(AH23/100)+AW$2+AW$3)*(AX$2*(AE23/100)+AX$2+AX$3)-AY$2</f>
        <v>67685897811.329712</v>
      </c>
      <c r="AJ23" s="156">
        <v>120</v>
      </c>
      <c r="AK23" s="157">
        <v>112</v>
      </c>
      <c r="AL23" s="157">
        <v>115</v>
      </c>
      <c r="AM23" s="160">
        <f>(AJ23+AS23*(AX$9-1))+500+((AJ23+AS23*(AX$9-1))+500)*$AY$10</f>
        <v>1679.0928066559995</v>
      </c>
      <c r="AN23" s="161">
        <f>(AK23+AT23*(AX$9-1))+500+((AK23+AT23*(AX$9-1))+500)*$AY$10</f>
        <v>1649.063457792</v>
      </c>
      <c r="AO23" s="161">
        <f>(AL23+AU23*(AX$9-1))+500+((AL23+AU23*(AX$9-1))+500)*$AY$10</f>
        <v>1652.2434577919998</v>
      </c>
      <c r="AP23" s="162">
        <v>9.01</v>
      </c>
      <c r="AQ23" s="163">
        <v>8.82</v>
      </c>
      <c r="AR23" s="163">
        <v>8.82</v>
      </c>
      <c r="AS23" s="160">
        <f>(((((1+20/100)*$AP23)*(1+20/100)))*(1+20/100))*(1+20/100)*(1+20/100)</f>
        <v>22.419763199999995</v>
      </c>
      <c r="AT23" s="161">
        <f>(((((1+20/100)*$AQ23)*(1+20/100)))*(1+20/100))*(1+20/100)*(1+20/100)</f>
        <v>21.946982399999996</v>
      </c>
      <c r="AU23" s="161">
        <f>(((((1+20/100)*$AR23)*(1+20/100)))*(1+20/100))*(1+20/100)*(1+20/100)</f>
        <v>21.946982399999996</v>
      </c>
    </row>
    <row r="24" spans="1:47" ht="14.25" customHeight="1" x14ac:dyDescent="0.25">
      <c r="A24" s="39" t="s">
        <v>70</v>
      </c>
      <c r="B24" s="154" t="s">
        <v>333</v>
      </c>
      <c r="C24" s="155" t="s">
        <v>514</v>
      </c>
      <c r="D24" s="176" t="str">
        <f>IF(ISNUMBER(MATCH(Table15[[#This Row],[General]],COVENANTS!$A$2:$A$100,0)), "Y","N")</f>
        <v>Y</v>
      </c>
      <c r="E24" s="176" t="str">
        <f>IF(ISNUMBER(MATCH(Table15[[#This Row],[General]],COVENANTS!$B$2:$B$100,0)), "Y","N")</f>
        <v>N</v>
      </c>
      <c r="F24" s="176" t="str">
        <f>IF(ISNUMBER(MATCH(Table15[[#This Row],[General]],COVENANTS!$C$2:$C$100,0)), "Y","N")</f>
        <v>N</v>
      </c>
      <c r="G24" s="176" t="str">
        <f>IF(ISNUMBER(MATCH(Table15[[#This Row],[General]],COVENANTS!$D$2:$D$100,0)), "Y","N")</f>
        <v>N</v>
      </c>
      <c r="H24" s="122">
        <v>25</v>
      </c>
      <c r="I24" s="123">
        <v>25</v>
      </c>
      <c r="J24" s="123">
        <v>25</v>
      </c>
      <c r="K24" s="123">
        <v>12</v>
      </c>
      <c r="L24" s="156">
        <v>40</v>
      </c>
      <c r="M24" s="157">
        <v>10</v>
      </c>
      <c r="N24" s="157">
        <v>40</v>
      </c>
      <c r="O24" s="157">
        <v>0</v>
      </c>
      <c r="P24" s="156">
        <v>75</v>
      </c>
      <c r="Q24" s="157">
        <v>65</v>
      </c>
      <c r="R24" s="157">
        <v>85</v>
      </c>
      <c r="S24" s="157">
        <v>10</v>
      </c>
      <c r="T24" s="156">
        <v>50</v>
      </c>
      <c r="U24" s="157">
        <v>30</v>
      </c>
      <c r="V24" s="157">
        <v>30</v>
      </c>
      <c r="W24" s="157">
        <v>6</v>
      </c>
      <c r="X24" s="156">
        <v>5</v>
      </c>
      <c r="Y24" s="157">
        <v>5</v>
      </c>
      <c r="Z24" s="157">
        <v>0</v>
      </c>
      <c r="AA24" s="157">
        <v>0</v>
      </c>
      <c r="AB24" s="158">
        <f>900*0.1+(AM24-900)*0.2</f>
        <v>246.93790233599998</v>
      </c>
      <c r="AC24" s="159">
        <f>900*0.1+(AN24-900)*0.2</f>
        <v>236.42499804159993</v>
      </c>
      <c r="AD24" s="159">
        <f>900*0.1+(AO24-900)*0.2</f>
        <v>245.60656133119994</v>
      </c>
      <c r="AE24" s="156">
        <f>P24+T24+X24+AB24</f>
        <v>376.93790233599998</v>
      </c>
      <c r="AF24" s="157">
        <f>Q24+U24+Y24+AC24</f>
        <v>336.42499804159991</v>
      </c>
      <c r="AG24" s="157">
        <f>R24+V24+Z24+AD24</f>
        <v>360.60656133119994</v>
      </c>
      <c r="AH24" s="157">
        <f>S24+W24+AA24</f>
        <v>16</v>
      </c>
      <c r="AI24" s="298">
        <f>(AW$2*(AH24/100)+AW$2+AW$3)*(AX$2*(AE24/100)+AX$2+AX$3)-AY$2</f>
        <v>67640414388.624817</v>
      </c>
      <c r="AJ24" s="156">
        <v>121</v>
      </c>
      <c r="AK24" s="157">
        <v>111</v>
      </c>
      <c r="AL24" s="157">
        <v>119</v>
      </c>
      <c r="AM24" s="160">
        <f>(AJ24+AS24*(AX$9-1))+500+((AJ24+AS24*(AX$9-1))+500)*$AY$10</f>
        <v>1684.6895116799999</v>
      </c>
      <c r="AN24" s="161">
        <f>(AK24+AT24*(AX$9-1))+500+((AK24+AT24*(AX$9-1))+500)*$AY$10</f>
        <v>1632.1249902079996</v>
      </c>
      <c r="AO24" s="161">
        <f>(AL24+AU24*(AX$9-1))+500+((AL24+AU24*(AX$9-1))+500)*$AY$10</f>
        <v>1678.0328066559996</v>
      </c>
      <c r="AP24" s="162">
        <v>9.0500000000000007</v>
      </c>
      <c r="AQ24" s="163">
        <v>8.68</v>
      </c>
      <c r="AR24" s="163">
        <v>9.01</v>
      </c>
      <c r="AS24" s="160">
        <f>(((((1+20/100)*$AP24)*(1+20/100)))*(1+20/100))*(1+20/100)*(1+20/100)</f>
        <v>22.519295999999997</v>
      </c>
      <c r="AT24" s="161">
        <f>(((((1+20/100)*$AQ24)*(1+20/100)))*(1+20/100))*(1+20/100)*(1+20/100)</f>
        <v>21.598617599999994</v>
      </c>
      <c r="AU24" s="161">
        <f>(((((1+20/100)*$AR24)*(1+20/100)))*(1+20/100))*(1+20/100)*(1+20/100)</f>
        <v>22.419763199999995</v>
      </c>
    </row>
    <row r="25" spans="1:47" ht="14.25" customHeight="1" x14ac:dyDescent="0.25">
      <c r="A25" s="39" t="s">
        <v>71</v>
      </c>
      <c r="B25" s="154" t="s">
        <v>332</v>
      </c>
      <c r="C25" s="164" t="s">
        <v>147</v>
      </c>
      <c r="D25" s="176" t="str">
        <f>IF(ISNUMBER(MATCH(Table15[[#This Row],[General]],COVENANTS!$A$2:$A$100,0)), "Y","N")</f>
        <v>N</v>
      </c>
      <c r="E25" s="176" t="str">
        <f>IF(ISNUMBER(MATCH(Table15[[#This Row],[General]],COVENANTS!$B$2:$B$100,0)), "Y","N")</f>
        <v>Y</v>
      </c>
      <c r="F25" s="176" t="str">
        <f>IF(ISNUMBER(MATCH(Table15[[#This Row],[General]],COVENANTS!$C$2:$C$100,0)), "Y","N")</f>
        <v>N</v>
      </c>
      <c r="G25" s="176" t="str">
        <f>IF(ISNUMBER(MATCH(Table15[[#This Row],[General]],COVENANTS!$D$2:$D$100,0)), "Y","N")</f>
        <v>N</v>
      </c>
      <c r="H25" s="122">
        <v>25</v>
      </c>
      <c r="I25" s="123">
        <v>25</v>
      </c>
      <c r="J25" s="123">
        <v>25</v>
      </c>
      <c r="K25" s="123">
        <v>12</v>
      </c>
      <c r="L25" s="156">
        <v>35</v>
      </c>
      <c r="M25" s="157">
        <v>0</v>
      </c>
      <c r="N25" s="157">
        <v>0</v>
      </c>
      <c r="O25" s="157">
        <v>0</v>
      </c>
      <c r="P25" s="156">
        <v>70</v>
      </c>
      <c r="Q25" s="157">
        <v>40</v>
      </c>
      <c r="R25" s="157">
        <v>0</v>
      </c>
      <c r="S25" s="157">
        <v>10</v>
      </c>
      <c r="T25" s="156">
        <v>56</v>
      </c>
      <c r="U25" s="157">
        <v>10</v>
      </c>
      <c r="V25" s="157">
        <v>20</v>
      </c>
      <c r="W25" s="157">
        <v>6</v>
      </c>
      <c r="X25" s="156">
        <v>10</v>
      </c>
      <c r="Y25" s="157">
        <v>0</v>
      </c>
      <c r="Z25" s="157">
        <v>15</v>
      </c>
      <c r="AA25" s="157">
        <v>0</v>
      </c>
      <c r="AB25" s="158">
        <f>900*0.1+(AM25-900)*0.2</f>
        <v>240.52286781439994</v>
      </c>
      <c r="AC25" s="159">
        <f>900*0.1+(AN25-900)*0.2</f>
        <v>247.02691384319996</v>
      </c>
      <c r="AD25" s="159">
        <f>900*0.1+(AO25-900)*0.2</f>
        <v>245.21223183359999</v>
      </c>
      <c r="AE25" s="156">
        <f>P25+T25+X25+AB25</f>
        <v>376.52286781439994</v>
      </c>
      <c r="AF25" s="157">
        <f>Q25+U25+Y25+AC25</f>
        <v>297.02691384319996</v>
      </c>
      <c r="AG25" s="157">
        <f>R25+V25+Z25+AD25</f>
        <v>280.21223183359996</v>
      </c>
      <c r="AH25" s="157">
        <f>S25+W25+AA25</f>
        <v>16</v>
      </c>
      <c r="AI25" s="298">
        <f>(AW$2*(AH25/100)+AW$2+AW$3)*(AX$2*(AE25/100)+AX$2+AX$3)-AY$2</f>
        <v>67575875487.080078</v>
      </c>
      <c r="AJ25" s="156">
        <v>110</v>
      </c>
      <c r="AK25" s="157">
        <v>115</v>
      </c>
      <c r="AL25" s="157">
        <v>115</v>
      </c>
      <c r="AM25" s="160">
        <f>(AJ25+AS25*(AX$9-1))+500+((AJ25+AS25*(AX$9-1))+500)*$AY$10</f>
        <v>1652.6143390719997</v>
      </c>
      <c r="AN25" s="161">
        <f>(AK25+AT25*(AX$9-1))+500+((AK25+AT25*(AX$9-1))+500)*$AY$10</f>
        <v>1685.1345692159998</v>
      </c>
      <c r="AO25" s="161">
        <f>(AL25+AU25*(AX$9-1))+500+((AL25+AU25*(AX$9-1))+500)*$AY$10</f>
        <v>1676.0611591679999</v>
      </c>
      <c r="AP25" s="162">
        <v>8.8699999999999992</v>
      </c>
      <c r="AQ25" s="163">
        <v>9.11</v>
      </c>
      <c r="AR25" s="163">
        <v>9.0299999999999994</v>
      </c>
      <c r="AS25" s="160">
        <f>(((((1+20/100)*$AP25)*(1+20/100)))*(1+20/100))*(1+20/100)*(1+20/100)</f>
        <v>22.071398399999993</v>
      </c>
      <c r="AT25" s="161">
        <f>(((((1+20/100)*$AQ25)*(1+20/100)))*(1+20/100))*(1+20/100)*(1+20/100)</f>
        <v>22.668595199999995</v>
      </c>
      <c r="AU25" s="161">
        <f>(((((1+20/100)*$AR25)*(1+20/100)))*(1+20/100))*(1+20/100)*(1+20/100)</f>
        <v>22.469529599999994</v>
      </c>
    </row>
    <row r="26" spans="1:47" ht="14.25" customHeight="1" x14ac:dyDescent="0.25">
      <c r="A26" s="39" t="s">
        <v>72</v>
      </c>
      <c r="B26" s="154" t="s">
        <v>332</v>
      </c>
      <c r="C26" s="155" t="s">
        <v>150</v>
      </c>
      <c r="D26" s="176" t="str">
        <f>IF(ISNUMBER(MATCH(Table15[[#This Row],[General]],COVENANTS!$A$2:$A$100,0)), "Y","N")</f>
        <v>N</v>
      </c>
      <c r="E26" s="176" t="str">
        <f>IF(ISNUMBER(MATCH(Table15[[#This Row],[General]],COVENANTS!$B$2:$B$100,0)), "Y","N")</f>
        <v>N</v>
      </c>
      <c r="F26" s="176" t="str">
        <f>IF(ISNUMBER(MATCH(Table15[[#This Row],[General]],COVENANTS!$C$2:$C$100,0)), "Y","N")</f>
        <v>N</v>
      </c>
      <c r="G26" s="176" t="str">
        <f>IF(ISNUMBER(MATCH(Table15[[#This Row],[General]],COVENANTS!$D$2:$D$100,0)), "Y","N")</f>
        <v>N</v>
      </c>
      <c r="H26" s="122">
        <v>25</v>
      </c>
      <c r="I26" s="123">
        <v>25</v>
      </c>
      <c r="J26" s="123">
        <v>25</v>
      </c>
      <c r="K26" s="123">
        <v>12</v>
      </c>
      <c r="L26" s="156">
        <v>35</v>
      </c>
      <c r="M26" s="157">
        <v>0</v>
      </c>
      <c r="N26" s="157">
        <v>30</v>
      </c>
      <c r="O26" s="157">
        <v>0</v>
      </c>
      <c r="P26" s="156">
        <v>60</v>
      </c>
      <c r="Q26" s="157">
        <v>35</v>
      </c>
      <c r="R26" s="157">
        <v>60</v>
      </c>
      <c r="S26" s="157">
        <v>14</v>
      </c>
      <c r="T26" s="156">
        <v>56</v>
      </c>
      <c r="U26" s="157">
        <v>25</v>
      </c>
      <c r="V26" s="157">
        <v>15</v>
      </c>
      <c r="W26" s="157">
        <v>6</v>
      </c>
      <c r="X26" s="156">
        <v>0</v>
      </c>
      <c r="Y26" s="157">
        <v>0</v>
      </c>
      <c r="Z26" s="157">
        <v>0</v>
      </c>
      <c r="AA26" s="157">
        <v>0</v>
      </c>
      <c r="AB26" s="158">
        <f>900*0.1+(AM26-900)*0.2</f>
        <v>240.46352680959998</v>
      </c>
      <c r="AC26" s="159">
        <f>900*0.1+(AN26-900)*0.2</f>
        <v>243.83638507520001</v>
      </c>
      <c r="AD26" s="159">
        <f>900*0.1+(AO26-900)*0.2</f>
        <v>242.71704407039996</v>
      </c>
      <c r="AE26" s="156">
        <f>P26+T26+X26+AB26</f>
        <v>356.46352680960001</v>
      </c>
      <c r="AF26" s="157">
        <f>Q26+U26+Y26+AC26</f>
        <v>303.83638507520004</v>
      </c>
      <c r="AG26" s="157">
        <f>R26+V26+Z26+AD26</f>
        <v>317.71704407039999</v>
      </c>
      <c r="AH26" s="157">
        <f>S26+W26+AA26</f>
        <v>20</v>
      </c>
      <c r="AI26" s="298">
        <f>(AW$2*(AH26/100)+AW$2+AW$3)*(AX$2*(AE26/100)+AX$2+AX$3)-AY$2</f>
        <v>67096018943.360901</v>
      </c>
      <c r="AJ26" s="156">
        <v>114</v>
      </c>
      <c r="AK26" s="157">
        <v>116</v>
      </c>
      <c r="AL26" s="157">
        <v>115</v>
      </c>
      <c r="AM26" s="160">
        <f>(AJ26+AS26*(AX$9-1))+500+((AJ26+AS26*(AX$9-1))+500)*$AY$10</f>
        <v>1652.3176340479999</v>
      </c>
      <c r="AN26" s="161">
        <f>(AK26+AT26*(AX$9-1))+500+((AK26+AT26*(AX$9-1))+500)*$AY$10</f>
        <v>1669.181925376</v>
      </c>
      <c r="AO26" s="161">
        <f>(AL26+AU26*(AX$9-1))+500+((AL26+AU26*(AX$9-1))+500)*$AY$10</f>
        <v>1663.5852203519999</v>
      </c>
      <c r="AP26" s="162">
        <v>8.83</v>
      </c>
      <c r="AQ26" s="163">
        <v>8.9600000000000009</v>
      </c>
      <c r="AR26" s="163">
        <v>8.92</v>
      </c>
      <c r="AS26" s="160">
        <f>(((((1+20/100)*$AP26)*(1+20/100)))*(1+20/100))*(1+20/100)*(1+20/100)</f>
        <v>21.971865599999997</v>
      </c>
      <c r="AT26" s="161">
        <f>(((((1+20/100)*$AQ26)*(1+20/100)))*(1+20/100))*(1+20/100)*(1+20/100)</f>
        <v>22.295347199999998</v>
      </c>
      <c r="AU26" s="161">
        <f>(((((1+20/100)*$AR26)*(1+20/100)))*(1+20/100))*(1+20/100)*(1+20/100)</f>
        <v>22.195814399999993</v>
      </c>
    </row>
    <row r="27" spans="1:47" ht="14.25" customHeight="1" x14ac:dyDescent="0.25">
      <c r="A27" s="39" t="s">
        <v>73</v>
      </c>
      <c r="B27" s="154" t="s">
        <v>333</v>
      </c>
      <c r="C27" s="164" t="s">
        <v>151</v>
      </c>
      <c r="D27" s="176" t="str">
        <f>IF(ISNUMBER(MATCH(Table15[[#This Row],[General]],COVENANTS!$A$2:$A$100,0)), "Y","N")</f>
        <v>N</v>
      </c>
      <c r="E27" s="176" t="str">
        <f>IF(ISNUMBER(MATCH(Table15[[#This Row],[General]],COVENANTS!$B$2:$B$100,0)), "Y","N")</f>
        <v>N</v>
      </c>
      <c r="F27" s="176" t="str">
        <f>IF(ISNUMBER(MATCH(Table15[[#This Row],[General]],COVENANTS!$C$2:$C$100,0)), "Y","N")</f>
        <v>N</v>
      </c>
      <c r="G27" s="176" t="str">
        <f>IF(ISNUMBER(MATCH(Table15[[#This Row],[General]],COVENANTS!$D$2:$D$100,0)), "Y","N")</f>
        <v>N</v>
      </c>
      <c r="H27" s="122">
        <v>25</v>
      </c>
      <c r="I27" s="123">
        <v>25</v>
      </c>
      <c r="J27" s="123">
        <v>25</v>
      </c>
      <c r="K27" s="123">
        <v>12</v>
      </c>
      <c r="L27" s="156">
        <v>25</v>
      </c>
      <c r="M27" s="157">
        <v>0</v>
      </c>
      <c r="N27" s="157">
        <v>0</v>
      </c>
      <c r="O27" s="157">
        <v>0</v>
      </c>
      <c r="P27" s="156">
        <v>50</v>
      </c>
      <c r="Q27" s="157">
        <v>25</v>
      </c>
      <c r="R27" s="157">
        <v>25</v>
      </c>
      <c r="S27" s="157">
        <v>10</v>
      </c>
      <c r="T27" s="156">
        <v>61</v>
      </c>
      <c r="U27" s="157">
        <v>10</v>
      </c>
      <c r="V27" s="157">
        <v>0</v>
      </c>
      <c r="W27" s="157">
        <v>10</v>
      </c>
      <c r="X27" s="156">
        <v>0</v>
      </c>
      <c r="Y27" s="157">
        <v>0</v>
      </c>
      <c r="Z27" s="157">
        <v>0</v>
      </c>
      <c r="AA27" s="157">
        <v>0</v>
      </c>
      <c r="AB27" s="158">
        <f>900*0.1+(AM27-900)*0.2</f>
        <v>237.7563390464</v>
      </c>
      <c r="AC27" s="159">
        <f>900*0.1+(AN27-900)*0.2</f>
        <v>237.52950379519999</v>
      </c>
      <c r="AD27" s="159">
        <f>900*0.1+(AO27-900)*0.2</f>
        <v>239.13218580479989</v>
      </c>
      <c r="AE27" s="156">
        <f>P27+T27+X27+AB27</f>
        <v>348.7563390464</v>
      </c>
      <c r="AF27" s="157">
        <f>Q27+U27+Y27+AC27</f>
        <v>272.52950379519996</v>
      </c>
      <c r="AG27" s="157">
        <f>R27+V27+Z27+AD27</f>
        <v>264.13218580479986</v>
      </c>
      <c r="AH27" s="157">
        <f>S27+W27+AA27</f>
        <v>20</v>
      </c>
      <c r="AI27" s="298">
        <f>(AW$2*(AH27/100)+AW$2+AW$3)*(AX$2*(AE27/100)+AX$2+AX$3)-AY$2</f>
        <v>65889250836.177979</v>
      </c>
      <c r="AJ27" s="156">
        <v>113</v>
      </c>
      <c r="AK27" s="157">
        <v>113</v>
      </c>
      <c r="AL27" s="157">
        <v>112</v>
      </c>
      <c r="AM27" s="160">
        <f>(AJ27+AS27*(AX$9-1))+500+((AJ27+AS27*(AX$9-1))+500)*$AY$10</f>
        <v>1638.7816952319999</v>
      </c>
      <c r="AN27" s="161">
        <f>(AK27+AT27*(AX$9-1))+500+((AK27+AT27*(AX$9-1))+500)*$AY$10</f>
        <v>1637.6475189759999</v>
      </c>
      <c r="AO27" s="161">
        <f>(AL27+AU27*(AX$9-1))+500+((AL27+AU27*(AX$9-1))+500)*$AY$10</f>
        <v>1645.6609290239994</v>
      </c>
      <c r="AP27" s="162">
        <v>8.7200000000000006</v>
      </c>
      <c r="AQ27" s="163">
        <v>8.7100000000000009</v>
      </c>
      <c r="AR27" s="163">
        <v>8.7899999999999991</v>
      </c>
      <c r="AS27" s="160">
        <f>(((((1+20/100)*$AP27)*(1+20/100)))*(1+20/100))*(1+20/100)*(1+20/100)</f>
        <v>21.698150399999999</v>
      </c>
      <c r="AT27" s="161">
        <f>(((((1+20/100)*$AQ27)*(1+20/100)))*(1+20/100))*(1+20/100)*(1+20/100)</f>
        <v>21.673267199999994</v>
      </c>
      <c r="AU27" s="161">
        <f>(((((1+20/100)*$AR27)*(1+20/100)))*(1+20/100))*(1+20/100)*(1+20/100)</f>
        <v>21.872332799999992</v>
      </c>
    </row>
    <row r="28" spans="1:47" ht="14.25" customHeight="1" x14ac:dyDescent="0.25">
      <c r="A28" s="39" t="s">
        <v>74</v>
      </c>
      <c r="B28" s="154" t="s">
        <v>332</v>
      </c>
      <c r="C28" s="155" t="s">
        <v>152</v>
      </c>
      <c r="D28" s="176" t="str">
        <f>IF(ISNUMBER(MATCH(Table15[[#This Row],[General]],COVENANTS!$A$2:$A$100,0)), "Y","N")</f>
        <v>N</v>
      </c>
      <c r="E28" s="176" t="str">
        <f>IF(ISNUMBER(MATCH(Table15[[#This Row],[General]],COVENANTS!$B$2:$B$100,0)), "Y","N")</f>
        <v>N</v>
      </c>
      <c r="F28" s="176" t="str">
        <f>IF(ISNUMBER(MATCH(Table15[[#This Row],[General]],COVENANTS!$C$2:$C$100,0)), "Y","N")</f>
        <v>N</v>
      </c>
      <c r="G28" s="176" t="str">
        <f>IF(ISNUMBER(MATCH(Table15[[#This Row],[General]],COVENANTS!$D$2:$D$100,0)), "Y","N")</f>
        <v>N</v>
      </c>
      <c r="H28" s="122">
        <v>25</v>
      </c>
      <c r="I28" s="123">
        <v>25</v>
      </c>
      <c r="J28" s="123">
        <v>25</v>
      </c>
      <c r="K28" s="123">
        <v>12</v>
      </c>
      <c r="L28" s="156">
        <v>25</v>
      </c>
      <c r="M28" s="157">
        <v>0</v>
      </c>
      <c r="N28" s="157">
        <v>0</v>
      </c>
      <c r="O28" s="157">
        <v>0</v>
      </c>
      <c r="P28" s="156">
        <v>60</v>
      </c>
      <c r="Q28" s="157">
        <v>30</v>
      </c>
      <c r="R28" s="157">
        <v>40</v>
      </c>
      <c r="S28" s="157">
        <v>14</v>
      </c>
      <c r="T28" s="156">
        <v>66</v>
      </c>
      <c r="U28" s="157">
        <v>0</v>
      </c>
      <c r="V28" s="157">
        <v>10</v>
      </c>
      <c r="W28" s="157">
        <v>0</v>
      </c>
      <c r="X28" s="156">
        <v>0</v>
      </c>
      <c r="Y28" s="157">
        <v>0</v>
      </c>
      <c r="Z28" s="157">
        <v>0</v>
      </c>
      <c r="AA28" s="157">
        <v>0</v>
      </c>
      <c r="AB28" s="158">
        <f>900*0.1+(AM28-900)*0.2</f>
        <v>244.48722032640001</v>
      </c>
      <c r="AC28" s="159">
        <f>900*0.1+(AN28-900)*0.2</f>
        <v>242.02170306559998</v>
      </c>
      <c r="AD28" s="159">
        <f>900*0.1+(AO28-900)*0.2</f>
        <v>246.46939658239995</v>
      </c>
      <c r="AE28" s="156">
        <f>P28+T28+X28+AB28</f>
        <v>370.48722032640001</v>
      </c>
      <c r="AF28" s="157">
        <f>Q28+U28+Y28+AC28</f>
        <v>272.02170306559998</v>
      </c>
      <c r="AG28" s="157">
        <f>R28+V28+Z28+AD28</f>
        <v>296.46939658239995</v>
      </c>
      <c r="AH28" s="157">
        <f>S28+W28+AA28</f>
        <v>14</v>
      </c>
      <c r="AI28" s="298">
        <f>(AW$2*(AH28/100)+AW$2+AW$3)*(AX$2*(AE28/100)+AX$2+AX$3)-AY$2</f>
        <v>65310072719.685669</v>
      </c>
      <c r="AJ28" s="156">
        <v>118</v>
      </c>
      <c r="AK28" s="157">
        <v>116</v>
      </c>
      <c r="AL28" s="157">
        <v>122</v>
      </c>
      <c r="AM28" s="160">
        <f>(AJ28+AS28*(AX$9-1))+500+((AJ28+AS28*(AX$9-1))+500)*$AY$10</f>
        <v>1672.4361016319999</v>
      </c>
      <c r="AN28" s="161">
        <f>(AK28+AT28*(AX$9-1))+500+((AK28+AT28*(AX$9-1))+500)*$AY$10</f>
        <v>1660.1085153279998</v>
      </c>
      <c r="AO28" s="161">
        <f>(AL28+AU28*(AX$9-1))+500+((AL28+AU28*(AX$9-1))+500)*$AY$10</f>
        <v>1682.3469829119997</v>
      </c>
      <c r="AP28" s="162">
        <v>8.9700000000000006</v>
      </c>
      <c r="AQ28" s="163">
        <v>8.8800000000000008</v>
      </c>
      <c r="AR28" s="163">
        <v>9.02</v>
      </c>
      <c r="AS28" s="160">
        <f>(((((1+20/100)*$AP28)*(1+20/100)))*(1+20/100))*(1+20/100)*(1+20/100)</f>
        <v>22.3202304</v>
      </c>
      <c r="AT28" s="161">
        <f>(((((1+20/100)*$AQ28)*(1+20/100)))*(1+20/100))*(1+20/100)*(1+20/100)</f>
        <v>22.096281599999998</v>
      </c>
      <c r="AU28" s="161">
        <f>(((((1+20/100)*$AR28)*(1+20/100)))*(1+20/100))*(1+20/100)*(1+20/100)</f>
        <v>22.444646399999996</v>
      </c>
    </row>
    <row r="29" spans="1:47" ht="14.25" customHeight="1" x14ac:dyDescent="0.25">
      <c r="A29" s="39" t="s">
        <v>75</v>
      </c>
      <c r="B29" s="154" t="s">
        <v>333</v>
      </c>
      <c r="C29" s="155" t="s">
        <v>526</v>
      </c>
      <c r="D29" s="176" t="str">
        <f>IF(ISNUMBER(MATCH(Table15[[#This Row],[General]],COVENANTS!$A$2:$A$100,0)), "Y","N")</f>
        <v>Y</v>
      </c>
      <c r="E29" s="176" t="str">
        <f>IF(ISNUMBER(MATCH(Table15[[#This Row],[General]],COVENANTS!$B$2:$B$100,0)), "Y","N")</f>
        <v>N</v>
      </c>
      <c r="F29" s="176" t="str">
        <f>IF(ISNUMBER(MATCH(Table15[[#This Row],[General]],COVENANTS!$C$2:$C$100,0)), "Y","N")</f>
        <v>Y</v>
      </c>
      <c r="G29" s="176" t="str">
        <f>IF(ISNUMBER(MATCH(Table15[[#This Row],[General]],COVENANTS!$D$2:$D$100,0)), "Y","N")</f>
        <v>N</v>
      </c>
      <c r="H29" s="122">
        <v>0</v>
      </c>
      <c r="I29" s="123">
        <v>25</v>
      </c>
      <c r="J29" s="123">
        <v>25</v>
      </c>
      <c r="K29" s="123">
        <v>12</v>
      </c>
      <c r="L29" s="156">
        <v>45</v>
      </c>
      <c r="M29" s="157">
        <v>35</v>
      </c>
      <c r="N29" s="157">
        <v>35</v>
      </c>
      <c r="O29" s="157">
        <v>0</v>
      </c>
      <c r="P29" s="156">
        <v>90</v>
      </c>
      <c r="Q29" s="157">
        <v>75</v>
      </c>
      <c r="R29" s="157">
        <v>85</v>
      </c>
      <c r="S29" s="157">
        <v>8</v>
      </c>
      <c r="T29" s="156">
        <v>55</v>
      </c>
      <c r="U29" s="157">
        <v>50</v>
      </c>
      <c r="V29" s="157">
        <v>50</v>
      </c>
      <c r="W29" s="157">
        <v>0</v>
      </c>
      <c r="X29" s="156">
        <v>5</v>
      </c>
      <c r="Y29" s="157">
        <v>10</v>
      </c>
      <c r="Z29" s="157">
        <v>10</v>
      </c>
      <c r="AA29" s="157">
        <v>0</v>
      </c>
      <c r="AB29" s="158">
        <f>900*0.1+(AM29-900)*0.2</f>
        <v>244.14170306559996</v>
      </c>
      <c r="AC29" s="159">
        <f>900*0.1+(AN29-900)*0.2</f>
        <v>239.22550379519998</v>
      </c>
      <c r="AD29" s="159">
        <f>900*0.1+(AO29-900)*0.2</f>
        <v>246.12387932160001</v>
      </c>
      <c r="AE29" s="156">
        <f>P29+T29+X29+AB29</f>
        <v>394.14170306559993</v>
      </c>
      <c r="AF29" s="157">
        <f>Q29+U29+Y29+AC29</f>
        <v>374.22550379519998</v>
      </c>
      <c r="AG29" s="157">
        <f>R29+V29+Z29+AD29</f>
        <v>391.12387932160004</v>
      </c>
      <c r="AH29" s="157">
        <f>S29+W29+AA29</f>
        <v>8</v>
      </c>
      <c r="AI29" s="298">
        <f>(AW$2*(AH29/100)+AW$2+AW$3)*(AX$2*(AE29/100)+AX$2+AX$3)-AY$2</f>
        <v>64955837485.321594</v>
      </c>
      <c r="AJ29" s="156">
        <v>126</v>
      </c>
      <c r="AK29" s="157">
        <v>121</v>
      </c>
      <c r="AL29" s="157">
        <v>130</v>
      </c>
      <c r="AM29" s="160">
        <f>(AJ29+AS29*(AX$9-1))+500+((AJ29+AS29*(AX$9-1))+500)*$AY$10</f>
        <v>1670.7085153279997</v>
      </c>
      <c r="AN29" s="161">
        <f>(AK29+AT29*(AX$9-1))+500+((AK29+AT29*(AX$9-1))+500)*$AY$10</f>
        <v>1646.1275189759999</v>
      </c>
      <c r="AO29" s="161">
        <f>(AL29+AU29*(AX$9-1))+500+((AL29+AU29*(AX$9-1))+500)*$AY$10</f>
        <v>1680.619396608</v>
      </c>
      <c r="AP29" s="162">
        <v>8.8800000000000008</v>
      </c>
      <c r="AQ29" s="163">
        <v>8.7100000000000009</v>
      </c>
      <c r="AR29" s="163">
        <v>8.93</v>
      </c>
      <c r="AS29" s="160">
        <f>(((((1+20/100)*$AP29)*(1+20/100)))*(1+20/100))*(1+20/100)*(1+20/100)</f>
        <v>22.096281599999998</v>
      </c>
      <c r="AT29" s="161">
        <f>(((((1+20/100)*$AQ29)*(1+20/100)))*(1+20/100))*(1+20/100)*(1+20/100)</f>
        <v>21.673267199999994</v>
      </c>
      <c r="AU29" s="161">
        <f>(((((1+20/100)*$AR29)*(1+20/100)))*(1+20/100))*(1+20/100)*(1+20/100)</f>
        <v>22.220697599999998</v>
      </c>
    </row>
    <row r="30" spans="1:47" ht="14.25" customHeight="1" x14ac:dyDescent="0.25">
      <c r="A30" s="39" t="s">
        <v>76</v>
      </c>
      <c r="B30" s="154" t="s">
        <v>333</v>
      </c>
      <c r="C30" s="155" t="s">
        <v>154</v>
      </c>
      <c r="D30" s="176" t="str">
        <f>IF(ISNUMBER(MATCH(Table15[[#This Row],[General]],COVENANTS!$A$2:$A$100,0)), "Y","N")</f>
        <v>N</v>
      </c>
      <c r="E30" s="176" t="str">
        <f>IF(ISNUMBER(MATCH(Table15[[#This Row],[General]],COVENANTS!$B$2:$B$100,0)), "Y","N")</f>
        <v>N</v>
      </c>
      <c r="F30" s="176" t="str">
        <f>IF(ISNUMBER(MATCH(Table15[[#This Row],[General]],COVENANTS!$C$2:$C$100,0)), "Y","N")</f>
        <v>Y</v>
      </c>
      <c r="G30" s="176" t="str">
        <f>IF(ISNUMBER(MATCH(Table15[[#This Row],[General]],COVENANTS!$D$2:$D$100,0)), "Y","N")</f>
        <v>Y</v>
      </c>
      <c r="H30" s="122">
        <v>0</v>
      </c>
      <c r="I30" s="123">
        <v>25</v>
      </c>
      <c r="J30" s="123">
        <v>25</v>
      </c>
      <c r="K30" s="123">
        <v>12</v>
      </c>
      <c r="L30" s="156">
        <v>40</v>
      </c>
      <c r="M30" s="157">
        <v>45</v>
      </c>
      <c r="N30" s="157">
        <v>0</v>
      </c>
      <c r="O30" s="157">
        <v>0</v>
      </c>
      <c r="P30" s="156">
        <v>80</v>
      </c>
      <c r="Q30" s="157">
        <v>85</v>
      </c>
      <c r="R30" s="157">
        <v>30</v>
      </c>
      <c r="S30" s="157">
        <v>0</v>
      </c>
      <c r="T30" s="156">
        <v>70</v>
      </c>
      <c r="U30" s="157">
        <v>40</v>
      </c>
      <c r="V30" s="157">
        <v>20</v>
      </c>
      <c r="W30" s="157">
        <v>6</v>
      </c>
      <c r="X30" s="156">
        <v>0</v>
      </c>
      <c r="Y30" s="157">
        <v>0</v>
      </c>
      <c r="Z30" s="157">
        <v>0</v>
      </c>
      <c r="AA30" s="157">
        <v>0</v>
      </c>
      <c r="AB30" s="158">
        <f>900*0.1+(AM30-900)*0.2</f>
        <v>246.48423183359998</v>
      </c>
      <c r="AC30" s="159">
        <f>900*0.1+(AN30-900)*0.2</f>
        <v>241.08469155839998</v>
      </c>
      <c r="AD30" s="159">
        <f>900*0.1+(AO30-900)*0.2</f>
        <v>241.82453831680002</v>
      </c>
      <c r="AE30" s="156">
        <f>P30+T30+X30+AB30</f>
        <v>396.48423183360001</v>
      </c>
      <c r="AF30" s="157">
        <f>Q30+U30+Y30+AC30</f>
        <v>366.08469155839998</v>
      </c>
      <c r="AG30" s="157">
        <f>R30+V30+Z30+AD30</f>
        <v>291.82453831680004</v>
      </c>
      <c r="AH30" s="157">
        <f>S30+W30+AA30</f>
        <v>6</v>
      </c>
      <c r="AI30" s="298">
        <f>(AW$2*(AH30/100)+AW$2+AW$3)*(AX$2*(AE30/100)+AX$2+AX$3)-AY$2</f>
        <v>63973861352.310669</v>
      </c>
      <c r="AJ30" s="156">
        <v>121</v>
      </c>
      <c r="AK30" s="157">
        <v>118</v>
      </c>
      <c r="AL30" s="157">
        <v>114</v>
      </c>
      <c r="AM30" s="160">
        <f>(AJ30+AS30*(AX$9-1))+500+((AJ30+AS30*(AX$9-1))+500)*$AY$10</f>
        <v>1682.4211591679998</v>
      </c>
      <c r="AN30" s="161">
        <f>(AK30+AT30*(AX$9-1))+500+((AK30+AT30*(AX$9-1))+500)*$AY$10</f>
        <v>1655.4234577919999</v>
      </c>
      <c r="AO30" s="161">
        <f>(AL30+AU30*(AX$9-1))+500+((AL30+AU30*(AX$9-1))+500)*$AY$10</f>
        <v>1659.122691584</v>
      </c>
      <c r="AP30" s="162">
        <v>9.0299999999999994</v>
      </c>
      <c r="AQ30" s="163">
        <v>8.82</v>
      </c>
      <c r="AR30" s="163">
        <v>8.89</v>
      </c>
      <c r="AS30" s="160">
        <f>(((((1+20/100)*$AP30)*(1+20/100)))*(1+20/100))*(1+20/100)*(1+20/100)</f>
        <v>22.469529599999994</v>
      </c>
      <c r="AT30" s="161">
        <f>(((((1+20/100)*$AQ30)*(1+20/100)))*(1+20/100))*(1+20/100)*(1+20/100)</f>
        <v>21.946982399999996</v>
      </c>
      <c r="AU30" s="161">
        <f>(((((1+20/100)*$AR30)*(1+20/100)))*(1+20/100))*(1+20/100)*(1+20/100)</f>
        <v>22.121164799999995</v>
      </c>
    </row>
    <row r="31" spans="1:47" ht="14.25" customHeight="1" x14ac:dyDescent="0.25">
      <c r="A31" s="39" t="s">
        <v>77</v>
      </c>
      <c r="B31" s="154" t="s">
        <v>332</v>
      </c>
      <c r="C31" s="155" t="s">
        <v>155</v>
      </c>
      <c r="D31" s="176" t="str">
        <f>IF(ISNUMBER(MATCH(Table15[[#This Row],[General]],COVENANTS!$A$2:$A$100,0)), "Y","N")</f>
        <v>N</v>
      </c>
      <c r="E31" s="176" t="str">
        <f>IF(ISNUMBER(MATCH(Table15[[#This Row],[General]],COVENANTS!$B$2:$B$100,0)), "Y","N")</f>
        <v>N</v>
      </c>
      <c r="F31" s="176" t="str">
        <f>IF(ISNUMBER(MATCH(Table15[[#This Row],[General]],COVENANTS!$C$2:$C$100,0)), "Y","N")</f>
        <v>Y</v>
      </c>
      <c r="G31" s="176" t="str">
        <f>IF(ISNUMBER(MATCH(Table15[[#This Row],[General]],COVENANTS!$D$2:$D$100,0)), "Y","N")</f>
        <v>N</v>
      </c>
      <c r="H31" s="122">
        <v>25</v>
      </c>
      <c r="I31" s="123">
        <v>25</v>
      </c>
      <c r="J31" s="123">
        <v>25</v>
      </c>
      <c r="K31" s="123">
        <v>12</v>
      </c>
      <c r="L31" s="156">
        <v>35</v>
      </c>
      <c r="M31" s="157">
        <v>35</v>
      </c>
      <c r="N31" s="157">
        <v>0</v>
      </c>
      <c r="O31" s="157">
        <v>10</v>
      </c>
      <c r="P31" s="156">
        <v>60</v>
      </c>
      <c r="Q31" s="157">
        <v>60</v>
      </c>
      <c r="R31" s="157">
        <v>25</v>
      </c>
      <c r="S31" s="157">
        <v>10</v>
      </c>
      <c r="T31" s="156">
        <v>70</v>
      </c>
      <c r="U31" s="157">
        <v>20</v>
      </c>
      <c r="V31" s="157">
        <v>10</v>
      </c>
      <c r="W31" s="157">
        <v>0</v>
      </c>
      <c r="X31" s="156">
        <v>0</v>
      </c>
      <c r="Y31" s="157">
        <v>0</v>
      </c>
      <c r="Z31" s="157">
        <v>0</v>
      </c>
      <c r="AA31" s="157">
        <v>0</v>
      </c>
      <c r="AB31" s="158">
        <f>900*0.1+(AM31-900)*0.2</f>
        <v>243.39754982399995</v>
      </c>
      <c r="AC31" s="159">
        <f>900*0.1+(AN31-900)*0.2</f>
        <v>246.45456133119993</v>
      </c>
      <c r="AD31" s="159">
        <f>900*0.1+(AO31-900)*0.2</f>
        <v>238.3923390464</v>
      </c>
      <c r="AE31" s="156">
        <f>P31+T31+X31+AB31</f>
        <v>373.39754982399995</v>
      </c>
      <c r="AF31" s="157">
        <f>Q31+U31+Y31+AC31</f>
        <v>326.4545613311999</v>
      </c>
      <c r="AG31" s="157">
        <f>R31+V31+Z31+AD31</f>
        <v>273.39233904640002</v>
      </c>
      <c r="AH31" s="157">
        <f>S31+W31+AA31</f>
        <v>10</v>
      </c>
      <c r="AI31" s="298">
        <f>(AW$2*(AH31/100)+AW$2+AW$3)*(AX$2*(AE31/100)+AX$2+AX$3)-AY$2</f>
        <v>63103456458.528748</v>
      </c>
      <c r="AJ31" s="156">
        <v>115</v>
      </c>
      <c r="AK31" s="157">
        <v>123</v>
      </c>
      <c r="AL31" s="157">
        <v>116</v>
      </c>
      <c r="AM31" s="160">
        <f>(AJ31+AS31*(AX$9-1))+500+((AJ31+AS31*(AX$9-1))+500)*$AY$10</f>
        <v>1666.9877491199998</v>
      </c>
      <c r="AN31" s="161">
        <f>(AK31+AT31*(AX$9-1))+500+((AK31+AT31*(AX$9-1))+500)*$AY$10</f>
        <v>1682.2728066559996</v>
      </c>
      <c r="AO31" s="161">
        <f>(AL31+AU31*(AX$9-1))+500+((AL31+AU31*(AX$9-1))+500)*$AY$10</f>
        <v>1641.961695232</v>
      </c>
      <c r="AP31" s="162">
        <v>8.9499999999999993</v>
      </c>
      <c r="AQ31" s="163">
        <v>9.01</v>
      </c>
      <c r="AR31" s="163">
        <v>8.7200000000000006</v>
      </c>
      <c r="AS31" s="160">
        <f>(((((1+20/100)*$AP31)*(1+20/100)))*(1+20/100))*(1+20/100)*(1+20/100)</f>
        <v>22.270463999999993</v>
      </c>
      <c r="AT31" s="161">
        <f>(((((1+20/100)*$AQ31)*(1+20/100)))*(1+20/100))*(1+20/100)*(1+20/100)</f>
        <v>22.419763199999995</v>
      </c>
      <c r="AU31" s="161">
        <f>(((((1+20/100)*$AR31)*(1+20/100)))*(1+20/100))*(1+20/100)*(1+20/100)</f>
        <v>21.698150399999999</v>
      </c>
    </row>
    <row r="32" spans="1:47" ht="14.25" customHeight="1" x14ac:dyDescent="0.25">
      <c r="A32" s="39" t="s">
        <v>78</v>
      </c>
      <c r="B32" s="154" t="s">
        <v>332</v>
      </c>
      <c r="C32" s="164" t="s">
        <v>157</v>
      </c>
      <c r="D32" s="176" t="str">
        <f>IF(ISNUMBER(MATCH(Table15[[#This Row],[General]],COVENANTS!$A$2:$A$100,0)), "Y","N")</f>
        <v>N</v>
      </c>
      <c r="E32" s="176" t="str">
        <f>IF(ISNUMBER(MATCH(Table15[[#This Row],[General]],COVENANTS!$B$2:$B$100,0)), "Y","N")</f>
        <v>N</v>
      </c>
      <c r="F32" s="176" t="str">
        <f>IF(ISNUMBER(MATCH(Table15[[#This Row],[General]],COVENANTS!$C$2:$C$100,0)), "Y","N")</f>
        <v>Y</v>
      </c>
      <c r="G32" s="176" t="str">
        <f>IF(ISNUMBER(MATCH(Table15[[#This Row],[General]],COVENANTS!$D$2:$D$100,0)), "Y","N")</f>
        <v>N</v>
      </c>
      <c r="H32" s="122">
        <v>25</v>
      </c>
      <c r="I32" s="123">
        <v>25</v>
      </c>
      <c r="J32" s="123">
        <v>25</v>
      </c>
      <c r="K32" s="123">
        <v>12</v>
      </c>
      <c r="L32" s="156">
        <v>30</v>
      </c>
      <c r="M32" s="157">
        <v>0</v>
      </c>
      <c r="N32" s="157">
        <v>0</v>
      </c>
      <c r="O32" s="157">
        <v>0</v>
      </c>
      <c r="P32" s="156">
        <v>65</v>
      </c>
      <c r="Q32" s="157">
        <v>15</v>
      </c>
      <c r="R32" s="157">
        <v>15</v>
      </c>
      <c r="S32" s="157">
        <v>14</v>
      </c>
      <c r="T32" s="156">
        <v>46</v>
      </c>
      <c r="U32" s="157">
        <v>30</v>
      </c>
      <c r="V32" s="157">
        <v>0</v>
      </c>
      <c r="W32" s="157">
        <v>0</v>
      </c>
      <c r="X32" s="156">
        <v>0</v>
      </c>
      <c r="Y32" s="157">
        <v>0</v>
      </c>
      <c r="Z32" s="157">
        <v>0</v>
      </c>
      <c r="AA32" s="157">
        <v>0</v>
      </c>
      <c r="AB32" s="158">
        <f>900*0.1+(AM32-900)*0.2</f>
        <v>244.5168908288</v>
      </c>
      <c r="AC32" s="159">
        <f>900*0.1+(AN32-900)*0.2</f>
        <v>240.72003256319999</v>
      </c>
      <c r="AD32" s="159">
        <f>900*0.1+(AO32-900)*0.2</f>
        <v>240.91719731199996</v>
      </c>
      <c r="AE32" s="156">
        <f>P32+T32+X32+AB32</f>
        <v>355.5168908288</v>
      </c>
      <c r="AF32" s="157">
        <f>Q32+U32+Y32+AC32</f>
        <v>285.72003256319999</v>
      </c>
      <c r="AG32" s="157">
        <f>R32+V32+Z32+AD32</f>
        <v>255.91719731199996</v>
      </c>
      <c r="AH32" s="157">
        <f>S32+W32+AA32</f>
        <v>14</v>
      </c>
      <c r="AI32" s="298">
        <f>(AW$2*(AH32/100)+AW$2+AW$3)*(AX$2*(AE32/100)+AX$2+AX$3)-AY$2</f>
        <v>62990191866.50769</v>
      </c>
      <c r="AJ32" s="156">
        <v>116</v>
      </c>
      <c r="AK32" s="157">
        <v>112</v>
      </c>
      <c r="AL32" s="157">
        <v>114</v>
      </c>
      <c r="AM32" s="160">
        <f>(AJ32+AS32*(AX$9-1))+500+((AJ32+AS32*(AX$9-1))+500)*$AY$10</f>
        <v>1672.5844541439999</v>
      </c>
      <c r="AN32" s="161">
        <f>(AK32+AT32*(AX$9-1))+500+((AK32+AT32*(AX$9-1))+500)*$AY$10</f>
        <v>1653.600162816</v>
      </c>
      <c r="AO32" s="161">
        <f>(AL32+AU32*(AX$9-1))+500+((AL32+AU32*(AX$9-1))+500)*$AY$10</f>
        <v>1654.5859865599998</v>
      </c>
      <c r="AP32" s="162">
        <v>8.99</v>
      </c>
      <c r="AQ32" s="163">
        <v>8.86</v>
      </c>
      <c r="AR32" s="163">
        <v>8.85</v>
      </c>
      <c r="AS32" s="160">
        <f>(((((1+20/100)*$AP32)*(1+20/100)))*(1+20/100))*(1+20/100)*(1+20/100)</f>
        <v>22.369996799999999</v>
      </c>
      <c r="AT32" s="161">
        <f>(((((1+20/100)*$AQ32)*(1+20/100)))*(1+20/100))*(1+20/100)*(1+20/100)</f>
        <v>22.046515199999998</v>
      </c>
      <c r="AU32" s="161">
        <f>(((((1+20/100)*$AR32)*(1+20/100)))*(1+20/100))*(1+20/100)*(1+20/100)</f>
        <v>22.021631999999993</v>
      </c>
    </row>
    <row r="33" spans="1:47" ht="14.25" customHeight="1" x14ac:dyDescent="0.25">
      <c r="A33" s="39" t="s">
        <v>79</v>
      </c>
      <c r="B33" s="154" t="s">
        <v>332</v>
      </c>
      <c r="C33" s="155" t="s">
        <v>158</v>
      </c>
      <c r="D33" s="176" t="str">
        <f>IF(ISNUMBER(MATCH(Table15[[#This Row],[General]],COVENANTS!$A$2:$A$100,0)), "Y","N")</f>
        <v>N</v>
      </c>
      <c r="E33" s="176" t="str">
        <f>IF(ISNUMBER(MATCH(Table15[[#This Row],[General]],COVENANTS!$B$2:$B$100,0)), "Y","N")</f>
        <v>N</v>
      </c>
      <c r="F33" s="176" t="str">
        <f>IF(ISNUMBER(MATCH(Table15[[#This Row],[General]],COVENANTS!$C$2:$C$100,0)), "Y","N")</f>
        <v>N</v>
      </c>
      <c r="G33" s="176" t="str">
        <f>IF(ISNUMBER(MATCH(Table15[[#This Row],[General]],COVENANTS!$D$2:$D$100,0)), "Y","N")</f>
        <v>N</v>
      </c>
      <c r="H33" s="122">
        <v>25</v>
      </c>
      <c r="I33" s="123">
        <v>25</v>
      </c>
      <c r="J33" s="123">
        <v>25</v>
      </c>
      <c r="K33" s="123">
        <v>12</v>
      </c>
      <c r="L33" s="156">
        <v>30</v>
      </c>
      <c r="M33" s="157">
        <v>35</v>
      </c>
      <c r="N33" s="157">
        <v>35</v>
      </c>
      <c r="O33" s="157">
        <v>0</v>
      </c>
      <c r="P33" s="156">
        <v>75</v>
      </c>
      <c r="Q33" s="157">
        <v>80</v>
      </c>
      <c r="R33" s="157">
        <v>80</v>
      </c>
      <c r="S33" s="157">
        <v>10</v>
      </c>
      <c r="T33" s="156">
        <v>50</v>
      </c>
      <c r="U33" s="157">
        <v>20</v>
      </c>
      <c r="V33" s="157">
        <v>40</v>
      </c>
      <c r="W33" s="157">
        <v>0</v>
      </c>
      <c r="X33" s="156">
        <v>0</v>
      </c>
      <c r="Y33" s="157">
        <v>0</v>
      </c>
      <c r="Z33" s="157">
        <v>0</v>
      </c>
      <c r="AA33" s="157">
        <v>0</v>
      </c>
      <c r="AB33" s="158">
        <f>900*0.1+(AM33-900)*0.2</f>
        <v>245.37972608000001</v>
      </c>
      <c r="AC33" s="159">
        <f>900*0.1+(AN33-900)*0.2</f>
        <v>240.22185630719997</v>
      </c>
      <c r="AD33" s="159">
        <f>900*0.1+(AO33-900)*0.2</f>
        <v>244.69922032640002</v>
      </c>
      <c r="AE33" s="156">
        <f>P33+T33+X33+AB33</f>
        <v>370.37972608000001</v>
      </c>
      <c r="AF33" s="157">
        <f>Q33+U33+Y33+AC33</f>
        <v>340.22185630719997</v>
      </c>
      <c r="AG33" s="157">
        <f>R33+V33+Z33+AD33</f>
        <v>364.6992203264</v>
      </c>
      <c r="AH33" s="157">
        <f>S33+W33+AA33</f>
        <v>10</v>
      </c>
      <c r="AI33" s="298">
        <f>(AW$2*(AH33/100)+AW$2+AW$3)*(AX$2*(AE33/100)+AX$2+AX$3)-AY$2</f>
        <v>62639041238.840271</v>
      </c>
      <c r="AJ33" s="156">
        <v>119</v>
      </c>
      <c r="AK33" s="157">
        <v>115</v>
      </c>
      <c r="AL33" s="157">
        <v>119</v>
      </c>
      <c r="AM33" s="160">
        <f>(AJ33+AS33*(AX$9-1))+500+((AJ33+AS33*(AX$9-1))+500)*$AY$10</f>
        <v>1676.8986304</v>
      </c>
      <c r="AN33" s="161">
        <f>(AK33+AT33*(AX$9-1))+500+((AK33+AT33*(AX$9-1))+500)*$AY$10</f>
        <v>1651.1092815359998</v>
      </c>
      <c r="AO33" s="161">
        <f>(AL33+AU33*(AX$9-1))+500+((AL33+AU33*(AX$9-1))+500)*$AY$10</f>
        <v>1673.4961016320001</v>
      </c>
      <c r="AP33" s="162">
        <v>9</v>
      </c>
      <c r="AQ33" s="163">
        <v>8.81</v>
      </c>
      <c r="AR33" s="163">
        <v>8.9700000000000006</v>
      </c>
      <c r="AS33" s="160">
        <f>(((((1+20/100)*$AP33)*(1+20/100)))*(1+20/100))*(1+20/100)*(1+20/100)</f>
        <v>22.394879999999997</v>
      </c>
      <c r="AT33" s="161">
        <f>(((((1+20/100)*$AQ33)*(1+20/100)))*(1+20/100))*(1+20/100)*(1+20/100)</f>
        <v>21.922099199999998</v>
      </c>
      <c r="AU33" s="161">
        <f>(((((1+20/100)*$AR33)*(1+20/100)))*(1+20/100))*(1+20/100)*(1+20/100)</f>
        <v>22.3202304</v>
      </c>
    </row>
    <row r="34" spans="1:47" ht="14.25" customHeight="1" x14ac:dyDescent="0.25">
      <c r="A34" s="39" t="s">
        <v>80</v>
      </c>
      <c r="B34" s="154" t="s">
        <v>332</v>
      </c>
      <c r="C34" s="164" t="s">
        <v>156</v>
      </c>
      <c r="D34" s="176" t="str">
        <f>IF(ISNUMBER(MATCH(Table15[[#This Row],[General]],COVENANTS!$A$2:$A$100,0)), "Y","N")</f>
        <v>N</v>
      </c>
      <c r="E34" s="176" t="str">
        <f>IF(ISNUMBER(MATCH(Table15[[#This Row],[General]],COVENANTS!$B$2:$B$100,0)), "Y","N")</f>
        <v>Y</v>
      </c>
      <c r="F34" s="176" t="str">
        <f>IF(ISNUMBER(MATCH(Table15[[#This Row],[General]],COVENANTS!$C$2:$C$100,0)), "Y","N")</f>
        <v>N</v>
      </c>
      <c r="G34" s="176" t="str">
        <f>IF(ISNUMBER(MATCH(Table15[[#This Row],[General]],COVENANTS!$D$2:$D$100,0)), "Y","N")</f>
        <v>N</v>
      </c>
      <c r="H34" s="122">
        <v>25</v>
      </c>
      <c r="I34" s="123">
        <v>25</v>
      </c>
      <c r="J34" s="123">
        <v>25</v>
      </c>
      <c r="K34" s="123">
        <v>12</v>
      </c>
      <c r="L34" s="156">
        <v>35</v>
      </c>
      <c r="M34" s="157">
        <v>0</v>
      </c>
      <c r="N34" s="157">
        <v>0</v>
      </c>
      <c r="O34" s="157">
        <v>0</v>
      </c>
      <c r="P34" s="156">
        <v>65</v>
      </c>
      <c r="Q34" s="157">
        <v>20</v>
      </c>
      <c r="R34" s="157">
        <v>45</v>
      </c>
      <c r="S34" s="157">
        <v>14</v>
      </c>
      <c r="T34" s="156">
        <v>55</v>
      </c>
      <c r="U34" s="157">
        <v>10</v>
      </c>
      <c r="V34" s="157">
        <v>45</v>
      </c>
      <c r="W34" s="157">
        <v>0</v>
      </c>
      <c r="X34" s="156">
        <v>0</v>
      </c>
      <c r="Y34" s="157">
        <v>0</v>
      </c>
      <c r="Z34" s="157">
        <v>0</v>
      </c>
      <c r="AA34" s="157">
        <v>0</v>
      </c>
      <c r="AB34" s="158">
        <f>900*0.1+(AM34-900)*0.2</f>
        <v>232.84013977599994</v>
      </c>
      <c r="AC34" s="159">
        <f>900*0.1+(AN34-900)*0.2</f>
        <v>249.73410160640003</v>
      </c>
      <c r="AD34" s="159">
        <f>900*0.1+(AO34-900)*0.2</f>
        <v>246.39091384319997</v>
      </c>
      <c r="AE34" s="156">
        <f>P34+T34+X34+AB34</f>
        <v>352.84013977599994</v>
      </c>
      <c r="AF34" s="157">
        <f>Q34+U34+Y34+AC34</f>
        <v>279.73410160640003</v>
      </c>
      <c r="AG34" s="157">
        <f>R34+V34+Z34+AD34</f>
        <v>336.3909138432</v>
      </c>
      <c r="AH34" s="157">
        <f>S34+W34+AA34</f>
        <v>14</v>
      </c>
      <c r="AI34" s="298">
        <f>(AW$2*(AH34/100)+AW$2+AW$3)*(AX$2*(AE34/100)+AX$2+AX$3)-AY$2</f>
        <v>62575388470.422729</v>
      </c>
      <c r="AJ34" s="156">
        <v>108</v>
      </c>
      <c r="AK34" s="157">
        <v>116</v>
      </c>
      <c r="AL34" s="157">
        <v>112</v>
      </c>
      <c r="AM34" s="160">
        <f>(AJ34+AS34*(AX$9-1))+500+((AJ34+AS34*(AX$9-1))+500)*$AY$10</f>
        <v>1614.2006988799997</v>
      </c>
      <c r="AN34" s="161">
        <f>(AK34+AT34*(AX$9-1))+500+((AK34+AT34*(AX$9-1))+500)*$AY$10</f>
        <v>1698.670508032</v>
      </c>
      <c r="AO34" s="161">
        <f>(AL34+AU34*(AX$9-1))+500+((AL34+AU34*(AX$9-1))+500)*$AY$10</f>
        <v>1681.9545692159998</v>
      </c>
      <c r="AP34" s="162">
        <v>8.5500000000000007</v>
      </c>
      <c r="AQ34" s="163">
        <v>9.2200000000000006</v>
      </c>
      <c r="AR34" s="163">
        <v>9.11</v>
      </c>
      <c r="AS34" s="160">
        <f>(((((1+20/100)*$AP34)*(1+20/100)))*(1+20/100))*(1+20/100)*(1+20/100)</f>
        <v>21.275135999999993</v>
      </c>
      <c r="AT34" s="161">
        <f>(((((1+20/100)*$AQ34)*(1+20/100)))*(1+20/100))*(1+20/100)*(1+20/100)</f>
        <v>22.9423104</v>
      </c>
      <c r="AU34" s="161">
        <f>(((((1+20/100)*$AR34)*(1+20/100)))*(1+20/100))*(1+20/100)*(1+20/100)</f>
        <v>22.668595199999995</v>
      </c>
    </row>
    <row r="35" spans="1:47" ht="14.25" customHeight="1" x14ac:dyDescent="0.25">
      <c r="A35" s="39" t="s">
        <v>81</v>
      </c>
      <c r="B35" s="154" t="s">
        <v>333</v>
      </c>
      <c r="C35" s="164" t="s">
        <v>159</v>
      </c>
      <c r="D35" s="176" t="str">
        <f>IF(ISNUMBER(MATCH(Table15[[#This Row],[General]],COVENANTS!$A$2:$A$100,0)), "Y","N")</f>
        <v>N</v>
      </c>
      <c r="E35" s="176" t="str">
        <f>IF(ISNUMBER(MATCH(Table15[[#This Row],[General]],COVENANTS!$B$2:$B$100,0)), "Y","N")</f>
        <v>N</v>
      </c>
      <c r="F35" s="176" t="str">
        <f>IF(ISNUMBER(MATCH(Table15[[#This Row],[General]],COVENANTS!$C$2:$C$100,0)), "Y","N")</f>
        <v>Y</v>
      </c>
      <c r="G35" s="176" t="str">
        <f>IF(ISNUMBER(MATCH(Table15[[#This Row],[General]],COVENANTS!$D$2:$D$100,0)), "Y","N")</f>
        <v>N</v>
      </c>
      <c r="H35" s="122">
        <v>25</v>
      </c>
      <c r="I35" s="123">
        <v>25</v>
      </c>
      <c r="J35" s="123">
        <v>25</v>
      </c>
      <c r="K35" s="123">
        <v>12</v>
      </c>
      <c r="L35" s="156">
        <v>15</v>
      </c>
      <c r="M35" s="157">
        <v>0</v>
      </c>
      <c r="N35" s="157">
        <v>0</v>
      </c>
      <c r="O35" s="157">
        <v>10</v>
      </c>
      <c r="P35" s="156">
        <v>50</v>
      </c>
      <c r="Q35" s="157">
        <v>15</v>
      </c>
      <c r="R35" s="157">
        <v>15</v>
      </c>
      <c r="S35" s="157">
        <v>10</v>
      </c>
      <c r="T35" s="156">
        <v>46</v>
      </c>
      <c r="U35" s="157">
        <v>26</v>
      </c>
      <c r="V35" s="157">
        <v>36</v>
      </c>
      <c r="W35" s="157">
        <v>6</v>
      </c>
      <c r="X35" s="156">
        <v>0</v>
      </c>
      <c r="Y35" s="157">
        <v>0</v>
      </c>
      <c r="Z35" s="157">
        <v>0</v>
      </c>
      <c r="AA35" s="157">
        <v>0</v>
      </c>
      <c r="AB35" s="158">
        <f>900*0.1+(AM35-900)*0.2</f>
        <v>235.04915128319996</v>
      </c>
      <c r="AC35" s="159">
        <f>900*0.1+(AN35-900)*0.2</f>
        <v>224.93057648639999</v>
      </c>
      <c r="AD35" s="159">
        <f>900*0.1+(AO35-900)*0.2</f>
        <v>248.1907606016</v>
      </c>
      <c r="AE35" s="156">
        <f>P35+T35+X35+AB35</f>
        <v>331.04915128319999</v>
      </c>
      <c r="AF35" s="157">
        <f>Q35+U35+Y35+AC35</f>
        <v>265.93057648640001</v>
      </c>
      <c r="AG35" s="157">
        <f>R35+V35+Z35+AD35</f>
        <v>299.1907606016</v>
      </c>
      <c r="AH35" s="157">
        <f>S35+W35+AA35</f>
        <v>16</v>
      </c>
      <c r="AI35" s="298">
        <f>(AW$2*(AH35/100)+AW$2+AW$3)*(AX$2*(AE35/100)+AX$2+AX$3)-AY$2</f>
        <v>60504599336.924316</v>
      </c>
      <c r="AJ35" s="156">
        <v>112</v>
      </c>
      <c r="AK35" s="157">
        <v>106</v>
      </c>
      <c r="AL35" s="157">
        <v>113</v>
      </c>
      <c r="AM35" s="160">
        <f>(AJ35+AS35*(AX$9-1))+500+((AJ35+AS35*(AX$9-1))+500)*$AY$10</f>
        <v>1625.2457564159997</v>
      </c>
      <c r="AN35" s="161">
        <f>(AK35+AT35*(AX$9-1))+500+((AK35+AT35*(AX$9-1))+500)*$AY$10</f>
        <v>1574.6528824319998</v>
      </c>
      <c r="AO35" s="161">
        <f>(AL35+AU35*(AX$9-1))+500+((AL35+AU35*(AX$9-1))+500)*$AY$10</f>
        <v>1690.953803008</v>
      </c>
      <c r="AP35" s="162">
        <v>8.61</v>
      </c>
      <c r="AQ35" s="163">
        <v>8.2200000000000006</v>
      </c>
      <c r="AR35" s="163">
        <v>9.18</v>
      </c>
      <c r="AS35" s="160">
        <f>(((((1+20/100)*$AP35)*(1+20/100)))*(1+20/100))*(1+20/100)*(1+20/100)</f>
        <v>21.424435199999994</v>
      </c>
      <c r="AT35" s="161">
        <f>(((((1+20/100)*$AQ35)*(1+20/100)))*(1+20/100))*(1+20/100)*(1+20/100)</f>
        <v>20.453990399999999</v>
      </c>
      <c r="AU35" s="161">
        <f>(((((1+20/100)*$AR35)*(1+20/100)))*(1+20/100))*(1+20/100)*(1+20/100)</f>
        <v>22.842777599999998</v>
      </c>
    </row>
    <row r="36" spans="1:47" ht="14.25" customHeight="1" x14ac:dyDescent="0.25">
      <c r="A36" s="39" t="s">
        <v>207</v>
      </c>
      <c r="B36" s="154" t="s">
        <v>333</v>
      </c>
      <c r="C36" s="164" t="s">
        <v>161</v>
      </c>
      <c r="D36" s="176" t="str">
        <f>IF(ISNUMBER(MATCH(Table15[[#This Row],[General]],COVENANTS!$A$2:$A$100,0)), "Y","N")</f>
        <v>N</v>
      </c>
      <c r="E36" s="176" t="str">
        <f>IF(ISNUMBER(MATCH(Table15[[#This Row],[General]],COVENANTS!$B$2:$B$100,0)), "Y","N")</f>
        <v>Y</v>
      </c>
      <c r="F36" s="176" t="str">
        <f>IF(ISNUMBER(MATCH(Table15[[#This Row],[General]],COVENANTS!$C$2:$C$100,0)), "Y","N")</f>
        <v>Y</v>
      </c>
      <c r="G36" s="176" t="str">
        <f>IF(ISNUMBER(MATCH(Table15[[#This Row],[General]],COVENANTS!$D$2:$D$100,0)), "Y","N")</f>
        <v>Y</v>
      </c>
      <c r="H36" s="122">
        <v>25</v>
      </c>
      <c r="I36" s="123">
        <v>25</v>
      </c>
      <c r="J36" s="123">
        <v>25</v>
      </c>
      <c r="K36" s="123">
        <v>12</v>
      </c>
      <c r="L36" s="156">
        <v>25</v>
      </c>
      <c r="M36" s="157">
        <v>15</v>
      </c>
      <c r="N36" s="157">
        <v>0</v>
      </c>
      <c r="O36" s="157">
        <v>0</v>
      </c>
      <c r="P36" s="156">
        <v>65</v>
      </c>
      <c r="Q36" s="157">
        <v>37</v>
      </c>
      <c r="R36" s="157">
        <v>28</v>
      </c>
      <c r="S36" s="157">
        <v>6</v>
      </c>
      <c r="T36" s="156">
        <v>65</v>
      </c>
      <c r="U36" s="157">
        <v>10</v>
      </c>
      <c r="V36" s="157">
        <v>35</v>
      </c>
      <c r="W36" s="157">
        <v>0</v>
      </c>
      <c r="X36" s="156">
        <v>0</v>
      </c>
      <c r="Y36" s="157">
        <v>0</v>
      </c>
      <c r="Z36" s="157">
        <v>0</v>
      </c>
      <c r="AA36" s="157">
        <v>0</v>
      </c>
      <c r="AB36" s="158">
        <f>900*0.1+(AM36-900)*0.2</f>
        <v>243.33820881919993</v>
      </c>
      <c r="AC36" s="159">
        <f>900*0.1+(AN36-900)*0.2</f>
        <v>244.77339658239995</v>
      </c>
      <c r="AD36" s="159">
        <f>900*0.1+(AO36-900)*0.2</f>
        <v>243.08170306559995</v>
      </c>
      <c r="AE36" s="156">
        <f>P36+T36+X36+AB36</f>
        <v>373.33820881919996</v>
      </c>
      <c r="AF36" s="157">
        <f>Q36+U36+Y36+AC36</f>
        <v>291.77339658239998</v>
      </c>
      <c r="AG36" s="157">
        <f>R36+V36+Z36+AD36</f>
        <v>306.08170306559998</v>
      </c>
      <c r="AH36" s="157">
        <f>S36+W36+AA36</f>
        <v>6</v>
      </c>
      <c r="AI36" s="298">
        <f>(AW$2*(AH36/100)+AW$2+AW$3)*(AX$2*(AE36/100)+AX$2+AX$3)-AY$2</f>
        <v>60436771986.995361</v>
      </c>
      <c r="AJ36" s="156">
        <v>119</v>
      </c>
      <c r="AK36" s="157">
        <v>114</v>
      </c>
      <c r="AL36" s="157">
        <v>121</v>
      </c>
      <c r="AM36" s="160">
        <f>(AJ36+AS36*(AX$9-1))+500+((AJ36+AS36*(AX$9-1))+500)*$AY$10</f>
        <v>1666.6910440959996</v>
      </c>
      <c r="AN36" s="161">
        <f>(AK36+AT36*(AX$9-1))+500+((AK36+AT36*(AX$9-1))+500)*$AY$10</f>
        <v>1673.8669829119997</v>
      </c>
      <c r="AO36" s="161">
        <f>(AL36+AU36*(AX$9-1))+500+((AL36+AU36*(AX$9-1))+500)*$AY$10</f>
        <v>1665.4085153279998</v>
      </c>
      <c r="AP36" s="162">
        <v>8.91</v>
      </c>
      <c r="AQ36" s="163">
        <v>9.02</v>
      </c>
      <c r="AR36" s="163">
        <v>8.8800000000000008</v>
      </c>
      <c r="AS36" s="160">
        <f>(((((1+20/100)*$AP36)*(1+20/100)))*(1+20/100))*(1+20/100)*(1+20/100)</f>
        <v>22.170931199999995</v>
      </c>
      <c r="AT36" s="161">
        <f>(((((1+20/100)*$AQ36)*(1+20/100)))*(1+20/100))*(1+20/100)*(1+20/100)</f>
        <v>22.444646399999996</v>
      </c>
      <c r="AU36" s="161">
        <f>(((((1+20/100)*$AR36)*(1+20/100)))*(1+20/100))*(1+20/100)*(1+20/100)</f>
        <v>22.096281599999998</v>
      </c>
    </row>
    <row r="37" spans="1:47" ht="14.25" customHeight="1" x14ac:dyDescent="0.25">
      <c r="A37" s="39" t="s">
        <v>210</v>
      </c>
      <c r="B37" s="154" t="s">
        <v>332</v>
      </c>
      <c r="C37" s="155" t="s">
        <v>160</v>
      </c>
      <c r="D37" s="176" t="str">
        <f>IF(ISNUMBER(MATCH(Table15[[#This Row],[General]],COVENANTS!$A$2:$A$100,0)), "Y","N")</f>
        <v>N</v>
      </c>
      <c r="E37" s="176" t="str">
        <f>IF(ISNUMBER(MATCH(Table15[[#This Row],[General]],COVENANTS!$B$2:$B$100,0)), "Y","N")</f>
        <v>N</v>
      </c>
      <c r="F37" s="176" t="str">
        <f>IF(ISNUMBER(MATCH(Table15[[#This Row],[General]],COVENANTS!$C$2:$C$100,0)), "Y","N")</f>
        <v>N</v>
      </c>
      <c r="G37" s="176" t="str">
        <f>IF(ISNUMBER(MATCH(Table15[[#This Row],[General]],COVENANTS!$D$2:$D$100,0)), "Y","N")</f>
        <v>N</v>
      </c>
      <c r="H37" s="122">
        <v>25</v>
      </c>
      <c r="I37" s="123">
        <v>25</v>
      </c>
      <c r="J37" s="123">
        <v>25</v>
      </c>
      <c r="K37" s="123">
        <v>12</v>
      </c>
      <c r="L37" s="156">
        <v>35</v>
      </c>
      <c r="M37" s="157">
        <v>0</v>
      </c>
      <c r="N37" s="157">
        <v>0</v>
      </c>
      <c r="O37" s="157">
        <v>0</v>
      </c>
      <c r="P37" s="156">
        <v>75</v>
      </c>
      <c r="Q37" s="157">
        <v>0</v>
      </c>
      <c r="R37" s="157">
        <v>50</v>
      </c>
      <c r="S37" s="157">
        <v>0</v>
      </c>
      <c r="T37" s="156">
        <v>61</v>
      </c>
      <c r="U37" s="157">
        <v>45</v>
      </c>
      <c r="V37" s="157">
        <v>0</v>
      </c>
      <c r="W37" s="157">
        <v>6</v>
      </c>
      <c r="X37" s="156">
        <v>0</v>
      </c>
      <c r="Y37" s="157">
        <v>0</v>
      </c>
      <c r="Z37" s="157">
        <v>0</v>
      </c>
      <c r="AA37" s="157">
        <v>0</v>
      </c>
      <c r="AB37" s="158">
        <f>900*0.1+(AM37-900)*0.2</f>
        <v>235.53249228800001</v>
      </c>
      <c r="AC37" s="159">
        <f>900*0.1+(AN37-900)*0.2</f>
        <v>248.61476060159998</v>
      </c>
      <c r="AD37" s="159">
        <f>900*0.1+(AO37-900)*0.2</f>
        <v>247.25374909439995</v>
      </c>
      <c r="AE37" s="156">
        <f>P37+T37+X37+AB37</f>
        <v>371.53249228800001</v>
      </c>
      <c r="AF37" s="157">
        <f>Q37+U37+Y37+AC37</f>
        <v>293.61476060159998</v>
      </c>
      <c r="AG37" s="157">
        <f>R37+V37+Z37+AD37</f>
        <v>297.25374909439995</v>
      </c>
      <c r="AH37" s="157">
        <f>S37+W37+AA37</f>
        <v>6</v>
      </c>
      <c r="AI37" s="298">
        <f>(AW$2*(AH37/100)+AW$2+AW$3)*(AX$2*(AE37/100)+AX$2+AX$3)-AY$2</f>
        <v>60160829085.905762</v>
      </c>
      <c r="AJ37" s="156">
        <v>110</v>
      </c>
      <c r="AK37" s="157">
        <v>115</v>
      </c>
      <c r="AL37" s="157">
        <v>115</v>
      </c>
      <c r="AM37" s="160">
        <f>(AJ37+AS37*(AX$9-1))+500+((AJ37+AS37*(AX$9-1))+500)*$AY$10</f>
        <v>1627.66246144</v>
      </c>
      <c r="AN37" s="161">
        <f>(AK37+AT37*(AX$9-1))+500+((AK37+AT37*(AX$9-1))+500)*$AY$10</f>
        <v>1693.0738030079999</v>
      </c>
      <c r="AO37" s="161">
        <f>(AL37+AU37*(AX$9-1))+500+((AL37+AU37*(AX$9-1))+500)*$AY$10</f>
        <v>1686.2687454719996</v>
      </c>
      <c r="AP37" s="162">
        <v>8.65</v>
      </c>
      <c r="AQ37" s="163">
        <v>9.18</v>
      </c>
      <c r="AR37" s="163">
        <v>9.1199999999999992</v>
      </c>
      <c r="AS37" s="160">
        <f>(((((1+20/100)*$AP37)*(1+20/100)))*(1+20/100))*(1+20/100)*(1+20/100)</f>
        <v>21.523968</v>
      </c>
      <c r="AT37" s="161">
        <f>(((((1+20/100)*$AQ37)*(1+20/100)))*(1+20/100))*(1+20/100)*(1+20/100)</f>
        <v>22.842777599999998</v>
      </c>
      <c r="AU37" s="161">
        <f>(((((1+20/100)*$AR37)*(1+20/100)))*(1+20/100))*(1+20/100)*(1+20/100)</f>
        <v>22.693478399999993</v>
      </c>
    </row>
    <row r="38" spans="1:47" ht="14.25" customHeight="1" x14ac:dyDescent="0.25">
      <c r="A38" s="39" t="s">
        <v>211</v>
      </c>
      <c r="B38" s="154" t="s">
        <v>333</v>
      </c>
      <c r="C38" s="155" t="s">
        <v>298</v>
      </c>
      <c r="D38" s="176" t="str">
        <f>IF(ISNUMBER(MATCH(Table15[[#This Row],[General]],COVENANTS!$A$2:$A$100,0)), "Y","N")</f>
        <v>N</v>
      </c>
      <c r="E38" s="176" t="str">
        <f>IF(ISNUMBER(MATCH(Table15[[#This Row],[General]],COVENANTS!$B$2:$B$100,0)), "Y","N")</f>
        <v>N</v>
      </c>
      <c r="F38" s="176" t="str">
        <f>IF(ISNUMBER(MATCH(Table15[[#This Row],[General]],COVENANTS!$C$2:$C$100,0)), "Y","N")</f>
        <v>N</v>
      </c>
      <c r="G38" s="176" t="str">
        <f>IF(ISNUMBER(MATCH(Table15[[#This Row],[General]],COVENANTS!$D$2:$D$100,0)), "Y","N")</f>
        <v>N</v>
      </c>
      <c r="H38" s="122">
        <v>25</v>
      </c>
      <c r="I38" s="123">
        <v>25</v>
      </c>
      <c r="J38" s="123">
        <v>25</v>
      </c>
      <c r="K38" s="123">
        <v>12</v>
      </c>
      <c r="L38" s="156">
        <v>40</v>
      </c>
      <c r="M38" s="157">
        <v>25</v>
      </c>
      <c r="N38" s="157">
        <v>25</v>
      </c>
      <c r="O38" s="157">
        <v>0</v>
      </c>
      <c r="P38" s="156">
        <v>95</v>
      </c>
      <c r="Q38" s="157">
        <v>95</v>
      </c>
      <c r="R38" s="157">
        <v>90</v>
      </c>
      <c r="S38" s="157">
        <v>0</v>
      </c>
      <c r="T38" s="156">
        <v>50</v>
      </c>
      <c r="U38" s="157">
        <v>50</v>
      </c>
      <c r="V38" s="157">
        <v>40</v>
      </c>
      <c r="W38" s="157">
        <v>0</v>
      </c>
      <c r="X38" s="156">
        <v>0</v>
      </c>
      <c r="Y38" s="157">
        <v>0</v>
      </c>
      <c r="Z38" s="157">
        <v>0</v>
      </c>
      <c r="AA38" s="157">
        <v>0</v>
      </c>
      <c r="AB38" s="158">
        <f>900*0.1+(AM38-900)*0.2</f>
        <v>249.23592535039998</v>
      </c>
      <c r="AC38" s="159">
        <f>900*0.1+(AN38-900)*0.2</f>
        <v>242.70220881919997</v>
      </c>
      <c r="AD38" s="159">
        <f>900*0.1+(AO38-900)*0.2</f>
        <v>246.99724334079997</v>
      </c>
      <c r="AE38" s="156">
        <f>P38+T38+X38+AB38</f>
        <v>394.23592535039995</v>
      </c>
      <c r="AF38" s="157">
        <f>Q38+U38+Y38+AC38</f>
        <v>387.7022088192</v>
      </c>
      <c r="AG38" s="157">
        <f>R38+V38+Z38+AD38</f>
        <v>376.99724334079997</v>
      </c>
      <c r="AH38" s="157">
        <f>S38+W38+AA38</f>
        <v>0</v>
      </c>
      <c r="AI38" s="298">
        <f>(AW$2*(AH38/100)+AW$2+AW$3)*(AX$2*(AE38/100)+AX$2+AX$3)-AY$2</f>
        <v>59610273571.159302</v>
      </c>
      <c r="AJ38" s="156">
        <v>119</v>
      </c>
      <c r="AK38" s="157">
        <v>116</v>
      </c>
      <c r="AL38" s="157">
        <v>117</v>
      </c>
      <c r="AM38" s="160">
        <f>(AJ38+AS38*(AX$9-1))+500+((AJ38+AS38*(AX$9-1))+500)*$AY$10</f>
        <v>1696.1796267519999</v>
      </c>
      <c r="AN38" s="161">
        <f>(AK38+AT38*(AX$9-1))+500+((AK38+AT38*(AX$9-1))+500)*$AY$10</f>
        <v>1663.5110440959998</v>
      </c>
      <c r="AO38" s="161">
        <f>(AL38+AU38*(AX$9-1))+500+((AL38+AU38*(AX$9-1))+500)*$AY$10</f>
        <v>1684.9862167039998</v>
      </c>
      <c r="AP38" s="162">
        <v>9.17</v>
      </c>
      <c r="AQ38" s="163">
        <v>8.91</v>
      </c>
      <c r="AR38" s="163">
        <v>9.09</v>
      </c>
      <c r="AS38" s="160">
        <f>(((((1+20/100)*$AP38)*(1+20/100)))*(1+20/100))*(1+20/100)*(1+20/100)</f>
        <v>22.817894399999997</v>
      </c>
      <c r="AT38" s="161">
        <f>(((((1+20/100)*$AQ38)*(1+20/100)))*(1+20/100))*(1+20/100)*(1+20/100)</f>
        <v>22.170931199999995</v>
      </c>
      <c r="AU38" s="161">
        <f>(((((1+20/100)*$AR38)*(1+20/100)))*(1+20/100))*(1+20/100)*(1+20/100)</f>
        <v>22.618828799999996</v>
      </c>
    </row>
    <row r="39" spans="1:47" ht="14.25" customHeight="1" x14ac:dyDescent="0.25">
      <c r="A39" s="39" t="s">
        <v>212</v>
      </c>
      <c r="B39" s="154" t="s">
        <v>332</v>
      </c>
      <c r="C39" s="164" t="s">
        <v>162</v>
      </c>
      <c r="D39" s="176" t="str">
        <f>IF(ISNUMBER(MATCH(Table15[[#This Row],[General]],COVENANTS!$A$2:$A$100,0)), "Y","N")</f>
        <v>N</v>
      </c>
      <c r="E39" s="176" t="str">
        <f>IF(ISNUMBER(MATCH(Table15[[#This Row],[General]],COVENANTS!$B$2:$B$100,0)), "Y","N")</f>
        <v>Y</v>
      </c>
      <c r="F39" s="176" t="str">
        <f>IF(ISNUMBER(MATCH(Table15[[#This Row],[General]],COVENANTS!$C$2:$C$100,0)), "Y","N")</f>
        <v>N</v>
      </c>
      <c r="G39" s="176" t="str">
        <f>IF(ISNUMBER(MATCH(Table15[[#This Row],[General]],COVENANTS!$D$2:$D$100,0)), "Y","N")</f>
        <v>Y</v>
      </c>
      <c r="H39" s="122">
        <v>25</v>
      </c>
      <c r="I39" s="123">
        <v>25</v>
      </c>
      <c r="J39" s="123">
        <v>25</v>
      </c>
      <c r="K39" s="123">
        <v>12</v>
      </c>
      <c r="L39" s="156">
        <v>35</v>
      </c>
      <c r="M39" s="157">
        <v>0</v>
      </c>
      <c r="N39" s="157">
        <v>0</v>
      </c>
      <c r="O39" s="157">
        <v>0</v>
      </c>
      <c r="P39" s="156">
        <v>45</v>
      </c>
      <c r="Q39" s="157">
        <v>20</v>
      </c>
      <c r="R39" s="157">
        <v>15</v>
      </c>
      <c r="S39" s="157">
        <v>14</v>
      </c>
      <c r="T39" s="156">
        <v>51</v>
      </c>
      <c r="U39" s="157">
        <v>0</v>
      </c>
      <c r="V39" s="157">
        <v>10</v>
      </c>
      <c r="W39" s="157">
        <v>0</v>
      </c>
      <c r="X39" s="156">
        <v>0</v>
      </c>
      <c r="Y39" s="157">
        <v>0</v>
      </c>
      <c r="Z39" s="157">
        <v>0</v>
      </c>
      <c r="AA39" s="157">
        <v>0</v>
      </c>
      <c r="AB39" s="158">
        <f>900*0.1+(AM39-900)*0.2</f>
        <v>237.07583329279993</v>
      </c>
      <c r="AC39" s="159">
        <f>900*0.1+(AN39-900)*0.2</f>
        <v>240.26636206079993</v>
      </c>
      <c r="AD39" s="159">
        <f>900*0.1+(AO39-900)*0.2</f>
        <v>248.6592663552</v>
      </c>
      <c r="AE39" s="156">
        <f>P39+T39+X39+AB39</f>
        <v>333.07583329279993</v>
      </c>
      <c r="AF39" s="157">
        <f>Q39+U39+Y39+AC39</f>
        <v>260.26636206079991</v>
      </c>
      <c r="AG39" s="157">
        <f>R39+V39+Z39+AD39</f>
        <v>273.65926635519997</v>
      </c>
      <c r="AH39" s="157">
        <f>S39+W39+AA39</f>
        <v>14</v>
      </c>
      <c r="AI39" s="298">
        <f>(AW$2*(AH39/100)+AW$2+AW$3)*(AX$2*(AE39/100)+AX$2+AX$3)-AY$2</f>
        <v>59512607775.177063</v>
      </c>
      <c r="AJ39" s="156">
        <v>113</v>
      </c>
      <c r="AK39" s="157">
        <v>112</v>
      </c>
      <c r="AL39" s="157">
        <v>112</v>
      </c>
      <c r="AM39" s="160">
        <f>(AJ39+AS39*(AX$9-1))+500+((AJ39+AS39*(AX$9-1))+500)*$AY$10</f>
        <v>1635.3791664639996</v>
      </c>
      <c r="AN39" s="161">
        <f>(AK39+AT39*(AX$9-1))+500+((AK39+AT39*(AX$9-1))+500)*$AY$10</f>
        <v>1651.3318103039996</v>
      </c>
      <c r="AO39" s="161">
        <f>(AL39+AU39*(AX$9-1))+500+((AL39+AU39*(AX$9-1))+500)*$AY$10</f>
        <v>1693.296331776</v>
      </c>
      <c r="AP39" s="162">
        <v>8.69</v>
      </c>
      <c r="AQ39" s="163">
        <v>8.84</v>
      </c>
      <c r="AR39" s="163">
        <v>9.2100000000000009</v>
      </c>
      <c r="AS39" s="160">
        <f>(((((1+20/100)*$AP39)*(1+20/100)))*(1+20/100))*(1+20/100)*(1+20/100)</f>
        <v>21.623500799999992</v>
      </c>
      <c r="AT39" s="161">
        <f>(((((1+20/100)*$AQ39)*(1+20/100)))*(1+20/100))*(1+20/100)*(1+20/100)</f>
        <v>21.996748799999995</v>
      </c>
      <c r="AU39" s="161">
        <f>(((((1+20/100)*$AR39)*(1+20/100)))*(1+20/100))*(1+20/100)*(1+20/100)</f>
        <v>22.917427199999999</v>
      </c>
    </row>
    <row r="40" spans="1:47" ht="14.25" customHeight="1" x14ac:dyDescent="0.25">
      <c r="A40" s="39" t="s">
        <v>213</v>
      </c>
      <c r="B40" s="154" t="s">
        <v>333</v>
      </c>
      <c r="C40" s="155" t="s">
        <v>303</v>
      </c>
      <c r="D40" s="176" t="str">
        <f>IF(ISNUMBER(MATCH(Table15[[#This Row],[General]],COVENANTS!$A$2:$A$100,0)), "Y","N")</f>
        <v>N</v>
      </c>
      <c r="E40" s="176" t="str">
        <f>IF(ISNUMBER(MATCH(Table15[[#This Row],[General]],COVENANTS!$B$2:$B$100,0)), "Y","N")</f>
        <v>N</v>
      </c>
      <c r="F40" s="176" t="str">
        <f>IF(ISNUMBER(MATCH(Table15[[#This Row],[General]],COVENANTS!$C$2:$C$100,0)), "Y","N")</f>
        <v>Y</v>
      </c>
      <c r="G40" s="176" t="str">
        <f>IF(ISNUMBER(MATCH(Table15[[#This Row],[General]],COVENANTS!$D$2:$D$100,0)), "Y","N")</f>
        <v>N</v>
      </c>
      <c r="H40" s="122">
        <v>25</v>
      </c>
      <c r="I40" s="123">
        <v>25</v>
      </c>
      <c r="J40" s="123">
        <v>25</v>
      </c>
      <c r="K40" s="123">
        <v>12</v>
      </c>
      <c r="L40" s="156">
        <v>15</v>
      </c>
      <c r="M40" s="157">
        <v>0</v>
      </c>
      <c r="N40" s="157">
        <v>0</v>
      </c>
      <c r="O40" s="157">
        <v>0</v>
      </c>
      <c r="P40" s="156">
        <v>30</v>
      </c>
      <c r="Q40" s="157">
        <v>20</v>
      </c>
      <c r="R40" s="157">
        <v>20</v>
      </c>
      <c r="S40" s="157">
        <v>14</v>
      </c>
      <c r="T40" s="156">
        <v>40</v>
      </c>
      <c r="U40" s="157">
        <v>20</v>
      </c>
      <c r="V40" s="157">
        <v>10</v>
      </c>
      <c r="W40" s="157">
        <v>6</v>
      </c>
      <c r="X40" s="156">
        <v>0</v>
      </c>
      <c r="Y40" s="157">
        <v>0</v>
      </c>
      <c r="Z40" s="157">
        <v>0</v>
      </c>
      <c r="AA40" s="157">
        <v>0</v>
      </c>
      <c r="AB40" s="158">
        <f>900*0.1+(AM40-900)*0.2</f>
        <v>237.7563390464</v>
      </c>
      <c r="AC40" s="159">
        <f>900*0.1+(AN40-900)*0.2</f>
        <v>235.95649228799999</v>
      </c>
      <c r="AD40" s="159">
        <f>900*0.1+(AO40-900)*0.2</f>
        <v>238.40717429759999</v>
      </c>
      <c r="AE40" s="156">
        <f>P40+T40+X40+AB40</f>
        <v>307.7563390464</v>
      </c>
      <c r="AF40" s="157">
        <f>Q40+U40+Y40+AC40</f>
        <v>275.95649228799999</v>
      </c>
      <c r="AG40" s="157">
        <f>R40+V40+Z40+AD40</f>
        <v>268.40717429760002</v>
      </c>
      <c r="AH40" s="157">
        <f>S40+W40+AA40</f>
        <v>20</v>
      </c>
      <c r="AI40" s="298">
        <f>(AW$2*(AH40/100)+AW$2+AW$3)*(AX$2*(AE40/100)+AX$2+AX$3)-AY$2</f>
        <v>59469595066.17804</v>
      </c>
      <c r="AJ40" s="156">
        <v>113</v>
      </c>
      <c r="AK40" s="157">
        <v>112</v>
      </c>
      <c r="AL40" s="157">
        <v>115</v>
      </c>
      <c r="AM40" s="160">
        <f>(AJ40+AS40*(AX$9-1))+500+((AJ40+AS40*(AX$9-1))+500)*$AY$10</f>
        <v>1638.7816952319999</v>
      </c>
      <c r="AN40" s="161">
        <f>(AK40+AT40*(AX$9-1))+500+((AK40+AT40*(AX$9-1))+500)*$AY$10</f>
        <v>1629.7824614399999</v>
      </c>
      <c r="AO40" s="161">
        <f>(AL40+AU40*(AX$9-1))+500+((AL40+AU40*(AX$9-1))+500)*$AY$10</f>
        <v>1642.0358714879999</v>
      </c>
      <c r="AP40" s="162">
        <v>8.7200000000000006</v>
      </c>
      <c r="AQ40" s="163">
        <v>8.65</v>
      </c>
      <c r="AR40" s="163">
        <v>8.73</v>
      </c>
      <c r="AS40" s="160">
        <f>(((((1+20/100)*$AP40)*(1+20/100)))*(1+20/100))*(1+20/100)*(1+20/100)</f>
        <v>21.698150399999999</v>
      </c>
      <c r="AT40" s="161">
        <f>(((((1+20/100)*$AQ40)*(1+20/100)))*(1+20/100))*(1+20/100)*(1+20/100)</f>
        <v>21.523968</v>
      </c>
      <c r="AU40" s="161">
        <f>(((((1+20/100)*$AR40)*(1+20/100)))*(1+20/100))*(1+20/100)*(1+20/100)</f>
        <v>21.723033599999997</v>
      </c>
    </row>
    <row r="41" spans="1:47" ht="14.25" customHeight="1" x14ac:dyDescent="0.25">
      <c r="A41" s="39" t="s">
        <v>214</v>
      </c>
      <c r="B41" s="154" t="s">
        <v>332</v>
      </c>
      <c r="C41" s="164" t="s">
        <v>163</v>
      </c>
      <c r="D41" s="176" t="str">
        <f>IF(ISNUMBER(MATCH(Table15[[#This Row],[General]],COVENANTS!$A$2:$A$100,0)), "Y","N")</f>
        <v>N</v>
      </c>
      <c r="E41" s="176" t="str">
        <f>IF(ISNUMBER(MATCH(Table15[[#This Row],[General]],COVENANTS!$B$2:$B$100,0)), "Y","N")</f>
        <v>N</v>
      </c>
      <c r="F41" s="176" t="str">
        <f>IF(ISNUMBER(MATCH(Table15[[#This Row],[General]],COVENANTS!$C$2:$C$100,0)), "Y","N")</f>
        <v>Y</v>
      </c>
      <c r="G41" s="176" t="str">
        <f>IF(ISNUMBER(MATCH(Table15[[#This Row],[General]],COVENANTS!$D$2:$D$100,0)), "Y","N")</f>
        <v>N</v>
      </c>
      <c r="H41" s="122">
        <v>25</v>
      </c>
      <c r="I41" s="123">
        <v>25</v>
      </c>
      <c r="J41" s="123">
        <v>25</v>
      </c>
      <c r="K41" s="123">
        <v>12</v>
      </c>
      <c r="L41" s="156">
        <v>30</v>
      </c>
      <c r="M41" s="157">
        <v>0</v>
      </c>
      <c r="N41" s="157">
        <v>0</v>
      </c>
      <c r="O41" s="157">
        <v>0</v>
      </c>
      <c r="P41" s="156">
        <v>55</v>
      </c>
      <c r="Q41" s="157">
        <v>20</v>
      </c>
      <c r="R41" s="157">
        <v>30</v>
      </c>
      <c r="S41" s="157">
        <v>0</v>
      </c>
      <c r="T41" s="156">
        <v>65</v>
      </c>
      <c r="U41" s="157">
        <v>20</v>
      </c>
      <c r="V41" s="157">
        <v>10</v>
      </c>
      <c r="W41" s="157">
        <v>6</v>
      </c>
      <c r="X41" s="156">
        <v>0</v>
      </c>
      <c r="Y41" s="157">
        <v>0</v>
      </c>
      <c r="Z41" s="157">
        <v>0</v>
      </c>
      <c r="AA41" s="157">
        <v>0</v>
      </c>
      <c r="AB41" s="158">
        <f>900*0.1+(AM41-900)*0.2</f>
        <v>235.72965703679998</v>
      </c>
      <c r="AC41" s="159">
        <f>900*0.1+(AN41-900)*0.2</f>
        <v>241.79486781439991</v>
      </c>
      <c r="AD41" s="159">
        <f>900*0.1+(AO41-900)*0.2</f>
        <v>245.63623183359996</v>
      </c>
      <c r="AE41" s="156">
        <f>P41+T41+X41+AB41</f>
        <v>355.72965703679995</v>
      </c>
      <c r="AF41" s="157">
        <f>Q41+U41+Y41+AC41</f>
        <v>281.79486781439994</v>
      </c>
      <c r="AG41" s="157">
        <f>R41+V41+Z41+AD41</f>
        <v>285.63623183359994</v>
      </c>
      <c r="AH41" s="157">
        <f>S41+W41+AA41</f>
        <v>6</v>
      </c>
      <c r="AI41" s="298">
        <f>(AW$2*(AH41/100)+AW$2+AW$3)*(AX$2*(AE41/100)+AX$2+AX$3)-AY$2</f>
        <v>57745898431.336121</v>
      </c>
      <c r="AJ41" s="156">
        <v>112</v>
      </c>
      <c r="AK41" s="157">
        <v>116</v>
      </c>
      <c r="AL41" s="157">
        <v>117</v>
      </c>
      <c r="AM41" s="160">
        <f>(AJ41+AS41*(AX$9-1))+500+((AJ41+AS41*(AX$9-1))+500)*$AY$10</f>
        <v>1628.6482851839999</v>
      </c>
      <c r="AN41" s="161">
        <f>(AK41+AT41*(AX$9-1))+500+((AK41+AT41*(AX$9-1))+500)*$AY$10</f>
        <v>1658.9743390719996</v>
      </c>
      <c r="AO41" s="161">
        <f>(AL41+AU41*(AX$9-1))+500+((AL41+AU41*(AX$9-1))+500)*$AY$10</f>
        <v>1678.1811591679998</v>
      </c>
      <c r="AP41" s="162">
        <v>8.64</v>
      </c>
      <c r="AQ41" s="163">
        <v>8.8699999999999992</v>
      </c>
      <c r="AR41" s="163">
        <v>9.0299999999999994</v>
      </c>
      <c r="AS41" s="160">
        <f>(((((1+20/100)*$AP41)*(1+20/100)))*(1+20/100))*(1+20/100)*(1+20/100)</f>
        <v>21.499084799999995</v>
      </c>
      <c r="AT41" s="161">
        <f>(((((1+20/100)*$AQ41)*(1+20/100)))*(1+20/100))*(1+20/100)*(1+20/100)</f>
        <v>22.071398399999993</v>
      </c>
      <c r="AU41" s="161">
        <f>(((((1+20/100)*$AR41)*(1+20/100)))*(1+20/100))*(1+20/100)*(1+20/100)</f>
        <v>22.469529599999994</v>
      </c>
    </row>
    <row r="42" spans="1:47" ht="14.25" customHeight="1" x14ac:dyDescent="0.25">
      <c r="A42" s="39" t="s">
        <v>215</v>
      </c>
      <c r="B42" s="154" t="s">
        <v>333</v>
      </c>
      <c r="C42" s="155" t="s">
        <v>640</v>
      </c>
      <c r="D42" s="176" t="str">
        <f>IF(ISNUMBER(MATCH(Table15[[#This Row],[General]],COVENANTS!$A$2:$A$100,0)), "Y","N")</f>
        <v>N</v>
      </c>
      <c r="E42" s="176" t="str">
        <f>IF(ISNUMBER(MATCH(Table15[[#This Row],[General]],COVENANTS!$B$2:$B$100,0)), "Y","N")</f>
        <v>Y</v>
      </c>
      <c r="F42" s="176" t="str">
        <f>IF(ISNUMBER(MATCH(Table15[[#This Row],[General]],COVENANTS!$C$2:$C$100,0)), "Y","N")</f>
        <v>N</v>
      </c>
      <c r="G42" s="176" t="str">
        <f>IF(ISNUMBER(MATCH(Table15[[#This Row],[General]],COVENANTS!$D$2:$D$100,0)), "Y","N")</f>
        <v>N</v>
      </c>
      <c r="H42" s="122">
        <v>0</v>
      </c>
      <c r="I42" s="123">
        <v>25</v>
      </c>
      <c r="J42" s="123">
        <v>25</v>
      </c>
      <c r="K42" s="123">
        <v>12</v>
      </c>
      <c r="L42" s="156">
        <v>40</v>
      </c>
      <c r="M42" s="157">
        <v>0</v>
      </c>
      <c r="N42" s="157">
        <v>0</v>
      </c>
      <c r="O42" s="157">
        <v>0</v>
      </c>
      <c r="P42" s="156">
        <v>65</v>
      </c>
      <c r="Q42" s="157">
        <v>20</v>
      </c>
      <c r="R42" s="157">
        <v>30</v>
      </c>
      <c r="S42" s="157">
        <v>0</v>
      </c>
      <c r="T42" s="156">
        <v>76</v>
      </c>
      <c r="U42" s="157">
        <v>10</v>
      </c>
      <c r="V42" s="157">
        <v>20</v>
      </c>
      <c r="W42" s="157">
        <v>0</v>
      </c>
      <c r="X42" s="156">
        <v>0</v>
      </c>
      <c r="Y42" s="157">
        <v>0</v>
      </c>
      <c r="Z42" s="157">
        <v>0</v>
      </c>
      <c r="AA42" s="157">
        <v>0</v>
      </c>
      <c r="AB42" s="158">
        <f>900*0.1+(AM42-900)*0.2</f>
        <v>232.99279877119997</v>
      </c>
      <c r="AC42" s="159">
        <f>900*0.1+(AN42-900)*0.2</f>
        <v>239.73851530239995</v>
      </c>
      <c r="AD42" s="159">
        <f>900*0.1+(AO42-900)*0.2</f>
        <v>244.57623183359999</v>
      </c>
      <c r="AE42" s="156">
        <f>P42+T42+X42+AB42</f>
        <v>373.9927987712</v>
      </c>
      <c r="AF42" s="157">
        <f>Q42+U42+Y42+AC42</f>
        <v>269.73851530239995</v>
      </c>
      <c r="AG42" s="157">
        <f>R42+V42+Z42+AD42</f>
        <v>294.57623183359999</v>
      </c>
      <c r="AH42" s="157">
        <f>S42+W42+AA42</f>
        <v>0</v>
      </c>
      <c r="AI42" s="298">
        <f>(AW$2*(AH42/100)+AW$2+AW$3)*(AX$2*(AE42/100)+AX$2+AX$3)-AY$2</f>
        <v>56549420321.295776</v>
      </c>
      <c r="AJ42" s="156">
        <v>113</v>
      </c>
      <c r="AK42" s="157">
        <v>117</v>
      </c>
      <c r="AL42" s="157">
        <v>112</v>
      </c>
      <c r="AM42" s="160">
        <f>(AJ42+AS42*(AX$9-1))+500+((AJ42+AS42*(AX$9-1))+500)*$AY$10</f>
        <v>1614.9639938559999</v>
      </c>
      <c r="AN42" s="161">
        <f>(AK42+AT42*(AX$9-1))+500+((AK42+AT42*(AX$9-1))+500)*$AY$10</f>
        <v>1648.6925765119997</v>
      </c>
      <c r="AO42" s="161">
        <f>(AL42+AU42*(AX$9-1))+500+((AL42+AU42*(AX$9-1))+500)*$AY$10</f>
        <v>1672.8811591679998</v>
      </c>
      <c r="AP42" s="162">
        <v>8.51</v>
      </c>
      <c r="AQ42" s="163">
        <v>8.77</v>
      </c>
      <c r="AR42" s="163">
        <v>9.0299999999999994</v>
      </c>
      <c r="AS42" s="160">
        <f>(((((1+20/100)*$AP42)*(1+20/100)))*(1+20/100))*(1+20/100)*(1+20/100)</f>
        <v>21.175603199999998</v>
      </c>
      <c r="AT42" s="161">
        <f>(((((1+20/100)*$AQ42)*(1+20/100)))*(1+20/100))*(1+20/100)*(1+20/100)</f>
        <v>21.822566399999992</v>
      </c>
      <c r="AU42" s="161">
        <f>(((((1+20/100)*$AR42)*(1+20/100)))*(1+20/100))*(1+20/100)*(1+20/100)</f>
        <v>22.469529599999994</v>
      </c>
    </row>
    <row r="43" spans="1:47" ht="14.25" customHeight="1" x14ac:dyDescent="0.25">
      <c r="A43" s="39" t="s">
        <v>216</v>
      </c>
      <c r="B43" s="154" t="s">
        <v>333</v>
      </c>
      <c r="C43" s="164" t="s">
        <v>297</v>
      </c>
      <c r="D43" s="176" t="str">
        <f>IF(ISNUMBER(MATCH(Table15[[#This Row],[General]],COVENANTS!$A$2:$A$100,0)), "Y","N")</f>
        <v>N</v>
      </c>
      <c r="E43" s="176" t="str">
        <f>IF(ISNUMBER(MATCH(Table15[[#This Row],[General]],COVENANTS!$B$2:$B$100,0)), "Y","N")</f>
        <v>Y</v>
      </c>
      <c r="F43" s="176" t="str">
        <f>IF(ISNUMBER(MATCH(Table15[[#This Row],[General]],COVENANTS!$C$2:$C$100,0)), "Y","N")</f>
        <v>N</v>
      </c>
      <c r="G43" s="176" t="str">
        <f>IF(ISNUMBER(MATCH(Table15[[#This Row],[General]],COVENANTS!$D$2:$D$100,0)), "Y","N")</f>
        <v>N</v>
      </c>
      <c r="H43" s="122">
        <v>0</v>
      </c>
      <c r="I43" s="123">
        <v>25</v>
      </c>
      <c r="J43" s="123">
        <v>25</v>
      </c>
      <c r="K43" s="123">
        <v>12</v>
      </c>
      <c r="L43" s="156">
        <v>25</v>
      </c>
      <c r="M43" s="157">
        <v>0</v>
      </c>
      <c r="N43" s="157">
        <v>0</v>
      </c>
      <c r="O43" s="157">
        <v>0</v>
      </c>
      <c r="P43" s="156">
        <v>55</v>
      </c>
      <c r="Q43" s="157">
        <v>0</v>
      </c>
      <c r="R43" s="157">
        <v>0</v>
      </c>
      <c r="S43" s="157">
        <v>10</v>
      </c>
      <c r="T43" s="156">
        <v>46</v>
      </c>
      <c r="U43" s="157">
        <v>10</v>
      </c>
      <c r="V43" s="157">
        <v>46</v>
      </c>
      <c r="W43" s="157">
        <v>0</v>
      </c>
      <c r="X43" s="156">
        <v>0</v>
      </c>
      <c r="Y43" s="157">
        <v>0</v>
      </c>
      <c r="Z43" s="157">
        <v>0</v>
      </c>
      <c r="AA43" s="157">
        <v>0</v>
      </c>
      <c r="AB43" s="158">
        <f>900*0.1+(AM43-900)*0.2</f>
        <v>229.42277575679995</v>
      </c>
      <c r="AC43" s="159">
        <f>900*0.1+(AN43-900)*0.2</f>
        <v>240.88752680960002</v>
      </c>
      <c r="AD43" s="159">
        <f>900*0.1+(AO43-900)*0.2</f>
        <v>242.77638507519995</v>
      </c>
      <c r="AE43" s="156">
        <f>P43+T43+X43+AB43</f>
        <v>330.42277575679998</v>
      </c>
      <c r="AF43" s="157">
        <f>Q43+U43+Y43+AC43</f>
        <v>250.88752680960002</v>
      </c>
      <c r="AG43" s="157">
        <f>R43+V43+Z43+AD43</f>
        <v>288.77638507519998</v>
      </c>
      <c r="AH43" s="157">
        <f>S43+W43+AA43</f>
        <v>10</v>
      </c>
      <c r="AI43" s="298">
        <f>(AW$2*(AH43/100)+AW$2+AW$3)*(AX$2*(AE43/100)+AX$2+AX$3)-AY$2</f>
        <v>56490035386.751282</v>
      </c>
      <c r="AJ43" s="156">
        <v>109</v>
      </c>
      <c r="AK43" s="157">
        <v>116</v>
      </c>
      <c r="AL43" s="157">
        <v>111</v>
      </c>
      <c r="AM43" s="160">
        <f>(AJ43+AS43*(AX$9-1))+500+((AJ43+AS43*(AX$9-1))+500)*$AY$10</f>
        <v>1597.1138787839998</v>
      </c>
      <c r="AN43" s="161">
        <f>(AK43+AT43*(AX$9-1))+500+((AK43+AT43*(AX$9-1))+500)*$AY$10</f>
        <v>1654.4376340480001</v>
      </c>
      <c r="AO43" s="161">
        <f>(AL43+AU43*(AX$9-1))+500+((AL43+AU43*(AX$9-1))+500)*$AY$10</f>
        <v>1663.8819253759998</v>
      </c>
      <c r="AP43" s="162">
        <v>8.39</v>
      </c>
      <c r="AQ43" s="163">
        <v>8.83</v>
      </c>
      <c r="AR43" s="163">
        <v>8.9600000000000009</v>
      </c>
      <c r="AS43" s="160">
        <f>(((((1+20/100)*$AP43)*(1+20/100)))*(1+20/100))*(1+20/100)*(1+20/100)</f>
        <v>20.877004799999998</v>
      </c>
      <c r="AT43" s="161">
        <f>(((((1+20/100)*$AQ43)*(1+20/100)))*(1+20/100))*(1+20/100)*(1+20/100)</f>
        <v>21.971865599999997</v>
      </c>
      <c r="AU43" s="161">
        <f>(((((1+20/100)*$AR43)*(1+20/100)))*(1+20/100))*(1+20/100)*(1+20/100)</f>
        <v>22.295347199999998</v>
      </c>
    </row>
    <row r="44" spans="1:47" ht="14.25" customHeight="1" x14ac:dyDescent="0.25">
      <c r="A44" s="39" t="s">
        <v>217</v>
      </c>
      <c r="B44" s="154" t="s">
        <v>333</v>
      </c>
      <c r="C44" s="155" t="s">
        <v>165</v>
      </c>
      <c r="D44" s="176" t="str">
        <f>IF(ISNUMBER(MATCH(Table15[[#This Row],[General]],COVENANTS!$A$2:$A$100,0)), "Y","N")</f>
        <v>N</v>
      </c>
      <c r="E44" s="176" t="str">
        <f>IF(ISNUMBER(MATCH(Table15[[#This Row],[General]],COVENANTS!$B$2:$B$100,0)), "Y","N")</f>
        <v>N</v>
      </c>
      <c r="F44" s="176" t="str">
        <f>IF(ISNUMBER(MATCH(Table15[[#This Row],[General]],COVENANTS!$C$2:$C$100,0)), "Y","N")</f>
        <v>N</v>
      </c>
      <c r="G44" s="176" t="str">
        <f>IF(ISNUMBER(MATCH(Table15[[#This Row],[General]],COVENANTS!$D$2:$D$100,0)), "Y","N")</f>
        <v>N</v>
      </c>
      <c r="H44" s="122">
        <v>25</v>
      </c>
      <c r="I44" s="123">
        <v>25</v>
      </c>
      <c r="J44" s="123">
        <v>25</v>
      </c>
      <c r="K44" s="123">
        <v>12</v>
      </c>
      <c r="L44" s="156">
        <v>20</v>
      </c>
      <c r="M44" s="157">
        <v>10</v>
      </c>
      <c r="N44" s="157">
        <v>10</v>
      </c>
      <c r="O44" s="157">
        <v>0</v>
      </c>
      <c r="P44" s="156">
        <v>55</v>
      </c>
      <c r="Q44" s="157">
        <v>35</v>
      </c>
      <c r="R44" s="157">
        <v>30</v>
      </c>
      <c r="S44" s="157">
        <v>10</v>
      </c>
      <c r="T44" s="156">
        <v>30</v>
      </c>
      <c r="U44" s="157">
        <v>20</v>
      </c>
      <c r="V44" s="157">
        <v>30</v>
      </c>
      <c r="W44" s="157">
        <v>0</v>
      </c>
      <c r="X44" s="156">
        <v>0</v>
      </c>
      <c r="Y44" s="157">
        <v>0</v>
      </c>
      <c r="Z44" s="157">
        <v>0</v>
      </c>
      <c r="AA44" s="157">
        <v>0</v>
      </c>
      <c r="AB44" s="158">
        <f>900*0.1+(AM44-900)*0.2</f>
        <v>245.36489082879999</v>
      </c>
      <c r="AC44" s="159">
        <f>900*0.1+(AN44-900)*0.2</f>
        <v>238.01284480000001</v>
      </c>
      <c r="AD44" s="159">
        <f>900*0.1+(AO44-900)*0.2</f>
        <v>245.36489082879999</v>
      </c>
      <c r="AE44" s="156">
        <f>P44+T44+X44+AB44</f>
        <v>330.36489082879996</v>
      </c>
      <c r="AF44" s="157">
        <f>Q44+U44+Y44+AC44</f>
        <v>293.01284480000004</v>
      </c>
      <c r="AG44" s="157">
        <f>R44+V44+Z44+AD44</f>
        <v>305.36489082879996</v>
      </c>
      <c r="AH44" s="157">
        <f>S44+W44+AA44</f>
        <v>10</v>
      </c>
      <c r="AI44" s="298">
        <f>(AW$2*(AH44/100)+AW$2+AW$3)*(AX$2*(AE44/100)+AX$2+AX$3)-AY$2</f>
        <v>56481127430.609924</v>
      </c>
      <c r="AJ44" s="156">
        <v>120</v>
      </c>
      <c r="AK44" s="157">
        <v>111</v>
      </c>
      <c r="AL44" s="157">
        <v>120</v>
      </c>
      <c r="AM44" s="160">
        <f>(AJ44+AS44*(AX$9-1))+500+((AJ44+AS44*(AX$9-1))+500)*$AY$10</f>
        <v>1676.8244541439999</v>
      </c>
      <c r="AN44" s="161">
        <f>(AK44+AT44*(AX$9-1))+500+((AK44+AT44*(AX$9-1))+500)*$AY$10</f>
        <v>1640.064224</v>
      </c>
      <c r="AO44" s="161">
        <f>(AL44+AU44*(AX$9-1))+500+((AL44+AU44*(AX$9-1))+500)*$AY$10</f>
        <v>1676.8244541439999</v>
      </c>
      <c r="AP44" s="162">
        <v>8.99</v>
      </c>
      <c r="AQ44" s="163">
        <v>8.75</v>
      </c>
      <c r="AR44" s="163">
        <v>8.99</v>
      </c>
      <c r="AS44" s="160">
        <f>(((((1+20/100)*$AP44)*(1+20/100)))*(1+20/100))*(1+20/100)*(1+20/100)</f>
        <v>22.369996799999999</v>
      </c>
      <c r="AT44" s="161">
        <f>(((((1+20/100)*$AQ44)*(1+20/100)))*(1+20/100))*(1+20/100)*(1+20/100)</f>
        <v>21.772799999999997</v>
      </c>
      <c r="AU44" s="161">
        <f>(((((1+20/100)*$AR44)*(1+20/100)))*(1+20/100))*(1+20/100)*(1+20/100)</f>
        <v>22.369996799999999</v>
      </c>
    </row>
    <row r="45" spans="1:47" ht="14.25" customHeight="1" x14ac:dyDescent="0.25">
      <c r="A45" s="39" t="s">
        <v>218</v>
      </c>
      <c r="B45" s="154" t="s">
        <v>332</v>
      </c>
      <c r="C45" s="164" t="s">
        <v>166</v>
      </c>
      <c r="D45" s="176" t="str">
        <f>IF(ISNUMBER(MATCH(Table15[[#This Row],[General]],COVENANTS!$A$2:$A$100,0)), "Y","N")</f>
        <v>N</v>
      </c>
      <c r="E45" s="176" t="str">
        <f>IF(ISNUMBER(MATCH(Table15[[#This Row],[General]],COVENANTS!$B$2:$B$100,0)), "Y","N")</f>
        <v>Y</v>
      </c>
      <c r="F45" s="176" t="str">
        <f>IF(ISNUMBER(MATCH(Table15[[#This Row],[General]],COVENANTS!$C$2:$C$100,0)), "Y","N")</f>
        <v>N</v>
      </c>
      <c r="G45" s="176" t="str">
        <f>IF(ISNUMBER(MATCH(Table15[[#This Row],[General]],COVENANTS!$D$2:$D$100,0)), "Y","N")</f>
        <v>N</v>
      </c>
      <c r="H45" s="122">
        <v>25</v>
      </c>
      <c r="I45" s="123">
        <v>25</v>
      </c>
      <c r="J45" s="123">
        <v>25</v>
      </c>
      <c r="K45" s="123">
        <v>0</v>
      </c>
      <c r="L45" s="156">
        <v>0</v>
      </c>
      <c r="M45" s="157">
        <v>0</v>
      </c>
      <c r="N45" s="157">
        <v>0</v>
      </c>
      <c r="O45" s="157">
        <v>15</v>
      </c>
      <c r="P45" s="156">
        <v>15</v>
      </c>
      <c r="Q45" s="157">
        <v>0</v>
      </c>
      <c r="R45" s="157">
        <v>10</v>
      </c>
      <c r="S45" s="157">
        <v>15</v>
      </c>
      <c r="T45" s="156">
        <v>0</v>
      </c>
      <c r="U45" s="157">
        <v>0</v>
      </c>
      <c r="V45" s="157">
        <v>0</v>
      </c>
      <c r="W45" s="157">
        <v>16</v>
      </c>
      <c r="X45" s="156">
        <v>0</v>
      </c>
      <c r="Y45" s="157">
        <v>0</v>
      </c>
      <c r="Z45" s="157">
        <v>0</v>
      </c>
      <c r="AA45" s="157">
        <v>0</v>
      </c>
      <c r="AB45" s="158">
        <f>900*0.1+(AM45-900)*0.2</f>
        <v>217.68668369920002</v>
      </c>
      <c r="AC45" s="159">
        <f>900*0.1+(AN45-900)*0.2</f>
        <v>235.75932753919992</v>
      </c>
      <c r="AD45" s="159">
        <f>900*0.1+(AO45-900)*0.2</f>
        <v>245.84823183360001</v>
      </c>
      <c r="AE45" s="156">
        <f>P45+T45+X45+AB45</f>
        <v>232.68668369920002</v>
      </c>
      <c r="AF45" s="157">
        <f>Q45+U45+Y45+AC45</f>
        <v>235.75932753919992</v>
      </c>
      <c r="AG45" s="157">
        <f>R45+V45+Z45+AD45</f>
        <v>255.84823183360001</v>
      </c>
      <c r="AH45" s="157">
        <f>S45+W45+AA45</f>
        <v>31</v>
      </c>
      <c r="AI45" s="298">
        <f>(AW$2*(AH45/100)+AW$2+AW$3)*(AX$2*(AE45/100)+AX$2+AX$3)-AY$2</f>
        <v>54608085159.697205</v>
      </c>
      <c r="AJ45" s="122">
        <v>105</v>
      </c>
      <c r="AK45" s="123">
        <v>110</v>
      </c>
      <c r="AL45" s="123">
        <v>118</v>
      </c>
      <c r="AM45" s="160">
        <f>(AJ45+AS45*(AX$9-1))+500+((AJ45+AS45*(AX$9-1))+500)*$AY$10</f>
        <v>1538.4334184960001</v>
      </c>
      <c r="AN45" s="161">
        <f>(AK45+AT45*(AX$9-1))+500+((AK45+AT45*(AX$9-1))+500)*$AY$10</f>
        <v>1628.7966376959996</v>
      </c>
      <c r="AO45" s="161">
        <f>(AL45+AU45*(AX$9-1))+500+((AL45+AU45*(AX$9-1))+500)*$AY$10</f>
        <v>1679.241159168</v>
      </c>
      <c r="AP45" s="140">
        <v>7.91</v>
      </c>
      <c r="AQ45" s="141">
        <v>8.66</v>
      </c>
      <c r="AR45" s="141">
        <v>9.0299999999999994</v>
      </c>
      <c r="AS45" s="160">
        <f>(((((1+20/100)*$AP45)*(1+20/100)))*(1+20/100))*(1+20/100)*(1+20/100)</f>
        <v>19.682611199999997</v>
      </c>
      <c r="AT45" s="161">
        <f>(((((1+20/100)*$AQ45)*(1+20/100)))*(1+20/100))*(1+20/100)*(1+20/100)</f>
        <v>21.548851199999994</v>
      </c>
      <c r="AU45" s="161">
        <f>(((((1+20/100)*$AR45)*(1+20/100)))*(1+20/100))*(1+20/100)*(1+20/100)</f>
        <v>22.469529599999994</v>
      </c>
    </row>
    <row r="46" spans="1:47" ht="14.25" customHeight="1" x14ac:dyDescent="0.25">
      <c r="A46" s="39" t="s">
        <v>434</v>
      </c>
      <c r="B46" s="154" t="s">
        <v>333</v>
      </c>
      <c r="C46" s="164" t="s">
        <v>167</v>
      </c>
      <c r="D46" s="176" t="str">
        <f>IF(ISNUMBER(MATCH(Table15[[#This Row],[General]],COVENANTS!$A$2:$A$100,0)), "Y","N")</f>
        <v>N</v>
      </c>
      <c r="E46" s="176" t="str">
        <f>IF(ISNUMBER(MATCH(Table15[[#This Row],[General]],COVENANTS!$B$2:$B$100,0)), "Y","N")</f>
        <v>N</v>
      </c>
      <c r="F46" s="176" t="str">
        <f>IF(ISNUMBER(MATCH(Table15[[#This Row],[General]],COVENANTS!$C$2:$C$100,0)), "Y","N")</f>
        <v>Y</v>
      </c>
      <c r="G46" s="176" t="str">
        <f>IF(ISNUMBER(MATCH(Table15[[#This Row],[General]],COVENANTS!$D$2:$D$100,0)), "Y","N")</f>
        <v>N</v>
      </c>
      <c r="H46" s="122">
        <v>25</v>
      </c>
      <c r="I46" s="123">
        <v>25</v>
      </c>
      <c r="J46" s="123">
        <v>25</v>
      </c>
      <c r="K46" s="123">
        <v>12</v>
      </c>
      <c r="L46" s="156">
        <v>30</v>
      </c>
      <c r="M46" s="157">
        <v>10</v>
      </c>
      <c r="N46" s="157">
        <v>10</v>
      </c>
      <c r="O46" s="157">
        <v>0</v>
      </c>
      <c r="P46" s="156">
        <v>60</v>
      </c>
      <c r="Q46" s="157">
        <v>40</v>
      </c>
      <c r="R46" s="157">
        <v>40</v>
      </c>
      <c r="S46" s="157">
        <v>0</v>
      </c>
      <c r="T46" s="156">
        <v>46</v>
      </c>
      <c r="U46" s="157">
        <v>10</v>
      </c>
      <c r="V46" s="157">
        <v>0</v>
      </c>
      <c r="W46" s="157">
        <v>0</v>
      </c>
      <c r="X46" s="156">
        <v>0</v>
      </c>
      <c r="Y46" s="157">
        <v>0</v>
      </c>
      <c r="Z46" s="157">
        <v>0</v>
      </c>
      <c r="AA46" s="157">
        <v>0</v>
      </c>
      <c r="AB46" s="158">
        <f>900*0.1+(AM46-900)*0.2</f>
        <v>246.30190233599998</v>
      </c>
      <c r="AC46" s="159">
        <f>900*0.1+(AN46-900)*0.2</f>
        <v>240.91719731199996</v>
      </c>
      <c r="AD46" s="159">
        <f>900*0.1+(AO46-900)*0.2</f>
        <v>240.67552680960003</v>
      </c>
      <c r="AE46" s="156">
        <f>P46+T46+X46+AB46</f>
        <v>352.30190233600001</v>
      </c>
      <c r="AF46" s="157">
        <f>Q46+U46+Y46+AC46</f>
        <v>290.91719731199998</v>
      </c>
      <c r="AG46" s="157">
        <f>R46+V46+Z46+AD46</f>
        <v>280.6755268096</v>
      </c>
      <c r="AH46" s="157">
        <f>S46+W46+AA46</f>
        <v>0</v>
      </c>
      <c r="AI46" s="298">
        <f>(AW$2*(AH46/100)+AW$2+AW$3)*(AX$2*(AE46/100)+AX$2+AX$3)-AY$2</f>
        <v>53269657652.896851</v>
      </c>
      <c r="AJ46" s="156">
        <v>118</v>
      </c>
      <c r="AK46" s="157">
        <v>114</v>
      </c>
      <c r="AL46" s="157">
        <v>115</v>
      </c>
      <c r="AM46" s="160">
        <f>(AJ46+AS46*(AX$9-1))+500+((AJ46+AS46*(AX$9-1))+500)*$AY$10</f>
        <v>1681.5095116799998</v>
      </c>
      <c r="AN46" s="161">
        <f>(AK46+AT46*(AX$9-1))+500+((AK46+AT46*(AX$9-1))+500)*$AY$10</f>
        <v>1654.5859865599998</v>
      </c>
      <c r="AO46" s="161">
        <f>(AL46+AU46*(AX$9-1))+500+((AL46+AU46*(AX$9-1))+500)*$AY$10</f>
        <v>1653.3776340480001</v>
      </c>
      <c r="AP46" s="162">
        <v>9.0500000000000007</v>
      </c>
      <c r="AQ46" s="163">
        <v>8.85</v>
      </c>
      <c r="AR46" s="163">
        <v>8.83</v>
      </c>
      <c r="AS46" s="160">
        <f>(((((1+20/100)*$AP46)*(1+20/100)))*(1+20/100))*(1+20/100)*(1+20/100)</f>
        <v>22.519295999999997</v>
      </c>
      <c r="AT46" s="161">
        <f>(((((1+20/100)*$AQ46)*(1+20/100)))*(1+20/100))*(1+20/100)*(1+20/100)</f>
        <v>22.021631999999993</v>
      </c>
      <c r="AU46" s="161">
        <f>(((((1+20/100)*$AR46)*(1+20/100)))*(1+20/100))*(1+20/100)*(1+20/100)</f>
        <v>21.971865599999997</v>
      </c>
    </row>
    <row r="47" spans="1:47" ht="14.25" customHeight="1" x14ac:dyDescent="0.25">
      <c r="A47" s="39" t="s">
        <v>435</v>
      </c>
      <c r="B47" s="154" t="s">
        <v>333</v>
      </c>
      <c r="C47" s="155" t="s">
        <v>168</v>
      </c>
      <c r="D47" s="176" t="str">
        <f>IF(ISNUMBER(MATCH(Table15[[#This Row],[General]],COVENANTS!$A$2:$A$100,0)), "Y","N")</f>
        <v>N</v>
      </c>
      <c r="E47" s="176" t="str">
        <f>IF(ISNUMBER(MATCH(Table15[[#This Row],[General]],COVENANTS!$B$2:$B$100,0)), "Y","N")</f>
        <v>N</v>
      </c>
      <c r="F47" s="176" t="str">
        <f>IF(ISNUMBER(MATCH(Table15[[#This Row],[General]],COVENANTS!$C$2:$C$100,0)), "Y","N")</f>
        <v>N</v>
      </c>
      <c r="G47" s="176" t="str">
        <f>IF(ISNUMBER(MATCH(Table15[[#This Row],[General]],COVENANTS!$D$2:$D$100,0)), "Y","N")</f>
        <v>N</v>
      </c>
      <c r="H47" s="122">
        <v>25</v>
      </c>
      <c r="I47" s="123">
        <v>25</v>
      </c>
      <c r="J47" s="123">
        <v>25</v>
      </c>
      <c r="K47" s="123">
        <v>12</v>
      </c>
      <c r="L47" s="156">
        <v>20</v>
      </c>
      <c r="M47" s="157">
        <v>25</v>
      </c>
      <c r="N47" s="157">
        <v>25</v>
      </c>
      <c r="O47" s="157">
        <v>0</v>
      </c>
      <c r="P47" s="156">
        <v>60</v>
      </c>
      <c r="Q47" s="157">
        <v>45</v>
      </c>
      <c r="R47" s="157">
        <v>45</v>
      </c>
      <c r="S47" s="157">
        <v>0</v>
      </c>
      <c r="T47" s="156">
        <v>50</v>
      </c>
      <c r="U47" s="157">
        <v>10</v>
      </c>
      <c r="V47" s="157">
        <v>20</v>
      </c>
      <c r="W47" s="157">
        <v>0</v>
      </c>
      <c r="X47" s="156">
        <v>0</v>
      </c>
      <c r="Y47" s="157">
        <v>0</v>
      </c>
      <c r="Z47" s="157">
        <v>0</v>
      </c>
      <c r="AA47" s="157">
        <v>0</v>
      </c>
      <c r="AB47" s="158">
        <f>900*0.1+(AM47-900)*0.2</f>
        <v>239.27000954879995</v>
      </c>
      <c r="AC47" s="159">
        <f>900*0.1+(AN47-900)*0.2</f>
        <v>247.36190233600001</v>
      </c>
      <c r="AD47" s="159">
        <f>900*0.1+(AO47-900)*0.2</f>
        <v>242.09587932159999</v>
      </c>
      <c r="AE47" s="156">
        <f>P47+T47+X47+AB47</f>
        <v>349.27000954879998</v>
      </c>
      <c r="AF47" s="157">
        <f>Q47+U47+Y47+AC47</f>
        <v>302.36190233600001</v>
      </c>
      <c r="AG47" s="157">
        <f>R47+V47+Z47+AD47</f>
        <v>307.09587932160002</v>
      </c>
      <c r="AH47" s="157">
        <f>S47+W47+AA47</f>
        <v>0</v>
      </c>
      <c r="AI47" s="298">
        <f>(AW$2*(AH47/100)+AW$2+AW$3)*(AX$2*(AE47/100)+AX$2+AX$3)-AY$2</f>
        <v>52811221607.722168</v>
      </c>
      <c r="AJ47" s="156">
        <v>118</v>
      </c>
      <c r="AK47" s="157">
        <v>123</v>
      </c>
      <c r="AL47" s="157">
        <v>111</v>
      </c>
      <c r="AM47" s="160">
        <f>(AJ47+AS47*(AX$9-1))+500+((AJ47+AS47*(AX$9-1))+500)*$AY$10</f>
        <v>1646.3500477439998</v>
      </c>
      <c r="AN47" s="161">
        <f>(AK47+AT47*(AX$9-1))+500+((AK47+AT47*(AX$9-1))+500)*$AY$10</f>
        <v>1686.80951168</v>
      </c>
      <c r="AO47" s="161">
        <f>(AL47+AU47*(AX$9-1))+500+((AL47+AU47*(AX$9-1))+500)*$AY$10</f>
        <v>1660.4793966079999</v>
      </c>
      <c r="AP47" s="162">
        <v>8.74</v>
      </c>
      <c r="AQ47" s="163">
        <v>9.0500000000000007</v>
      </c>
      <c r="AR47" s="163">
        <v>8.93</v>
      </c>
      <c r="AS47" s="160">
        <f>(((((1+20/100)*$AP47)*(1+20/100)))*(1+20/100))*(1+20/100)*(1+20/100)</f>
        <v>21.747916799999995</v>
      </c>
      <c r="AT47" s="161">
        <f>(((((1+20/100)*$AQ47)*(1+20/100)))*(1+20/100))*(1+20/100)*(1+20/100)</f>
        <v>22.519295999999997</v>
      </c>
      <c r="AU47" s="161">
        <f>(((((1+20/100)*$AR47)*(1+20/100)))*(1+20/100))*(1+20/100)*(1+20/100)</f>
        <v>22.220697599999998</v>
      </c>
    </row>
    <row r="48" spans="1:47" ht="14.25" customHeight="1" x14ac:dyDescent="0.25">
      <c r="A48" s="39" t="s">
        <v>436</v>
      </c>
      <c r="B48" s="154" t="s">
        <v>333</v>
      </c>
      <c r="C48" s="164" t="s">
        <v>302</v>
      </c>
      <c r="D48" s="176" t="str">
        <f>IF(ISNUMBER(MATCH(Table15[[#This Row],[General]],COVENANTS!$A$2:$A$100,0)), "Y","N")</f>
        <v>N</v>
      </c>
      <c r="E48" s="176" t="str">
        <f>IF(ISNUMBER(MATCH(Table15[[#This Row],[General]],COVENANTS!$B$2:$B$100,0)), "Y","N")</f>
        <v>Y</v>
      </c>
      <c r="F48" s="176" t="str">
        <f>IF(ISNUMBER(MATCH(Table15[[#This Row],[General]],COVENANTS!$C$2:$C$100,0)), "Y","N")</f>
        <v>N</v>
      </c>
      <c r="G48" s="176" t="str">
        <f>IF(ISNUMBER(MATCH(Table15[[#This Row],[General]],COVENANTS!$D$2:$D$100,0)), "Y","N")</f>
        <v>N</v>
      </c>
      <c r="H48" s="122">
        <v>25</v>
      </c>
      <c r="I48" s="123">
        <v>25</v>
      </c>
      <c r="J48" s="123">
        <v>25</v>
      </c>
      <c r="K48" s="123">
        <v>12</v>
      </c>
      <c r="L48" s="156">
        <v>15</v>
      </c>
      <c r="M48" s="157">
        <v>0</v>
      </c>
      <c r="N48" s="157">
        <v>0</v>
      </c>
      <c r="O48" s="157">
        <v>0</v>
      </c>
      <c r="P48" s="156">
        <v>40</v>
      </c>
      <c r="Q48" s="157">
        <v>0</v>
      </c>
      <c r="R48" s="157">
        <v>0</v>
      </c>
      <c r="S48" s="157">
        <v>10</v>
      </c>
      <c r="T48" s="156">
        <v>26</v>
      </c>
      <c r="U48" s="157">
        <v>0</v>
      </c>
      <c r="V48" s="157">
        <v>16</v>
      </c>
      <c r="W48" s="157">
        <v>0</v>
      </c>
      <c r="X48" s="156">
        <v>0</v>
      </c>
      <c r="Y48" s="157">
        <v>0</v>
      </c>
      <c r="Z48" s="157">
        <v>0</v>
      </c>
      <c r="AA48" s="157">
        <v>0</v>
      </c>
      <c r="AB48" s="158">
        <f>900*0.1+(AM48-900)*0.2</f>
        <v>237.49983329279991</v>
      </c>
      <c r="AC48" s="159">
        <f>900*0.1+(AN48-900)*0.2</f>
        <v>223.95958799359997</v>
      </c>
      <c r="AD48" s="159">
        <f>900*0.1+(AO48-900)*0.2</f>
        <v>242.17005557759995</v>
      </c>
      <c r="AE48" s="156">
        <f>P48+T48+X48+AB48</f>
        <v>303.49983329279991</v>
      </c>
      <c r="AF48" s="157">
        <f>Q48+U48+Y48+AC48</f>
        <v>223.95958799359997</v>
      </c>
      <c r="AG48" s="157">
        <f>R48+V48+Z48+AD48</f>
        <v>258.17005557759995</v>
      </c>
      <c r="AH48" s="157">
        <f>S48+W48+AA48</f>
        <v>10</v>
      </c>
      <c r="AI48" s="298">
        <f>(AW$2*(AH48/100)+AW$2+AW$3)*(AX$2*(AE48/100)+AX$2+AX$3)-AY$2</f>
        <v>52346843040.300598</v>
      </c>
      <c r="AJ48" s="156">
        <v>115</v>
      </c>
      <c r="AK48" s="157">
        <v>95</v>
      </c>
      <c r="AL48" s="157">
        <v>106</v>
      </c>
      <c r="AM48" s="160">
        <f>(AJ48+AS48*(AX$9-1))+500+((AJ48+AS48*(AX$9-1))+500)*$AY$10</f>
        <v>1637.4991664639995</v>
      </c>
      <c r="AN48" s="161">
        <f>(AK48+AT48*(AX$9-1))+500+((AK48+AT48*(AX$9-1))+500)*$AY$10</f>
        <v>1569.7979399679998</v>
      </c>
      <c r="AO48" s="161">
        <f>(AL48+AU48*(AX$9-1))+500+((AL48+AU48*(AX$9-1))+500)*$AY$10</f>
        <v>1660.8502778879997</v>
      </c>
      <c r="AP48" s="162">
        <v>8.69</v>
      </c>
      <c r="AQ48" s="163">
        <v>8.2799999999999994</v>
      </c>
      <c r="AR48" s="163">
        <v>8.98</v>
      </c>
      <c r="AS48" s="160">
        <f>(((((1+20/100)*$AP48)*(1+20/100)))*(1+20/100))*(1+20/100)*(1+20/100)</f>
        <v>21.623500799999992</v>
      </c>
      <c r="AT48" s="161">
        <f>(((((1+20/100)*$AQ48)*(1+20/100)))*(1+20/100))*(1+20/100)*(1+20/100)</f>
        <v>20.603289599999997</v>
      </c>
      <c r="AU48" s="161">
        <f>(((((1+20/100)*$AR48)*(1+20/100)))*(1+20/100))*(1+20/100)*(1+20/100)</f>
        <v>22.345113599999994</v>
      </c>
    </row>
    <row r="49" spans="1:51" ht="14.25" customHeight="1" x14ac:dyDescent="0.25">
      <c r="A49" s="39" t="s">
        <v>437</v>
      </c>
      <c r="B49" s="154" t="s">
        <v>333</v>
      </c>
      <c r="C49" s="164" t="s">
        <v>169</v>
      </c>
      <c r="D49" s="176" t="str">
        <f>IF(ISNUMBER(MATCH(Table15[[#This Row],[General]],COVENANTS!$A$2:$A$100,0)), "Y","N")</f>
        <v>N</v>
      </c>
      <c r="E49" s="176" t="str">
        <f>IF(ISNUMBER(MATCH(Table15[[#This Row],[General]],COVENANTS!$B$2:$B$100,0)), "Y","N")</f>
        <v>N</v>
      </c>
      <c r="F49" s="176" t="str">
        <f>IF(ISNUMBER(MATCH(Table15[[#This Row],[General]],COVENANTS!$C$2:$C$100,0)), "Y","N")</f>
        <v>N</v>
      </c>
      <c r="G49" s="176" t="str">
        <f>IF(ISNUMBER(MATCH(Table15[[#This Row],[General]],COVENANTS!$D$2:$D$100,0)), "Y","N")</f>
        <v>N</v>
      </c>
      <c r="H49" s="122">
        <v>0</v>
      </c>
      <c r="I49" s="123">
        <v>25</v>
      </c>
      <c r="J49" s="123">
        <v>25</v>
      </c>
      <c r="K49" s="123">
        <v>12</v>
      </c>
      <c r="L49" s="156">
        <v>35</v>
      </c>
      <c r="M49" s="157">
        <v>0</v>
      </c>
      <c r="N49" s="157">
        <v>0</v>
      </c>
      <c r="O49" s="157">
        <v>0</v>
      </c>
      <c r="P49" s="156">
        <v>60</v>
      </c>
      <c r="Q49" s="157">
        <v>25</v>
      </c>
      <c r="R49" s="157">
        <v>25</v>
      </c>
      <c r="S49" s="157">
        <v>10</v>
      </c>
      <c r="T49" s="156">
        <v>26</v>
      </c>
      <c r="U49" s="157">
        <v>16</v>
      </c>
      <c r="V49" s="157">
        <v>10</v>
      </c>
      <c r="W49" s="157">
        <v>0</v>
      </c>
      <c r="X49" s="156">
        <v>0</v>
      </c>
      <c r="Y49" s="157">
        <v>0</v>
      </c>
      <c r="Z49" s="157">
        <v>0</v>
      </c>
      <c r="AA49" s="157">
        <v>0</v>
      </c>
      <c r="AB49" s="158">
        <f>900*0.1+(AM49-900)*0.2</f>
        <v>210.4279556608</v>
      </c>
      <c r="AC49" s="159">
        <f>900*0.1+(AN49-900)*0.2</f>
        <v>240.03952680960001</v>
      </c>
      <c r="AD49" s="159">
        <f>900*0.1+(AO49-900)*0.2</f>
        <v>231.47912826880003</v>
      </c>
      <c r="AE49" s="156">
        <f>P49+T49+X49+AB49</f>
        <v>296.42795566079997</v>
      </c>
      <c r="AF49" s="157">
        <f>Q49+U49+Y49+AC49</f>
        <v>281.03952680960003</v>
      </c>
      <c r="AG49" s="157">
        <f>R49+V49+Z49+AD49</f>
        <v>266.47912826880003</v>
      </c>
      <c r="AH49" s="157">
        <f>S49+W49+AA49</f>
        <v>10</v>
      </c>
      <c r="AI49" s="298">
        <f>(AW$2*(AH49/100)+AW$2+AW$3)*(AX$2*(AE49/100)+AX$2+AX$3)-AY$2</f>
        <v>51258546346.166382</v>
      </c>
      <c r="AJ49" s="156">
        <v>105</v>
      </c>
      <c r="AK49" s="157">
        <v>112</v>
      </c>
      <c r="AL49" s="157">
        <v>108</v>
      </c>
      <c r="AM49" s="160">
        <f>(AJ49+AS49*(AX$9-1))+500+((AJ49+AS49*(AX$9-1))+500)*$AY$10</f>
        <v>1502.1397783039999</v>
      </c>
      <c r="AN49" s="161">
        <f>(AK49+AT49*(AX$9-1))+500+((AK49+AT49*(AX$9-1))+500)*$AY$10</f>
        <v>1650.1976340480001</v>
      </c>
      <c r="AO49" s="161">
        <f>(AL49+AU49*(AX$9-1))+500+((AL49+AU49*(AX$9-1))+500)*$AY$10</f>
        <v>1607.3956413440001</v>
      </c>
      <c r="AP49" s="162">
        <v>7.59</v>
      </c>
      <c r="AQ49" s="163">
        <v>8.83</v>
      </c>
      <c r="AR49" s="163">
        <v>8.49</v>
      </c>
      <c r="AS49" s="160">
        <f>(((((1+20/100)*$AP49)*(1+20/100)))*(1+20/100))*(1+20/100)*(1+20/100)</f>
        <v>18.886348799999997</v>
      </c>
      <c r="AT49" s="161">
        <f>(((((1+20/100)*$AQ49)*(1+20/100)))*(1+20/100))*(1+20/100)*(1+20/100)</f>
        <v>21.971865599999997</v>
      </c>
      <c r="AU49" s="161">
        <f>(((((1+20/100)*$AR49)*(1+20/100)))*(1+20/100))*(1+20/100)*(1+20/100)</f>
        <v>21.125836799999998</v>
      </c>
    </row>
    <row r="50" spans="1:51" ht="14.25" customHeight="1" x14ac:dyDescent="0.25">
      <c r="A50" s="39" t="s">
        <v>438</v>
      </c>
      <c r="B50" s="165"/>
      <c r="C50" s="166"/>
      <c r="D50" s="177" t="str">
        <f>IF(ISNUMBER(MATCH(Table15[[#This Row],[General]],COVENANTS!$A$2:$A$100,0)), "Y","N")</f>
        <v>N</v>
      </c>
      <c r="E50" s="177" t="str">
        <f>IF(ISNUMBER(MATCH(Table15[[#This Row],[General]],COVENANTS!$B$2:$B$100,0)), "Y","N")</f>
        <v>N</v>
      </c>
      <c r="F50" s="177" t="str">
        <f>IF(ISNUMBER(MATCH(Table15[[#This Row],[General]],COVENANTS!$C$2:$C$100,0)), "Y","N")</f>
        <v>N</v>
      </c>
      <c r="G50" s="177" t="str">
        <f>IF(ISNUMBER(MATCH(Table15[[#This Row],[General]],COVENANTS!$D$2:$D$100,0)), "Y","N")</f>
        <v>N</v>
      </c>
      <c r="H50" s="106">
        <v>0</v>
      </c>
      <c r="I50" s="105">
        <v>0</v>
      </c>
      <c r="J50" s="105">
        <v>0</v>
      </c>
      <c r="K50" s="105">
        <v>0</v>
      </c>
      <c r="L50" s="167">
        <v>0</v>
      </c>
      <c r="M50" s="168">
        <v>0</v>
      </c>
      <c r="N50" s="168">
        <v>0</v>
      </c>
      <c r="O50" s="168">
        <v>0</v>
      </c>
      <c r="P50" s="167">
        <v>0</v>
      </c>
      <c r="Q50" s="168">
        <v>0</v>
      </c>
      <c r="R50" s="168">
        <v>0</v>
      </c>
      <c r="S50" s="168">
        <v>0</v>
      </c>
      <c r="T50" s="167">
        <v>0</v>
      </c>
      <c r="U50" s="168">
        <v>0</v>
      </c>
      <c r="V50" s="168">
        <v>0</v>
      </c>
      <c r="W50" s="168">
        <v>0</v>
      </c>
      <c r="X50" s="167">
        <v>0</v>
      </c>
      <c r="Y50" s="168">
        <v>0</v>
      </c>
      <c r="Z50" s="168">
        <v>0</v>
      </c>
      <c r="AA50" s="168">
        <v>0</v>
      </c>
      <c r="AB50" s="169">
        <f>900*0.1+(AM50-900)*0.2</f>
        <v>16</v>
      </c>
      <c r="AC50" s="170">
        <f>900*0.1+(AN50-900)*0.2</f>
        <v>16</v>
      </c>
      <c r="AD50" s="170">
        <f>900*0.1+(AO50-900)*0.2</f>
        <v>16</v>
      </c>
      <c r="AE50" s="167">
        <f>P50+T50+X50+AB50</f>
        <v>16</v>
      </c>
      <c r="AF50" s="168">
        <f>Q50+U50+Y50+AC50</f>
        <v>16</v>
      </c>
      <c r="AG50" s="168">
        <f>R50+V50+Z50+AD50</f>
        <v>16</v>
      </c>
      <c r="AH50" s="168">
        <f>S50+W50+AA50</f>
        <v>0</v>
      </c>
      <c r="AI50" s="297">
        <f>(AW$2*(AH50/100)+AW$2+AW$3)*(AX$2*(AE50/100)+AX$2+AX$3)-AY$2</f>
        <v>2419273120</v>
      </c>
      <c r="AJ50" s="167">
        <v>0</v>
      </c>
      <c r="AK50" s="168">
        <v>0</v>
      </c>
      <c r="AL50" s="168">
        <v>0</v>
      </c>
      <c r="AM50" s="171">
        <f>(AJ50+AS50*(AX$9-1))+500+((AJ50+AS50*(AX$9-1))+500)*$AY$10</f>
        <v>530</v>
      </c>
      <c r="AN50" s="172">
        <f>(AK50+AT50*(AX$9-1))+500+((AK50+AT50*(AX$9-1))+500)*$AY$10</f>
        <v>530</v>
      </c>
      <c r="AO50" s="172">
        <f>(AL50+AU50*(AX$9-1))+500+((AL50+AU50*(AX$9-1))+500)*$AY$10</f>
        <v>530</v>
      </c>
      <c r="AP50" s="173">
        <v>0</v>
      </c>
      <c r="AQ50" s="174">
        <v>0</v>
      </c>
      <c r="AR50" s="174">
        <v>0</v>
      </c>
      <c r="AS50" s="171">
        <f>(((((1+20/100)*$AP50)*(1+20/100)))*(1+20/100))*(1+20/100)*(1+20/100)</f>
        <v>0</v>
      </c>
      <c r="AT50" s="172">
        <f>(((((1+20/100)*$AQ50)*(1+20/100)))*(1+20/100))*(1+20/100)*(1+20/100)</f>
        <v>0</v>
      </c>
      <c r="AU50" s="172">
        <f>(((((1+20/100)*$AR50)*(1+20/100)))*(1+20/100))*(1+20/100)*(1+20/100)</f>
        <v>0</v>
      </c>
    </row>
    <row r="51" spans="1:51" ht="14.25" customHeight="1" x14ac:dyDescent="0.25">
      <c r="A51" s="39" t="s">
        <v>439</v>
      </c>
      <c r="B51" s="165"/>
      <c r="C51" s="166"/>
      <c r="D51" s="177" t="str">
        <f>IF(ISNUMBER(MATCH(Table15[[#This Row],[General]],COVENANTS!$A$2:$A$100,0)), "Y","N")</f>
        <v>N</v>
      </c>
      <c r="E51" s="177" t="str">
        <f>IF(ISNUMBER(MATCH(Table15[[#This Row],[General]],COVENANTS!$B$2:$B$100,0)), "Y","N")</f>
        <v>N</v>
      </c>
      <c r="F51" s="177" t="str">
        <f>IF(ISNUMBER(MATCH(Table15[[#This Row],[General]],COVENANTS!$C$2:$C$100,0)), "Y","N")</f>
        <v>N</v>
      </c>
      <c r="G51" s="177" t="str">
        <f>IF(ISNUMBER(MATCH(Table15[[#This Row],[General]],COVENANTS!$D$2:$D$100,0)), "Y","N")</f>
        <v>N</v>
      </c>
      <c r="H51" s="106">
        <v>0</v>
      </c>
      <c r="I51" s="105">
        <v>0</v>
      </c>
      <c r="J51" s="105">
        <v>0</v>
      </c>
      <c r="K51" s="105">
        <v>0</v>
      </c>
      <c r="L51" s="167">
        <v>0</v>
      </c>
      <c r="M51" s="168">
        <v>0</v>
      </c>
      <c r="N51" s="168">
        <v>0</v>
      </c>
      <c r="O51" s="168">
        <v>0</v>
      </c>
      <c r="P51" s="167">
        <v>0</v>
      </c>
      <c r="Q51" s="168">
        <v>0</v>
      </c>
      <c r="R51" s="168">
        <v>0</v>
      </c>
      <c r="S51" s="168">
        <v>0</v>
      </c>
      <c r="T51" s="167">
        <v>0</v>
      </c>
      <c r="U51" s="168">
        <v>0</v>
      </c>
      <c r="V51" s="168">
        <v>0</v>
      </c>
      <c r="W51" s="168">
        <v>0</v>
      </c>
      <c r="X51" s="167">
        <v>0</v>
      </c>
      <c r="Y51" s="168">
        <v>0</v>
      </c>
      <c r="Z51" s="168">
        <v>0</v>
      </c>
      <c r="AA51" s="168">
        <v>0</v>
      </c>
      <c r="AB51" s="169">
        <f>900*0.1+(AM51-900)*0.2</f>
        <v>16</v>
      </c>
      <c r="AC51" s="170">
        <f>900*0.1+(AN51-900)*0.2</f>
        <v>16</v>
      </c>
      <c r="AD51" s="170">
        <f>900*0.1+(AO51-900)*0.2</f>
        <v>16</v>
      </c>
      <c r="AE51" s="167">
        <f>P51+T51+X51+AB51</f>
        <v>16</v>
      </c>
      <c r="AF51" s="168">
        <f>Q51+U51+Y51+AC51</f>
        <v>16</v>
      </c>
      <c r="AG51" s="168">
        <f>R51+V51+Z51+AD51</f>
        <v>16</v>
      </c>
      <c r="AH51" s="168">
        <f>S51+W51+AA51</f>
        <v>0</v>
      </c>
      <c r="AI51" s="297">
        <f>(AW$2*(AH51/100)+AW$2+AW$3)*(AX$2*(AE51/100)+AX$2+AX$3)-AY$2</f>
        <v>2419273120</v>
      </c>
      <c r="AJ51" s="167">
        <v>0</v>
      </c>
      <c r="AK51" s="168">
        <v>0</v>
      </c>
      <c r="AL51" s="168">
        <v>0</v>
      </c>
      <c r="AM51" s="171">
        <f>(AJ51+AS51*(AX$9-1))+500+((AJ51+AS51*(AX$9-1))+500)*$AY$10</f>
        <v>530</v>
      </c>
      <c r="AN51" s="172">
        <f>(AK51+AT51*(AX$9-1))+500+((AK51+AT51*(AX$9-1))+500)*$AY$10</f>
        <v>530</v>
      </c>
      <c r="AO51" s="172">
        <f>(AL51+AU51*(AX$9-1))+500+((AL51+AU51*(AX$9-1))+500)*$AY$10</f>
        <v>530</v>
      </c>
      <c r="AP51" s="173">
        <v>0</v>
      </c>
      <c r="AQ51" s="174">
        <v>0</v>
      </c>
      <c r="AR51" s="174">
        <v>0</v>
      </c>
      <c r="AS51" s="171">
        <f>(((((1+20/100)*$AP51)*(1+20/100)))*(1+20/100))*(1+20/100)*(1+20/100)</f>
        <v>0</v>
      </c>
      <c r="AT51" s="172">
        <f>(((((1+20/100)*$AQ51)*(1+20/100)))*(1+20/100))*(1+20/100)*(1+20/100)</f>
        <v>0</v>
      </c>
      <c r="AU51" s="172">
        <f>(((((1+20/100)*$AR51)*(1+20/100)))*(1+20/100))*(1+20/100)*(1+20/100)</f>
        <v>0</v>
      </c>
    </row>
    <row r="52" spans="1:51" ht="14.25" customHeight="1" x14ac:dyDescent="0.25">
      <c r="A52" s="39" t="s">
        <v>440</v>
      </c>
      <c r="B52" s="165"/>
      <c r="C52" s="166"/>
      <c r="D52" s="177" t="str">
        <f>IF(ISNUMBER(MATCH(Table15[[#This Row],[General]],COVENANTS!$A$2:$A$100,0)), "Y","N")</f>
        <v>N</v>
      </c>
      <c r="E52" s="177" t="str">
        <f>IF(ISNUMBER(MATCH(Table15[[#This Row],[General]],COVENANTS!$B$2:$B$100,0)), "Y","N")</f>
        <v>N</v>
      </c>
      <c r="F52" s="177" t="str">
        <f>IF(ISNUMBER(MATCH(Table15[[#This Row],[General]],COVENANTS!$C$2:$C$100,0)), "Y","N")</f>
        <v>N</v>
      </c>
      <c r="G52" s="177" t="str">
        <f>IF(ISNUMBER(MATCH(Table15[[#This Row],[General]],COVENANTS!$D$2:$D$100,0)), "Y","N")</f>
        <v>N</v>
      </c>
      <c r="H52" s="106">
        <v>0</v>
      </c>
      <c r="I52" s="105">
        <v>0</v>
      </c>
      <c r="J52" s="105">
        <v>0</v>
      </c>
      <c r="K52" s="105">
        <v>0</v>
      </c>
      <c r="L52" s="167">
        <v>0</v>
      </c>
      <c r="M52" s="168">
        <v>0</v>
      </c>
      <c r="N52" s="168">
        <v>0</v>
      </c>
      <c r="O52" s="168">
        <v>0</v>
      </c>
      <c r="P52" s="167">
        <v>0</v>
      </c>
      <c r="Q52" s="168">
        <v>0</v>
      </c>
      <c r="R52" s="168">
        <v>0</v>
      </c>
      <c r="S52" s="168">
        <v>0</v>
      </c>
      <c r="T52" s="167">
        <v>0</v>
      </c>
      <c r="U52" s="168">
        <v>0</v>
      </c>
      <c r="V52" s="168">
        <v>0</v>
      </c>
      <c r="W52" s="168">
        <v>0</v>
      </c>
      <c r="X52" s="167">
        <v>0</v>
      </c>
      <c r="Y52" s="168">
        <v>0</v>
      </c>
      <c r="Z52" s="168">
        <v>0</v>
      </c>
      <c r="AA52" s="168">
        <v>0</v>
      </c>
      <c r="AB52" s="169">
        <f>900*0.1+(AM52-900)*0.2</f>
        <v>16</v>
      </c>
      <c r="AC52" s="170">
        <f>900*0.1+(AN52-900)*0.2</f>
        <v>16</v>
      </c>
      <c r="AD52" s="170">
        <f>900*0.1+(AO52-900)*0.2</f>
        <v>16</v>
      </c>
      <c r="AE52" s="167">
        <f>P52+T52+X52+AB52</f>
        <v>16</v>
      </c>
      <c r="AF52" s="168">
        <f>Q52+U52+Y52+AC52</f>
        <v>16</v>
      </c>
      <c r="AG52" s="168">
        <f>R52+V52+Z52+AD52</f>
        <v>16</v>
      </c>
      <c r="AH52" s="168">
        <f>S52+W52+AA52</f>
        <v>0</v>
      </c>
      <c r="AI52" s="297">
        <f>(AW$2*(AH52/100)+AW$2+AW$3)*(AX$2*(AE52/100)+AX$2+AX$3)-AY$2</f>
        <v>2419273120</v>
      </c>
      <c r="AJ52" s="167">
        <v>0</v>
      </c>
      <c r="AK52" s="168">
        <v>0</v>
      </c>
      <c r="AL52" s="168">
        <v>0</v>
      </c>
      <c r="AM52" s="171">
        <f>(AJ52+AS52*(AX$9-1))+500+((AJ52+AS52*(AX$9-1))+500)*$AY$10</f>
        <v>530</v>
      </c>
      <c r="AN52" s="172">
        <f>(AK52+AT52*(AX$9-1))+500+((AK52+AT52*(AX$9-1))+500)*$AY$10</f>
        <v>530</v>
      </c>
      <c r="AO52" s="172">
        <f>(AL52+AU52*(AX$9-1))+500+((AL52+AU52*(AX$9-1))+500)*$AY$10</f>
        <v>530</v>
      </c>
      <c r="AP52" s="173">
        <v>0</v>
      </c>
      <c r="AQ52" s="174">
        <v>0</v>
      </c>
      <c r="AR52" s="174">
        <v>0</v>
      </c>
      <c r="AS52" s="171">
        <f>(((((1+20/100)*$AP52)*(1+20/100)))*(1+20/100))*(1+20/100)*(1+20/100)</f>
        <v>0</v>
      </c>
      <c r="AT52" s="172">
        <f>(((((1+20/100)*$AQ52)*(1+20/100)))*(1+20/100))*(1+20/100)*(1+20/100)</f>
        <v>0</v>
      </c>
      <c r="AU52" s="172">
        <f>(((((1+20/100)*$AR52)*(1+20/100)))*(1+20/100))*(1+20/100)*(1+20/100)</f>
        <v>0</v>
      </c>
    </row>
    <row r="53" spans="1:51" ht="14.25" customHeight="1" x14ac:dyDescent="0.25">
      <c r="A53" s="39" t="s">
        <v>441</v>
      </c>
      <c r="B53" s="165"/>
      <c r="C53" s="166"/>
      <c r="D53" s="177" t="str">
        <f>IF(ISNUMBER(MATCH(Table15[[#This Row],[General]],COVENANTS!$A$2:$A$100,0)), "Y","N")</f>
        <v>N</v>
      </c>
      <c r="E53" s="177" t="str">
        <f>IF(ISNUMBER(MATCH(Table15[[#This Row],[General]],COVENANTS!$B$2:$B$100,0)), "Y","N")</f>
        <v>N</v>
      </c>
      <c r="F53" s="177" t="str">
        <f>IF(ISNUMBER(MATCH(Table15[[#This Row],[General]],COVENANTS!$C$2:$C$100,0)), "Y","N")</f>
        <v>N</v>
      </c>
      <c r="G53" s="177" t="str">
        <f>IF(ISNUMBER(MATCH(Table15[[#This Row],[General]],COVENANTS!$D$2:$D$100,0)), "Y","N")</f>
        <v>N</v>
      </c>
      <c r="H53" s="106">
        <v>0</v>
      </c>
      <c r="I53" s="105">
        <v>0</v>
      </c>
      <c r="J53" s="105">
        <v>0</v>
      </c>
      <c r="K53" s="105">
        <v>0</v>
      </c>
      <c r="L53" s="167">
        <v>0</v>
      </c>
      <c r="M53" s="168">
        <v>0</v>
      </c>
      <c r="N53" s="168">
        <v>0</v>
      </c>
      <c r="O53" s="168">
        <v>0</v>
      </c>
      <c r="P53" s="167">
        <v>0</v>
      </c>
      <c r="Q53" s="168">
        <v>0</v>
      </c>
      <c r="R53" s="168">
        <v>0</v>
      </c>
      <c r="S53" s="168">
        <v>0</v>
      </c>
      <c r="T53" s="167">
        <v>0</v>
      </c>
      <c r="U53" s="168">
        <v>0</v>
      </c>
      <c r="V53" s="168">
        <v>0</v>
      </c>
      <c r="W53" s="168">
        <v>0</v>
      </c>
      <c r="X53" s="167">
        <v>0</v>
      </c>
      <c r="Y53" s="168">
        <v>0</v>
      </c>
      <c r="Z53" s="168">
        <v>0</v>
      </c>
      <c r="AA53" s="168">
        <v>0</v>
      </c>
      <c r="AB53" s="169">
        <f>900*0.1+(AM53-900)*0.2</f>
        <v>16</v>
      </c>
      <c r="AC53" s="170">
        <f>900*0.1+(AN53-900)*0.2</f>
        <v>16</v>
      </c>
      <c r="AD53" s="170">
        <f>900*0.1+(AO53-900)*0.2</f>
        <v>16</v>
      </c>
      <c r="AE53" s="167">
        <f>P53+T53+X53+AB53</f>
        <v>16</v>
      </c>
      <c r="AF53" s="168">
        <f>Q53+U53+Y53+AC53</f>
        <v>16</v>
      </c>
      <c r="AG53" s="168">
        <f>R53+V53+Z53+AD53</f>
        <v>16</v>
      </c>
      <c r="AH53" s="168">
        <f>S53+W53+AA53</f>
        <v>0</v>
      </c>
      <c r="AI53" s="297">
        <f>(AW$2*(AH53/100)+AW$2+AW$3)*(AX$2*(AE53/100)+AX$2+AX$3)-AY$2</f>
        <v>2419273120</v>
      </c>
      <c r="AJ53" s="167">
        <v>0</v>
      </c>
      <c r="AK53" s="168">
        <v>0</v>
      </c>
      <c r="AL53" s="168">
        <v>0</v>
      </c>
      <c r="AM53" s="171">
        <f>(AJ53+AS53*(AX$9-1))+500+((AJ53+AS53*(AX$9-1))+500)*$AY$10</f>
        <v>530</v>
      </c>
      <c r="AN53" s="172">
        <f>(AK53+AT53*(AX$9-1))+500+((AK53+AT53*(AX$9-1))+500)*$AY$10</f>
        <v>530</v>
      </c>
      <c r="AO53" s="172">
        <f>(AL53+AU53*(AX$9-1))+500+((AL53+AU53*(AX$9-1))+500)*$AY$10</f>
        <v>530</v>
      </c>
      <c r="AP53" s="173">
        <v>0</v>
      </c>
      <c r="AQ53" s="174">
        <v>0</v>
      </c>
      <c r="AR53" s="174">
        <v>0</v>
      </c>
      <c r="AS53" s="171">
        <f>(((((1+20/100)*$AP53)*(1+20/100)))*(1+20/100))*(1+20/100)*(1+20/100)</f>
        <v>0</v>
      </c>
      <c r="AT53" s="172">
        <f>(((((1+20/100)*$AQ53)*(1+20/100)))*(1+20/100))*(1+20/100)*(1+20/100)</f>
        <v>0</v>
      </c>
      <c r="AU53" s="172">
        <f>(((((1+20/100)*$AR53)*(1+20/100)))*(1+20/100))*(1+20/100)*(1+20/100)</f>
        <v>0</v>
      </c>
    </row>
    <row r="54" spans="1:51" ht="14.25" customHeight="1" x14ac:dyDescent="0.25">
      <c r="A54" s="39" t="s">
        <v>442</v>
      </c>
      <c r="B54" s="165"/>
      <c r="C54" s="166"/>
      <c r="D54" s="177" t="str">
        <f>IF(ISNUMBER(MATCH(Table15[[#This Row],[General]],COVENANTS!$A$2:$A$100,0)), "Y","N")</f>
        <v>N</v>
      </c>
      <c r="E54" s="177" t="str">
        <f>IF(ISNUMBER(MATCH(Table15[[#This Row],[General]],COVENANTS!$B$2:$B$100,0)), "Y","N")</f>
        <v>N</v>
      </c>
      <c r="F54" s="177" t="str">
        <f>IF(ISNUMBER(MATCH(Table15[[#This Row],[General]],COVENANTS!$C$2:$C$100,0)), "Y","N")</f>
        <v>N</v>
      </c>
      <c r="G54" s="177" t="str">
        <f>IF(ISNUMBER(MATCH(Table15[[#This Row],[General]],COVENANTS!$D$2:$D$100,0)), "Y","N")</f>
        <v>N</v>
      </c>
      <c r="H54" s="106">
        <v>0</v>
      </c>
      <c r="I54" s="105">
        <v>0</v>
      </c>
      <c r="J54" s="105">
        <v>0</v>
      </c>
      <c r="K54" s="105">
        <v>0</v>
      </c>
      <c r="L54" s="167">
        <v>0</v>
      </c>
      <c r="M54" s="168">
        <v>0</v>
      </c>
      <c r="N54" s="168">
        <v>0</v>
      </c>
      <c r="O54" s="168">
        <v>0</v>
      </c>
      <c r="P54" s="167">
        <v>0</v>
      </c>
      <c r="Q54" s="168">
        <v>0</v>
      </c>
      <c r="R54" s="168">
        <v>0</v>
      </c>
      <c r="S54" s="168">
        <v>0</v>
      </c>
      <c r="T54" s="167">
        <v>0</v>
      </c>
      <c r="U54" s="168">
        <v>0</v>
      </c>
      <c r="V54" s="168">
        <v>0</v>
      </c>
      <c r="W54" s="168">
        <v>0</v>
      </c>
      <c r="X54" s="167">
        <v>0</v>
      </c>
      <c r="Y54" s="168">
        <v>0</v>
      </c>
      <c r="Z54" s="168">
        <v>0</v>
      </c>
      <c r="AA54" s="168">
        <v>0</v>
      </c>
      <c r="AB54" s="169">
        <f>900*0.1+(AM54-900)*0.2</f>
        <v>16</v>
      </c>
      <c r="AC54" s="170">
        <f>900*0.1+(AN54-900)*0.2</f>
        <v>16</v>
      </c>
      <c r="AD54" s="170">
        <f>900*0.1+(AO54-900)*0.2</f>
        <v>16</v>
      </c>
      <c r="AE54" s="167">
        <f>P54+T54+X54+AB54</f>
        <v>16</v>
      </c>
      <c r="AF54" s="168">
        <f>Q54+U54+Y54+AC54</f>
        <v>16</v>
      </c>
      <c r="AG54" s="168">
        <f>R54+V54+Z54+AD54</f>
        <v>16</v>
      </c>
      <c r="AH54" s="168">
        <f>S54+W54+AA54</f>
        <v>0</v>
      </c>
      <c r="AI54" s="297">
        <f>(AW$2*(AH54/100)+AW$2+AW$3)*(AX$2*(AE54/100)+AX$2+AX$3)-AY$2</f>
        <v>2419273120</v>
      </c>
      <c r="AJ54" s="167">
        <v>0</v>
      </c>
      <c r="AK54" s="168">
        <v>0</v>
      </c>
      <c r="AL54" s="168">
        <v>0</v>
      </c>
      <c r="AM54" s="171">
        <f>(AJ54+AS54*(AX$9-1))+500+((AJ54+AS54*(AX$9-1))+500)*$AY$10</f>
        <v>530</v>
      </c>
      <c r="AN54" s="172">
        <f>(AK54+AT54*(AX$9-1))+500+((AK54+AT54*(AX$9-1))+500)*$AY$10</f>
        <v>530</v>
      </c>
      <c r="AO54" s="172">
        <f>(AL54+AU54*(AX$9-1))+500+((AL54+AU54*(AX$9-1))+500)*$AY$10</f>
        <v>530</v>
      </c>
      <c r="AP54" s="173">
        <v>0</v>
      </c>
      <c r="AQ54" s="174">
        <v>0</v>
      </c>
      <c r="AR54" s="174">
        <v>0</v>
      </c>
      <c r="AS54" s="171">
        <f>(((((1+20/100)*$AP54)*(1+20/100)))*(1+20/100))*(1+20/100)*(1+20/100)</f>
        <v>0</v>
      </c>
      <c r="AT54" s="172">
        <f>(((((1+20/100)*$AQ54)*(1+20/100)))*(1+20/100))*(1+20/100)*(1+20/100)</f>
        <v>0</v>
      </c>
      <c r="AU54" s="172">
        <f>(((((1+20/100)*$AR54)*(1+20/100)))*(1+20/100))*(1+20/100)*(1+20/100)</f>
        <v>0</v>
      </c>
    </row>
    <row r="55" spans="1:51" ht="14.25" customHeight="1" x14ac:dyDescent="0.25">
      <c r="A55" s="39" t="s">
        <v>443</v>
      </c>
      <c r="B55" s="165"/>
      <c r="C55" s="166"/>
      <c r="D55" s="177" t="str">
        <f>IF(ISNUMBER(MATCH(Table15[[#This Row],[General]],COVENANTS!$A$2:$A$100,0)), "Y","N")</f>
        <v>N</v>
      </c>
      <c r="E55" s="177" t="str">
        <f>IF(ISNUMBER(MATCH(Table15[[#This Row],[General]],COVENANTS!$B$2:$B$100,0)), "Y","N")</f>
        <v>N</v>
      </c>
      <c r="F55" s="177" t="str">
        <f>IF(ISNUMBER(MATCH(Table15[[#This Row],[General]],COVENANTS!$C$2:$C$100,0)), "Y","N")</f>
        <v>N</v>
      </c>
      <c r="G55" s="177" t="str">
        <f>IF(ISNUMBER(MATCH(Table15[[#This Row],[General]],COVENANTS!$D$2:$D$100,0)), "Y","N")</f>
        <v>N</v>
      </c>
      <c r="H55" s="106">
        <v>0</v>
      </c>
      <c r="I55" s="105">
        <v>0</v>
      </c>
      <c r="J55" s="105">
        <v>0</v>
      </c>
      <c r="K55" s="105">
        <v>0</v>
      </c>
      <c r="L55" s="167">
        <v>0</v>
      </c>
      <c r="M55" s="168">
        <v>0</v>
      </c>
      <c r="N55" s="168">
        <v>0</v>
      </c>
      <c r="O55" s="168">
        <v>0</v>
      </c>
      <c r="P55" s="167">
        <v>0</v>
      </c>
      <c r="Q55" s="168">
        <v>0</v>
      </c>
      <c r="R55" s="168">
        <v>0</v>
      </c>
      <c r="S55" s="168">
        <v>0</v>
      </c>
      <c r="T55" s="167">
        <v>0</v>
      </c>
      <c r="U55" s="168">
        <v>0</v>
      </c>
      <c r="V55" s="168">
        <v>0</v>
      </c>
      <c r="W55" s="168">
        <v>0</v>
      </c>
      <c r="X55" s="167">
        <v>0</v>
      </c>
      <c r="Y55" s="168">
        <v>0</v>
      </c>
      <c r="Z55" s="168">
        <v>0</v>
      </c>
      <c r="AA55" s="168">
        <v>0</v>
      </c>
      <c r="AB55" s="169">
        <f>900*0.1+(AM55-900)*0.2</f>
        <v>16</v>
      </c>
      <c r="AC55" s="170">
        <f>900*0.1+(AN55-900)*0.2</f>
        <v>16</v>
      </c>
      <c r="AD55" s="170">
        <f>900*0.1+(AO55-900)*0.2</f>
        <v>16</v>
      </c>
      <c r="AE55" s="167">
        <f>P55+T55+X55+AB55</f>
        <v>16</v>
      </c>
      <c r="AF55" s="168">
        <f>Q55+U55+Y55+AC55</f>
        <v>16</v>
      </c>
      <c r="AG55" s="168">
        <f>R55+V55+Z55+AD55</f>
        <v>16</v>
      </c>
      <c r="AH55" s="168">
        <f>S55+W55+AA55</f>
        <v>0</v>
      </c>
      <c r="AI55" s="297">
        <f>(AW$2*(AH55/100)+AW$2+AW$3)*(AX$2*(AE55/100)+AX$2+AX$3)-AY$2</f>
        <v>2419273120</v>
      </c>
      <c r="AJ55" s="167">
        <v>0</v>
      </c>
      <c r="AK55" s="168">
        <v>0</v>
      </c>
      <c r="AL55" s="168">
        <v>0</v>
      </c>
      <c r="AM55" s="171">
        <f>(AJ55+AS55*(AX$9-1))+500+((AJ55+AS55*(AX$9-1))+500)*$AY$10</f>
        <v>530</v>
      </c>
      <c r="AN55" s="172">
        <f>(AK55+AT55*(AX$9-1))+500+((AK55+AT55*(AX$9-1))+500)*$AY$10</f>
        <v>530</v>
      </c>
      <c r="AO55" s="172">
        <f>(AL55+AU55*(AX$9-1))+500+((AL55+AU55*(AX$9-1))+500)*$AY$10</f>
        <v>530</v>
      </c>
      <c r="AP55" s="173">
        <v>0</v>
      </c>
      <c r="AQ55" s="174">
        <v>0</v>
      </c>
      <c r="AR55" s="174">
        <v>0</v>
      </c>
      <c r="AS55" s="171">
        <f>(((((1+20/100)*$AP55)*(1+20/100)))*(1+20/100))*(1+20/100)*(1+20/100)</f>
        <v>0</v>
      </c>
      <c r="AT55" s="172">
        <f>(((((1+20/100)*$AQ55)*(1+20/100)))*(1+20/100))*(1+20/100)*(1+20/100)</f>
        <v>0</v>
      </c>
      <c r="AU55" s="172">
        <f>(((((1+20/100)*$AR55)*(1+20/100)))*(1+20/100))*(1+20/100)*(1+20/100)</f>
        <v>0</v>
      </c>
    </row>
    <row r="56" spans="1:51" ht="14.25" customHeight="1" x14ac:dyDescent="0.25">
      <c r="A56" s="39" t="s">
        <v>444</v>
      </c>
      <c r="B56" s="165"/>
      <c r="C56" s="166"/>
      <c r="D56" s="177" t="str">
        <f>IF(ISNUMBER(MATCH(Table15[[#This Row],[General]],COVENANTS!$A$2:$A$100,0)), "Y","N")</f>
        <v>N</v>
      </c>
      <c r="E56" s="177" t="str">
        <f>IF(ISNUMBER(MATCH(Table15[[#This Row],[General]],COVENANTS!$B$2:$B$100,0)), "Y","N")</f>
        <v>N</v>
      </c>
      <c r="F56" s="177" t="str">
        <f>IF(ISNUMBER(MATCH(Table15[[#This Row],[General]],COVENANTS!$C$2:$C$100,0)), "Y","N")</f>
        <v>N</v>
      </c>
      <c r="G56" s="177" t="str">
        <f>IF(ISNUMBER(MATCH(Table15[[#This Row],[General]],COVENANTS!$D$2:$D$100,0)), "Y","N")</f>
        <v>N</v>
      </c>
      <c r="H56" s="106">
        <v>0</v>
      </c>
      <c r="I56" s="105">
        <v>0</v>
      </c>
      <c r="J56" s="105">
        <v>0</v>
      </c>
      <c r="K56" s="105">
        <v>0</v>
      </c>
      <c r="L56" s="167">
        <v>0</v>
      </c>
      <c r="M56" s="168">
        <v>0</v>
      </c>
      <c r="N56" s="168">
        <v>0</v>
      </c>
      <c r="O56" s="168">
        <v>0</v>
      </c>
      <c r="P56" s="167">
        <v>0</v>
      </c>
      <c r="Q56" s="168">
        <v>0</v>
      </c>
      <c r="R56" s="168">
        <v>0</v>
      </c>
      <c r="S56" s="168">
        <v>0</v>
      </c>
      <c r="T56" s="167">
        <v>0</v>
      </c>
      <c r="U56" s="168">
        <v>0</v>
      </c>
      <c r="V56" s="168">
        <v>0</v>
      </c>
      <c r="W56" s="168">
        <v>0</v>
      </c>
      <c r="X56" s="167">
        <v>0</v>
      </c>
      <c r="Y56" s="168">
        <v>0</v>
      </c>
      <c r="Z56" s="168">
        <v>0</v>
      </c>
      <c r="AA56" s="168">
        <v>0</v>
      </c>
      <c r="AB56" s="169">
        <f>900*0.1+(AM56-900)*0.2</f>
        <v>16</v>
      </c>
      <c r="AC56" s="170">
        <f>900*0.1+(AN56-900)*0.2</f>
        <v>16</v>
      </c>
      <c r="AD56" s="170">
        <f>900*0.1+(AO56-900)*0.2</f>
        <v>16</v>
      </c>
      <c r="AE56" s="167">
        <f>P56+T56+X56+AB56</f>
        <v>16</v>
      </c>
      <c r="AF56" s="168">
        <f>Q56+U56+Y56+AC56</f>
        <v>16</v>
      </c>
      <c r="AG56" s="168">
        <f>R56+V56+Z56+AD56</f>
        <v>16</v>
      </c>
      <c r="AH56" s="168">
        <f>S56+W56+AA56</f>
        <v>0</v>
      </c>
      <c r="AI56" s="297">
        <f>(AW$2*(AH56/100)+AW$2+AW$3)*(AX$2*(AE56/100)+AX$2+AX$3)-AY$2</f>
        <v>2419273120</v>
      </c>
      <c r="AJ56" s="167">
        <v>0</v>
      </c>
      <c r="AK56" s="168">
        <v>0</v>
      </c>
      <c r="AL56" s="168">
        <v>0</v>
      </c>
      <c r="AM56" s="171">
        <f>(AJ56+AS56*(AX$9-1))+500+((AJ56+AS56*(AX$9-1))+500)*$AY$10</f>
        <v>530</v>
      </c>
      <c r="AN56" s="172">
        <f>(AK56+AT56*(AX$9-1))+500+((AK56+AT56*(AX$9-1))+500)*$AY$10</f>
        <v>530</v>
      </c>
      <c r="AO56" s="172">
        <f>(AL56+AU56*(AX$9-1))+500+((AL56+AU56*(AX$9-1))+500)*$AY$10</f>
        <v>530</v>
      </c>
      <c r="AP56" s="173">
        <v>0</v>
      </c>
      <c r="AQ56" s="174">
        <v>0</v>
      </c>
      <c r="AR56" s="174">
        <v>0</v>
      </c>
      <c r="AS56" s="171">
        <f>(((((1+20/100)*$AP56)*(1+20/100)))*(1+20/100))*(1+20/100)*(1+20/100)</f>
        <v>0</v>
      </c>
      <c r="AT56" s="172">
        <f>(((((1+20/100)*$AQ56)*(1+20/100)))*(1+20/100))*(1+20/100)*(1+20/100)</f>
        <v>0</v>
      </c>
      <c r="AU56" s="172">
        <f>(((((1+20/100)*$AR56)*(1+20/100)))*(1+20/100))*(1+20/100)*(1+20/100)</f>
        <v>0</v>
      </c>
    </row>
    <row r="57" spans="1:51" ht="14.25" customHeight="1" x14ac:dyDescent="0.25">
      <c r="A57" s="39" t="s">
        <v>445</v>
      </c>
      <c r="B57" s="406"/>
      <c r="C57" s="407"/>
      <c r="D57" s="408" t="str">
        <f>IF(ISNUMBER(MATCH(Table15[[#This Row],[General]],COVENANTS!$A$2:$A$100,0)), "Y","N")</f>
        <v>N</v>
      </c>
      <c r="E57" s="408" t="str">
        <f>IF(ISNUMBER(MATCH(Table15[[#This Row],[General]],COVENANTS!$B$2:$B$100,0)), "Y","N")</f>
        <v>N</v>
      </c>
      <c r="F57" s="408" t="str">
        <f>IF(ISNUMBER(MATCH(Table15[[#This Row],[General]],COVENANTS!$C$2:$C$100,0)), "Y","N")</f>
        <v>N</v>
      </c>
      <c r="G57" s="408" t="str">
        <f>IF(ISNUMBER(MATCH(Table15[[#This Row],[General]],COVENANTS!$D$2:$D$100,0)), "Y","N")</f>
        <v>N</v>
      </c>
      <c r="H57" s="106">
        <v>0</v>
      </c>
      <c r="I57" s="105">
        <v>0</v>
      </c>
      <c r="J57" s="105">
        <v>0</v>
      </c>
      <c r="K57" s="105">
        <v>0</v>
      </c>
      <c r="L57" s="167">
        <v>0</v>
      </c>
      <c r="M57" s="168">
        <v>0</v>
      </c>
      <c r="N57" s="168">
        <v>0</v>
      </c>
      <c r="O57" s="168">
        <v>0</v>
      </c>
      <c r="P57" s="167">
        <v>0</v>
      </c>
      <c r="Q57" s="168">
        <v>0</v>
      </c>
      <c r="R57" s="168">
        <v>0</v>
      </c>
      <c r="S57" s="168">
        <v>0</v>
      </c>
      <c r="T57" s="167">
        <v>0</v>
      </c>
      <c r="U57" s="168">
        <v>0</v>
      </c>
      <c r="V57" s="168">
        <v>0</v>
      </c>
      <c r="W57" s="168">
        <v>0</v>
      </c>
      <c r="X57" s="167">
        <v>0</v>
      </c>
      <c r="Y57" s="168">
        <v>0</v>
      </c>
      <c r="Z57" s="168">
        <v>0</v>
      </c>
      <c r="AA57" s="168">
        <v>0</v>
      </c>
      <c r="AB57" s="169">
        <f>900*0.1+(AM57-900)*0.2</f>
        <v>16</v>
      </c>
      <c r="AC57" s="170">
        <f>900*0.1+(AN57-900)*0.2</f>
        <v>16</v>
      </c>
      <c r="AD57" s="170">
        <f>900*0.1+(AO57-900)*0.2</f>
        <v>16</v>
      </c>
      <c r="AE57" s="167">
        <f>P57+T57+X57+AB57</f>
        <v>16</v>
      </c>
      <c r="AF57" s="168">
        <f>Q57+U57+Y57+AC57</f>
        <v>16</v>
      </c>
      <c r="AG57" s="168">
        <f>R57+V57+Z57+AD57</f>
        <v>16</v>
      </c>
      <c r="AH57" s="168">
        <f>S57+W57+AA57</f>
        <v>0</v>
      </c>
      <c r="AI57" s="297">
        <f>(AW$2*(AH57/100)+AW$2+AW$3)*(AX$2*(AE57/100)+AX$2+AX$3)-AY$2</f>
        <v>2419273120</v>
      </c>
      <c r="AJ57" s="167">
        <v>0</v>
      </c>
      <c r="AK57" s="168">
        <v>0</v>
      </c>
      <c r="AL57" s="168">
        <v>0</v>
      </c>
      <c r="AM57" s="171">
        <f>(AJ57+AS57*(AX$9-1))+500+((AJ57+AS57*(AX$9-1))+500)*$AY$10</f>
        <v>530</v>
      </c>
      <c r="AN57" s="172">
        <f>(AK57+AT57*(AX$9-1))+500+((AK57+AT57*(AX$9-1))+500)*$AY$10</f>
        <v>530</v>
      </c>
      <c r="AO57" s="172">
        <f>(AL57+AU57*(AX$9-1))+500+((AL57+AU57*(AX$9-1))+500)*$AY$10</f>
        <v>530</v>
      </c>
      <c r="AP57" s="173">
        <v>0</v>
      </c>
      <c r="AQ57" s="174">
        <v>0</v>
      </c>
      <c r="AR57" s="174">
        <v>0</v>
      </c>
      <c r="AS57" s="171">
        <f>(((((1+20/100)*$AP57)*(1+20/100)))*(1+20/100))*(1+20/100)*(1+20/100)</f>
        <v>0</v>
      </c>
      <c r="AT57" s="172">
        <f>(((((1+20/100)*$AQ57)*(1+20/100)))*(1+20/100))*(1+20/100)*(1+20/100)</f>
        <v>0</v>
      </c>
      <c r="AU57" s="172">
        <f>(((((1+20/100)*$AR57)*(1+20/100)))*(1+20/100))*(1+20/100)*(1+20/100)</f>
        <v>0</v>
      </c>
    </row>
    <row r="58" spans="1:51" ht="14.25" customHeight="1" x14ac:dyDescent="0.25">
      <c r="A58" s="39" t="s">
        <v>446</v>
      </c>
      <c r="B58" s="406"/>
      <c r="C58" s="407"/>
      <c r="D58" s="408" t="str">
        <f>IF(ISNUMBER(MATCH(Table15[[#This Row],[General]],COVENANTS!$A$2:$A$100,0)), "Y","N")</f>
        <v>N</v>
      </c>
      <c r="E58" s="408" t="str">
        <f>IF(ISNUMBER(MATCH(Table15[[#This Row],[General]],COVENANTS!$B$2:$B$100,0)), "Y","N")</f>
        <v>N</v>
      </c>
      <c r="F58" s="408" t="str">
        <f>IF(ISNUMBER(MATCH(Table15[[#This Row],[General]],COVENANTS!$C$2:$C$100,0)), "Y","N")</f>
        <v>N</v>
      </c>
      <c r="G58" s="408" t="str">
        <f>IF(ISNUMBER(MATCH(Table15[[#This Row],[General]],COVENANTS!$D$2:$D$100,0)), "Y","N")</f>
        <v>N</v>
      </c>
      <c r="H58" s="106">
        <v>0</v>
      </c>
      <c r="I58" s="105">
        <v>0</v>
      </c>
      <c r="J58" s="105">
        <v>0</v>
      </c>
      <c r="K58" s="105">
        <v>0</v>
      </c>
      <c r="L58" s="167">
        <v>0</v>
      </c>
      <c r="M58" s="168">
        <v>0</v>
      </c>
      <c r="N58" s="168">
        <v>0</v>
      </c>
      <c r="O58" s="168">
        <v>0</v>
      </c>
      <c r="P58" s="167">
        <v>0</v>
      </c>
      <c r="Q58" s="168">
        <v>0</v>
      </c>
      <c r="R58" s="168">
        <v>0</v>
      </c>
      <c r="S58" s="168">
        <v>0</v>
      </c>
      <c r="T58" s="167">
        <v>0</v>
      </c>
      <c r="U58" s="168">
        <v>0</v>
      </c>
      <c r="V58" s="168">
        <v>0</v>
      </c>
      <c r="W58" s="168">
        <v>0</v>
      </c>
      <c r="X58" s="167">
        <v>0</v>
      </c>
      <c r="Y58" s="168">
        <v>0</v>
      </c>
      <c r="Z58" s="168">
        <v>0</v>
      </c>
      <c r="AA58" s="168">
        <v>0</v>
      </c>
      <c r="AB58" s="169">
        <f>900*0.1+(AM58-900)*0.2</f>
        <v>16</v>
      </c>
      <c r="AC58" s="170">
        <f>900*0.1+(AN58-900)*0.2</f>
        <v>16</v>
      </c>
      <c r="AD58" s="170">
        <f>900*0.1+(AO58-900)*0.2</f>
        <v>16</v>
      </c>
      <c r="AE58" s="167">
        <f>P58+T58+X58+AB58</f>
        <v>16</v>
      </c>
      <c r="AF58" s="168">
        <f>Q58+U58+Y58+AC58</f>
        <v>16</v>
      </c>
      <c r="AG58" s="168">
        <f>R58+V58+Z58+AD58</f>
        <v>16</v>
      </c>
      <c r="AH58" s="168">
        <f>S58+W58+AA58</f>
        <v>0</v>
      </c>
      <c r="AI58" s="300">
        <f>(AW$2*(AH58/100)+AW$2+AW$3)*(AX$2*(AE58/100)+AX$2+AX$3)-AY$2</f>
        <v>2419273120</v>
      </c>
      <c r="AJ58" s="167">
        <v>0</v>
      </c>
      <c r="AK58" s="168">
        <v>0</v>
      </c>
      <c r="AL58" s="168">
        <v>0</v>
      </c>
      <c r="AM58" s="409">
        <f>(AJ58+AS58*(AX$9-1))+500+((AJ58+AS58*(AX$9-1))+500)*$AY$10</f>
        <v>530</v>
      </c>
      <c r="AN58" s="410">
        <f>(AK58+AT58*(AX$9-1))+500+((AK58+AT58*(AX$9-1))+500)*$AY$10</f>
        <v>530</v>
      </c>
      <c r="AO58" s="410">
        <f>(AL58+AU58*(AX$9-1))+500+((AL58+AU58*(AX$9-1))+500)*$AY$10</f>
        <v>530</v>
      </c>
      <c r="AP58" s="173">
        <v>0</v>
      </c>
      <c r="AQ58" s="174">
        <v>0</v>
      </c>
      <c r="AR58" s="174">
        <v>0</v>
      </c>
      <c r="AS58" s="171">
        <f>(((((1+20/100)*$AP58)*(1+20/100)))*(1+20/100))*(1+20/100)*(1+20/100)</f>
        <v>0</v>
      </c>
      <c r="AT58" s="172">
        <f>(((((1+20/100)*$AQ58)*(1+20/100)))*(1+20/100))*(1+20/100)*(1+20/100)</f>
        <v>0</v>
      </c>
      <c r="AU58" s="172">
        <f>(((((1+20/100)*$AR58)*(1+20/100)))*(1+20/100))*(1+20/100)*(1+20/100)</f>
        <v>0</v>
      </c>
    </row>
    <row r="59" spans="1:51" ht="14.25" customHeight="1" x14ac:dyDescent="0.25">
      <c r="A59" s="39" t="s">
        <v>447</v>
      </c>
      <c r="B59" s="406"/>
      <c r="C59" s="407"/>
      <c r="D59" s="408" t="str">
        <f>IF(ISNUMBER(MATCH(Table15[[#This Row],[General]],COVENANTS!$A$2:$A$100,0)), "Y","N")</f>
        <v>N</v>
      </c>
      <c r="E59" s="408" t="str">
        <f>IF(ISNUMBER(MATCH(Table15[[#This Row],[General]],COVENANTS!$B$2:$B$100,0)), "Y","N")</f>
        <v>N</v>
      </c>
      <c r="F59" s="408" t="str">
        <f>IF(ISNUMBER(MATCH(Table15[[#This Row],[General]],COVENANTS!$C$2:$C$100,0)), "Y","N")</f>
        <v>N</v>
      </c>
      <c r="G59" s="408" t="str">
        <f>IF(ISNUMBER(MATCH(Table15[[#This Row],[General]],COVENANTS!$D$2:$D$100,0)), "Y","N")</f>
        <v>N</v>
      </c>
      <c r="H59" s="106">
        <v>0</v>
      </c>
      <c r="I59" s="105">
        <v>0</v>
      </c>
      <c r="J59" s="105">
        <v>0</v>
      </c>
      <c r="K59" s="105">
        <v>0</v>
      </c>
      <c r="L59" s="167">
        <v>0</v>
      </c>
      <c r="M59" s="168">
        <v>0</v>
      </c>
      <c r="N59" s="168">
        <v>0</v>
      </c>
      <c r="O59" s="168">
        <v>0</v>
      </c>
      <c r="P59" s="167">
        <v>0</v>
      </c>
      <c r="Q59" s="168">
        <v>0</v>
      </c>
      <c r="R59" s="168">
        <v>0</v>
      </c>
      <c r="S59" s="168">
        <v>0</v>
      </c>
      <c r="T59" s="167">
        <v>0</v>
      </c>
      <c r="U59" s="168">
        <v>0</v>
      </c>
      <c r="V59" s="168">
        <v>0</v>
      </c>
      <c r="W59" s="168">
        <v>0</v>
      </c>
      <c r="X59" s="167">
        <v>0</v>
      </c>
      <c r="Y59" s="168">
        <v>0</v>
      </c>
      <c r="Z59" s="168">
        <v>0</v>
      </c>
      <c r="AA59" s="168">
        <v>0</v>
      </c>
      <c r="AB59" s="169">
        <f>900*0.1+(AM59-900)*0.2</f>
        <v>16</v>
      </c>
      <c r="AC59" s="170">
        <f>900*0.1+(AN59-900)*0.2</f>
        <v>16</v>
      </c>
      <c r="AD59" s="170">
        <f>900*0.1+(AO59-900)*0.2</f>
        <v>16</v>
      </c>
      <c r="AE59" s="167">
        <f>P59+T59+X59+AB59</f>
        <v>16</v>
      </c>
      <c r="AF59" s="168">
        <f>Q59+U59+Y59+AC59</f>
        <v>16</v>
      </c>
      <c r="AG59" s="168">
        <f>R59+V59+Z59+AD59</f>
        <v>16</v>
      </c>
      <c r="AH59" s="168">
        <f>S59+W59+AA59</f>
        <v>0</v>
      </c>
      <c r="AI59" s="300">
        <f>(AW$2*(AH59/100)+AW$2+AW$3)*(AX$2*(AE59/100)+AX$2+AX$3)-AY$2</f>
        <v>2419273120</v>
      </c>
      <c r="AJ59" s="167">
        <v>0</v>
      </c>
      <c r="AK59" s="168">
        <v>0</v>
      </c>
      <c r="AL59" s="168">
        <v>0</v>
      </c>
      <c r="AM59" s="409">
        <f>(AJ59+AS59*(AX$9-1))+500+((AJ59+AS59*(AX$9-1))+500)*$AY$10</f>
        <v>530</v>
      </c>
      <c r="AN59" s="410">
        <f>(AK59+AT59*(AX$9-1))+500+((AK59+AT59*(AX$9-1))+500)*$AY$10</f>
        <v>530</v>
      </c>
      <c r="AO59" s="410">
        <f>(AL59+AU59*(AX$9-1))+500+((AL59+AU59*(AX$9-1))+500)*$AY$10</f>
        <v>530</v>
      </c>
      <c r="AP59" s="173">
        <v>0</v>
      </c>
      <c r="AQ59" s="174">
        <v>0</v>
      </c>
      <c r="AR59" s="174">
        <v>0</v>
      </c>
      <c r="AS59" s="171">
        <f>(((((1+20/100)*$AP59)*(1+20/100)))*(1+20/100))*(1+20/100)*(1+20/100)</f>
        <v>0</v>
      </c>
      <c r="AT59" s="172">
        <f>(((((1+20/100)*$AQ59)*(1+20/100)))*(1+20/100))*(1+20/100)*(1+20/100)</f>
        <v>0</v>
      </c>
      <c r="AU59" s="172">
        <f>(((((1+20/100)*$AR59)*(1+20/100)))*(1+20/100))*(1+20/100)*(1+20/100)</f>
        <v>0</v>
      </c>
    </row>
    <row r="60" spans="1:51" ht="14.25" customHeight="1" x14ac:dyDescent="0.25">
      <c r="A60" s="39" t="s">
        <v>448</v>
      </c>
      <c r="B60" s="406"/>
      <c r="C60" s="407"/>
      <c r="D60" s="408" t="str">
        <f>IF(ISNUMBER(MATCH(Table15[[#This Row],[General]],COVENANTS!$A$2:$A$100,0)), "Y","N")</f>
        <v>N</v>
      </c>
      <c r="E60" s="408" t="str">
        <f>IF(ISNUMBER(MATCH(Table15[[#This Row],[General]],COVENANTS!$B$2:$B$100,0)), "Y","N")</f>
        <v>N</v>
      </c>
      <c r="F60" s="408" t="str">
        <f>IF(ISNUMBER(MATCH(Table15[[#This Row],[General]],COVENANTS!$C$2:$C$100,0)), "Y","N")</f>
        <v>N</v>
      </c>
      <c r="G60" s="408" t="str">
        <f>IF(ISNUMBER(MATCH(Table15[[#This Row],[General]],COVENANTS!$D$2:$D$100,0)), "Y","N")</f>
        <v>N</v>
      </c>
      <c r="H60" s="106">
        <v>0</v>
      </c>
      <c r="I60" s="105">
        <v>0</v>
      </c>
      <c r="J60" s="105">
        <v>0</v>
      </c>
      <c r="K60" s="105">
        <v>0</v>
      </c>
      <c r="L60" s="167">
        <v>0</v>
      </c>
      <c r="M60" s="168">
        <v>0</v>
      </c>
      <c r="N60" s="168">
        <v>0</v>
      </c>
      <c r="O60" s="168">
        <v>0</v>
      </c>
      <c r="P60" s="167">
        <v>0</v>
      </c>
      <c r="Q60" s="168">
        <v>0</v>
      </c>
      <c r="R60" s="168">
        <v>0</v>
      </c>
      <c r="S60" s="168">
        <v>0</v>
      </c>
      <c r="T60" s="167">
        <v>0</v>
      </c>
      <c r="U60" s="168">
        <v>0</v>
      </c>
      <c r="V60" s="168">
        <v>0</v>
      </c>
      <c r="W60" s="168">
        <v>0</v>
      </c>
      <c r="X60" s="167">
        <v>0</v>
      </c>
      <c r="Y60" s="168">
        <v>0</v>
      </c>
      <c r="Z60" s="168">
        <v>0</v>
      </c>
      <c r="AA60" s="168">
        <v>0</v>
      </c>
      <c r="AB60" s="169">
        <f>900*0.1+(AM60-900)*0.2</f>
        <v>16</v>
      </c>
      <c r="AC60" s="170">
        <f>900*0.1+(AN60-900)*0.2</f>
        <v>16</v>
      </c>
      <c r="AD60" s="170">
        <f>900*0.1+(AO60-900)*0.2</f>
        <v>16</v>
      </c>
      <c r="AE60" s="167">
        <f>P60+T60+X60+AB60</f>
        <v>16</v>
      </c>
      <c r="AF60" s="168">
        <f>Q60+U60+Y60+AC60</f>
        <v>16</v>
      </c>
      <c r="AG60" s="168">
        <f>R60+V60+Z60+AD60</f>
        <v>16</v>
      </c>
      <c r="AH60" s="168">
        <f>S60+W60+AA60</f>
        <v>0</v>
      </c>
      <c r="AI60" s="300">
        <f>(AW$2*(AH60/100)+AW$2+AW$3)*(AX$2*(AE60/100)+AX$2+AX$3)-AY$2</f>
        <v>2419273120</v>
      </c>
      <c r="AJ60" s="167">
        <v>0</v>
      </c>
      <c r="AK60" s="168">
        <v>0</v>
      </c>
      <c r="AL60" s="168">
        <v>0</v>
      </c>
      <c r="AM60" s="409">
        <f>(AJ60+AS60*(AX$9-1))+500+((AJ60+AS60*(AX$9-1))+500)*$AY$10</f>
        <v>530</v>
      </c>
      <c r="AN60" s="410">
        <f>(AK60+AT60*(AX$9-1))+500+((AK60+AT60*(AX$9-1))+500)*$AY$10</f>
        <v>530</v>
      </c>
      <c r="AO60" s="410">
        <f>(AL60+AU60*(AX$9-1))+500+((AL60+AU60*(AX$9-1))+500)*$AY$10</f>
        <v>530</v>
      </c>
      <c r="AP60" s="173">
        <v>0</v>
      </c>
      <c r="AQ60" s="174">
        <v>0</v>
      </c>
      <c r="AR60" s="174">
        <v>0</v>
      </c>
      <c r="AS60" s="171">
        <f>(((((1+20/100)*$AP60)*(1+20/100)))*(1+20/100))*(1+20/100)*(1+20/100)</f>
        <v>0</v>
      </c>
      <c r="AT60" s="172">
        <f>(((((1+20/100)*$AQ60)*(1+20/100)))*(1+20/100))*(1+20/100)*(1+20/100)</f>
        <v>0</v>
      </c>
      <c r="AU60" s="172">
        <f>(((((1+20/100)*$AR60)*(1+20/100)))*(1+20/100))*(1+20/100)*(1+20/100)</f>
        <v>0</v>
      </c>
    </row>
    <row r="61" spans="1:51" ht="14.25" customHeight="1" x14ac:dyDescent="0.25">
      <c r="AJ61" s="23"/>
      <c r="AK61" s="23"/>
      <c r="AL61" s="23"/>
      <c r="AM61" s="23"/>
      <c r="AN61" s="23"/>
      <c r="AO61" s="23"/>
      <c r="AP61" s="23"/>
      <c r="AQ61" s="23"/>
      <c r="AR61" s="23"/>
    </row>
    <row r="62" spans="1:51" s="63" customFormat="1" ht="18" customHeight="1" x14ac:dyDescent="0.25">
      <c r="A62" s="528" t="s">
        <v>110</v>
      </c>
      <c r="B62" s="528"/>
      <c r="C62" s="529"/>
      <c r="D62" s="545" t="s">
        <v>564</v>
      </c>
      <c r="E62" s="528"/>
      <c r="F62" s="528"/>
      <c r="G62" s="528"/>
      <c r="H62" s="541" t="s">
        <v>293</v>
      </c>
      <c r="I62" s="541"/>
      <c r="J62" s="541"/>
      <c r="K62" s="542"/>
      <c r="L62" s="539" t="s">
        <v>282</v>
      </c>
      <c r="M62" s="539"/>
      <c r="N62" s="539"/>
      <c r="O62" s="540"/>
      <c r="P62" s="548" t="s">
        <v>283</v>
      </c>
      <c r="Q62" s="548"/>
      <c r="R62" s="548"/>
      <c r="S62" s="549"/>
      <c r="T62" s="550" t="s">
        <v>284</v>
      </c>
      <c r="U62" s="550"/>
      <c r="V62" s="550"/>
      <c r="W62" s="551"/>
      <c r="X62" s="552" t="s">
        <v>285</v>
      </c>
      <c r="Y62" s="552"/>
      <c r="Z62" s="552"/>
      <c r="AA62" s="553"/>
      <c r="AB62" s="554" t="s">
        <v>327</v>
      </c>
      <c r="AC62" s="554"/>
      <c r="AD62" s="555"/>
      <c r="AE62" s="520" t="s">
        <v>5</v>
      </c>
      <c r="AF62" s="520"/>
      <c r="AG62" s="520"/>
      <c r="AH62" s="520"/>
      <c r="AI62" s="522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</row>
    <row r="63" spans="1:51" ht="14.25" customHeight="1" thickBot="1" x14ac:dyDescent="0.3">
      <c r="A63" s="38" t="s">
        <v>48</v>
      </c>
      <c r="B63" s="32" t="s">
        <v>331</v>
      </c>
      <c r="C63" s="102" t="s">
        <v>0</v>
      </c>
      <c r="D63" s="32" t="s">
        <v>565</v>
      </c>
      <c r="E63" s="32" t="s">
        <v>503</v>
      </c>
      <c r="F63" s="32" t="s">
        <v>504</v>
      </c>
      <c r="G63" s="32" t="s">
        <v>505</v>
      </c>
      <c r="H63" s="103" t="s">
        <v>289</v>
      </c>
      <c r="I63" s="102" t="s">
        <v>290</v>
      </c>
      <c r="J63" s="102" t="s">
        <v>291</v>
      </c>
      <c r="K63" s="102" t="s">
        <v>292</v>
      </c>
      <c r="L63" s="103" t="s">
        <v>270</v>
      </c>
      <c r="M63" s="102" t="s">
        <v>271</v>
      </c>
      <c r="N63" s="102" t="s">
        <v>272</v>
      </c>
      <c r="O63" s="102" t="s">
        <v>273</v>
      </c>
      <c r="P63" s="103" t="s">
        <v>537</v>
      </c>
      <c r="Q63" s="102" t="s">
        <v>538</v>
      </c>
      <c r="R63" s="102" t="s">
        <v>539</v>
      </c>
      <c r="S63" s="102" t="s">
        <v>540</v>
      </c>
      <c r="T63" s="103" t="s">
        <v>541</v>
      </c>
      <c r="U63" s="102" t="s">
        <v>542</v>
      </c>
      <c r="V63" s="102" t="s">
        <v>543</v>
      </c>
      <c r="W63" s="102" t="s">
        <v>544</v>
      </c>
      <c r="X63" s="103" t="s">
        <v>545</v>
      </c>
      <c r="Y63" s="102" t="s">
        <v>546</v>
      </c>
      <c r="Z63" s="102" t="s">
        <v>547</v>
      </c>
      <c r="AA63" s="102" t="s">
        <v>548</v>
      </c>
      <c r="AB63" s="103" t="s">
        <v>549</v>
      </c>
      <c r="AC63" s="102" t="s">
        <v>550</v>
      </c>
      <c r="AD63" s="102" t="s">
        <v>551</v>
      </c>
      <c r="AE63" s="103" t="s">
        <v>552</v>
      </c>
      <c r="AF63" s="102" t="s">
        <v>553</v>
      </c>
      <c r="AG63" s="102" t="s">
        <v>554</v>
      </c>
      <c r="AH63" s="102" t="s">
        <v>555</v>
      </c>
      <c r="AI63" s="306" t="s">
        <v>274</v>
      </c>
      <c r="AJ63" s="23"/>
      <c r="AK63" s="23"/>
      <c r="AL63" s="23"/>
      <c r="AM63" s="23"/>
      <c r="AN63" s="23"/>
      <c r="AO63" s="23"/>
      <c r="AP63" s="23"/>
      <c r="AQ63" s="23"/>
      <c r="AR63" s="23"/>
    </row>
    <row r="64" spans="1:51" ht="14.25" customHeight="1" thickTop="1" x14ac:dyDescent="0.25">
      <c r="A64" s="39" t="s">
        <v>49</v>
      </c>
      <c r="B64" s="143" t="s">
        <v>333</v>
      </c>
      <c r="C64" s="144" t="s">
        <v>653</v>
      </c>
      <c r="D64" s="175" t="str">
        <f>IF(ISNUMBER(MATCH(Table16[[#This Row],[General]],COVENANTS!$A$2:$A$100,0)), "Y","N")</f>
        <v>Y</v>
      </c>
      <c r="E64" s="175" t="str">
        <f>IF(ISNUMBER(MATCH(Table16[[#This Row],[General]],COVENANTS!$B$2:$B$100,0)), "Y","N")</f>
        <v>N</v>
      </c>
      <c r="F64" s="175" t="str">
        <f>IF(ISNUMBER(MATCH(Table16[[#This Row],[General]],COVENANTS!$C$2:$C$100,0)), "Y","N")</f>
        <v>N</v>
      </c>
      <c r="G64" s="175" t="str">
        <f>IF(ISNUMBER(MATCH(Table16[[#This Row],[General]],COVENANTS!$D$2:$D$100,0)), "Y","N")</f>
        <v>Y</v>
      </c>
      <c r="H64" s="126">
        <v>25</v>
      </c>
      <c r="I64" s="127">
        <v>25</v>
      </c>
      <c r="J64" s="127">
        <v>25</v>
      </c>
      <c r="K64" s="127">
        <v>12</v>
      </c>
      <c r="L64" s="145">
        <v>55</v>
      </c>
      <c r="M64" s="146">
        <v>55</v>
      </c>
      <c r="N64" s="146">
        <v>40</v>
      </c>
      <c r="O64" s="146">
        <v>0</v>
      </c>
      <c r="P64" s="145">
        <v>0</v>
      </c>
      <c r="Q64" s="146">
        <v>0</v>
      </c>
      <c r="R64" s="146">
        <v>0</v>
      </c>
      <c r="S64" s="146">
        <v>0</v>
      </c>
      <c r="T64" s="145">
        <v>85</v>
      </c>
      <c r="U64" s="146">
        <v>10</v>
      </c>
      <c r="V64" s="146">
        <v>55</v>
      </c>
      <c r="W64" s="146">
        <v>10</v>
      </c>
      <c r="X64" s="145">
        <v>33</v>
      </c>
      <c r="Y64" s="146">
        <v>15</v>
      </c>
      <c r="Z64" s="146">
        <v>10</v>
      </c>
      <c r="AA64" s="146">
        <v>8</v>
      </c>
      <c r="AB64" s="145">
        <v>0</v>
      </c>
      <c r="AC64" s="146">
        <v>0</v>
      </c>
      <c r="AD64" s="146">
        <v>0</v>
      </c>
      <c r="AE64" s="145">
        <f>L64+T64+X64</f>
        <v>173</v>
      </c>
      <c r="AF64" s="146">
        <f>M64+U64+Y64</f>
        <v>80</v>
      </c>
      <c r="AG64" s="146">
        <f>N64+V64+Z64</f>
        <v>105</v>
      </c>
      <c r="AH64" s="146">
        <f>W64+O64+AA64</f>
        <v>18</v>
      </c>
      <c r="AI64" s="301">
        <f>(AW$2*(AH64/100)+AW$2+AW$3)*(AX$2*(AE64/100)+AX$2+AX$3)-AY$2</f>
        <v>37148709290</v>
      </c>
      <c r="AJ64" s="23"/>
      <c r="AK64" s="23"/>
      <c r="AL64" s="23"/>
      <c r="AM64" s="23"/>
      <c r="AN64" s="23"/>
      <c r="AO64" s="23"/>
      <c r="AP64" s="23"/>
      <c r="AQ64" s="23"/>
      <c r="AR64" s="23"/>
    </row>
    <row r="65" spans="1:44" ht="14.25" customHeight="1" x14ac:dyDescent="0.25">
      <c r="A65" s="39" t="s">
        <v>50</v>
      </c>
      <c r="B65" s="165" t="s">
        <v>332</v>
      </c>
      <c r="C65" s="166" t="s">
        <v>1120</v>
      </c>
      <c r="D65" s="177" t="str">
        <f>IF(ISNUMBER(MATCH(Table16[[#This Row],[General]],COVENANTS!$A$2:$A$100,0)), "Y","N")</f>
        <v>Y</v>
      </c>
      <c r="E65" s="177" t="str">
        <f>IF(ISNUMBER(MATCH(Table16[[#This Row],[General]],COVENANTS!$B$2:$B$100,0)), "Y","N")</f>
        <v>N</v>
      </c>
      <c r="F65" s="177" t="str">
        <f>IF(ISNUMBER(MATCH(Table16[[#This Row],[General]],COVENANTS!$C$2:$C$100,0)), "Y","N")</f>
        <v>N</v>
      </c>
      <c r="G65" s="177" t="str">
        <f>IF(ISNUMBER(MATCH(Table16[[#This Row],[General]],COVENANTS!$D$2:$D$100,0)), "Y","N")</f>
        <v>N</v>
      </c>
      <c r="H65" s="106">
        <v>25</v>
      </c>
      <c r="I65" s="105">
        <v>25</v>
      </c>
      <c r="J65" s="105">
        <v>25</v>
      </c>
      <c r="K65" s="105">
        <v>12</v>
      </c>
      <c r="L65" s="167">
        <v>60</v>
      </c>
      <c r="M65" s="168">
        <v>40</v>
      </c>
      <c r="N65" s="168">
        <v>60</v>
      </c>
      <c r="O65" s="168">
        <v>0</v>
      </c>
      <c r="P65" s="167">
        <v>0</v>
      </c>
      <c r="Q65" s="168">
        <v>0</v>
      </c>
      <c r="R65" s="168">
        <v>0</v>
      </c>
      <c r="S65" s="168">
        <v>0</v>
      </c>
      <c r="T65" s="167">
        <v>80</v>
      </c>
      <c r="U65" s="168">
        <v>60</v>
      </c>
      <c r="V65" s="168">
        <v>20</v>
      </c>
      <c r="W65" s="168">
        <v>6</v>
      </c>
      <c r="X65" s="167">
        <v>10</v>
      </c>
      <c r="Y65" s="168">
        <v>10</v>
      </c>
      <c r="Z65" s="168">
        <v>10</v>
      </c>
      <c r="AA65" s="168">
        <v>10</v>
      </c>
      <c r="AB65" s="167">
        <v>0</v>
      </c>
      <c r="AC65" s="168">
        <v>0</v>
      </c>
      <c r="AD65" s="168">
        <v>0</v>
      </c>
      <c r="AE65" s="167">
        <f>L65+T65+X65</f>
        <v>150</v>
      </c>
      <c r="AF65" s="168">
        <f>M65+U65+Y65</f>
        <v>110</v>
      </c>
      <c r="AG65" s="168">
        <f>N65+V65+Z65</f>
        <v>90</v>
      </c>
      <c r="AH65" s="168">
        <f>W65+O65+AA65</f>
        <v>16</v>
      </c>
      <c r="AI65" s="297">
        <f>(AW$2*(AH65/100)+AW$2+AW$3)*(AX$2*(AE65/100)+AX$2+AX$3)-AY$2</f>
        <v>32351005500</v>
      </c>
      <c r="AJ65" s="23"/>
      <c r="AK65" s="23"/>
      <c r="AL65" s="23"/>
      <c r="AM65" s="23"/>
      <c r="AN65" s="23"/>
      <c r="AO65" s="23"/>
      <c r="AP65" s="23"/>
      <c r="AQ65" s="23"/>
      <c r="AR65" s="23"/>
    </row>
    <row r="66" spans="1:44" ht="14.25" customHeight="1" x14ac:dyDescent="0.25">
      <c r="A66" s="39" t="s">
        <v>51</v>
      </c>
      <c r="B66" s="154" t="s">
        <v>332</v>
      </c>
      <c r="C66" s="155" t="s">
        <v>654</v>
      </c>
      <c r="D66" s="176" t="str">
        <f>IF(ISNUMBER(MATCH(Table16[[#This Row],[General]],COVENANTS!$A$2:$A$100,0)), "Y","N")</f>
        <v>Y</v>
      </c>
      <c r="E66" s="176" t="str">
        <f>IF(ISNUMBER(MATCH(Table16[[#This Row],[General]],COVENANTS!$B$2:$B$100,0)), "Y","N")</f>
        <v>N</v>
      </c>
      <c r="F66" s="176" t="str">
        <f>IF(ISNUMBER(MATCH(Table16[[#This Row],[General]],COVENANTS!$C$2:$C$100,0)), "Y","N")</f>
        <v>N</v>
      </c>
      <c r="G66" s="176" t="str">
        <f>IF(ISNUMBER(MATCH(Table16[[#This Row],[General]],COVENANTS!$D$2:$D$100,0)), "Y","N")</f>
        <v>Y</v>
      </c>
      <c r="H66" s="122">
        <v>25</v>
      </c>
      <c r="I66" s="123">
        <v>25</v>
      </c>
      <c r="J66" s="123">
        <v>25</v>
      </c>
      <c r="K66" s="123">
        <v>12</v>
      </c>
      <c r="L66" s="156">
        <v>55</v>
      </c>
      <c r="M66" s="157">
        <v>40</v>
      </c>
      <c r="N66" s="157">
        <v>55</v>
      </c>
      <c r="O66" s="157">
        <v>0</v>
      </c>
      <c r="P66" s="156">
        <v>130</v>
      </c>
      <c r="Q66" s="157">
        <v>85</v>
      </c>
      <c r="R66" s="157">
        <v>70</v>
      </c>
      <c r="S66" s="157">
        <v>14</v>
      </c>
      <c r="T66" s="156">
        <v>85</v>
      </c>
      <c r="U66" s="157">
        <v>60</v>
      </c>
      <c r="V66" s="157">
        <v>50</v>
      </c>
      <c r="W66" s="157">
        <v>6</v>
      </c>
      <c r="X66" s="156">
        <v>28</v>
      </c>
      <c r="Y66" s="157">
        <v>15</v>
      </c>
      <c r="Z66" s="157">
        <v>10</v>
      </c>
      <c r="AA66" s="157">
        <v>5</v>
      </c>
      <c r="AB66" s="156">
        <v>0</v>
      </c>
      <c r="AC66" s="157">
        <v>0</v>
      </c>
      <c r="AD66" s="157">
        <v>0</v>
      </c>
      <c r="AE66" s="156">
        <f>L66+T66+X66</f>
        <v>168</v>
      </c>
      <c r="AF66" s="157">
        <f>M66+U66+Y66</f>
        <v>115</v>
      </c>
      <c r="AG66" s="157">
        <f>N66+V66+Z66</f>
        <v>115</v>
      </c>
      <c r="AH66" s="157">
        <f>W66+O66+AA66</f>
        <v>11</v>
      </c>
      <c r="AI66" s="298">
        <f>(AW$2*(AH66/100)+AW$2+AW$3)*(AX$2*(AE66/100)+AX$2+AX$3)-AY$2</f>
        <v>32103899520</v>
      </c>
      <c r="AJ66" s="23"/>
      <c r="AK66" s="23"/>
      <c r="AL66" s="23"/>
      <c r="AM66" s="23"/>
      <c r="AN66" s="23"/>
      <c r="AO66" s="23"/>
      <c r="AP66" s="23"/>
      <c r="AQ66" s="23"/>
      <c r="AR66" s="23"/>
    </row>
    <row r="67" spans="1:44" ht="14.25" customHeight="1" x14ac:dyDescent="0.25">
      <c r="A67" s="39" t="s">
        <v>52</v>
      </c>
      <c r="B67" s="154" t="s">
        <v>333</v>
      </c>
      <c r="C67" s="155" t="s">
        <v>492</v>
      </c>
      <c r="D67" s="176" t="str">
        <f>IF(ISNUMBER(MATCH(Table16[[#This Row],[General]],COVENANTS!$A$2:$A$100,0)), "Y","N")</f>
        <v>Y</v>
      </c>
      <c r="E67" s="176" t="str">
        <f>IF(ISNUMBER(MATCH(Table16[[#This Row],[General]],COVENANTS!$B$2:$B$100,0)), "Y","N")</f>
        <v>N</v>
      </c>
      <c r="F67" s="176" t="str">
        <f>IF(ISNUMBER(MATCH(Table16[[#This Row],[General]],COVENANTS!$C$2:$C$100,0)), "Y","N")</f>
        <v>N</v>
      </c>
      <c r="G67" s="176" t="str">
        <f>IF(ISNUMBER(MATCH(Table16[[#This Row],[General]],COVENANTS!$D$2:$D$100,0)), "Y","N")</f>
        <v>Y</v>
      </c>
      <c r="H67" s="122">
        <v>0</v>
      </c>
      <c r="I67" s="123">
        <v>25</v>
      </c>
      <c r="J67" s="123">
        <v>25</v>
      </c>
      <c r="K67" s="123">
        <v>12</v>
      </c>
      <c r="L67" s="156">
        <v>50</v>
      </c>
      <c r="M67" s="157">
        <v>40</v>
      </c>
      <c r="N67" s="157">
        <v>40</v>
      </c>
      <c r="O67" s="157">
        <v>0</v>
      </c>
      <c r="P67" s="156">
        <v>0</v>
      </c>
      <c r="Q67" s="157">
        <v>0</v>
      </c>
      <c r="R67" s="157">
        <v>0</v>
      </c>
      <c r="S67" s="157">
        <v>0</v>
      </c>
      <c r="T67" s="156">
        <v>75</v>
      </c>
      <c r="U67" s="157">
        <v>20</v>
      </c>
      <c r="V67" s="157">
        <v>40</v>
      </c>
      <c r="W67" s="157">
        <v>10</v>
      </c>
      <c r="X67" s="156">
        <v>15</v>
      </c>
      <c r="Y67" s="157">
        <v>5</v>
      </c>
      <c r="Z67" s="157">
        <v>15</v>
      </c>
      <c r="AA67" s="157">
        <v>8</v>
      </c>
      <c r="AB67" s="156">
        <v>0</v>
      </c>
      <c r="AC67" s="157"/>
      <c r="AD67" s="157"/>
      <c r="AE67" s="156">
        <f>L67+T67+X67</f>
        <v>140</v>
      </c>
      <c r="AF67" s="157">
        <f>M67+U67+Y67</f>
        <v>65</v>
      </c>
      <c r="AG67" s="157">
        <f>N67+V67+Z67</f>
        <v>95</v>
      </c>
      <c r="AH67" s="157">
        <f>W67+O67+AA67</f>
        <v>18</v>
      </c>
      <c r="AI67" s="298">
        <f>(AW$2*(AH67/100)+AW$2+AW$3)*(AX$2*(AE67/100)+AX$2+AX$3)-AY$2</f>
        <v>31999398200</v>
      </c>
      <c r="AJ67" s="23"/>
      <c r="AK67" s="23"/>
      <c r="AL67" s="23"/>
      <c r="AM67" s="23"/>
      <c r="AN67" s="23"/>
      <c r="AO67" s="23"/>
      <c r="AP67" s="23"/>
      <c r="AQ67" s="23"/>
      <c r="AR67" s="23"/>
    </row>
    <row r="68" spans="1:44" ht="14.25" customHeight="1" x14ac:dyDescent="0.25">
      <c r="A68" s="39" t="s">
        <v>53</v>
      </c>
      <c r="B68" s="154" t="s">
        <v>333</v>
      </c>
      <c r="C68" s="155" t="s">
        <v>631</v>
      </c>
      <c r="D68" s="176" t="str">
        <f>IF(ISNUMBER(MATCH(Table16[[#This Row],[General]],COVENANTS!$A$2:$A$100,0)), "Y","N")</f>
        <v>Y</v>
      </c>
      <c r="E68" s="176" t="str">
        <f>IF(ISNUMBER(MATCH(Table16[[#This Row],[General]],COVENANTS!$B$2:$B$100,0)), "Y","N")</f>
        <v>N</v>
      </c>
      <c r="F68" s="176" t="str">
        <f>IF(ISNUMBER(MATCH(Table16[[#This Row],[General]],COVENANTS!$C$2:$C$100,0)), "Y","N")</f>
        <v>Y</v>
      </c>
      <c r="G68" s="176" t="str">
        <f>IF(ISNUMBER(MATCH(Table16[[#This Row],[General]],COVENANTS!$D$2:$D$100,0)), "Y","N")</f>
        <v>N</v>
      </c>
      <c r="H68" s="122">
        <v>25</v>
      </c>
      <c r="I68" s="123">
        <v>25</v>
      </c>
      <c r="J68" s="123">
        <v>25</v>
      </c>
      <c r="K68" s="123">
        <v>12</v>
      </c>
      <c r="L68" s="156">
        <v>55</v>
      </c>
      <c r="M68" s="157">
        <v>0</v>
      </c>
      <c r="N68" s="157">
        <v>55</v>
      </c>
      <c r="O68" s="157">
        <v>8</v>
      </c>
      <c r="P68" s="156">
        <v>0</v>
      </c>
      <c r="Q68" s="157">
        <v>0</v>
      </c>
      <c r="R68" s="157">
        <v>0</v>
      </c>
      <c r="S68" s="157">
        <v>0</v>
      </c>
      <c r="T68" s="156">
        <v>80</v>
      </c>
      <c r="U68" s="157">
        <v>50</v>
      </c>
      <c r="V68" s="157">
        <v>60</v>
      </c>
      <c r="W68" s="157">
        <v>0</v>
      </c>
      <c r="X68" s="156">
        <v>20</v>
      </c>
      <c r="Y68" s="157">
        <v>10</v>
      </c>
      <c r="Z68" s="157">
        <v>10</v>
      </c>
      <c r="AA68" s="157">
        <v>6</v>
      </c>
      <c r="AB68" s="156">
        <v>0</v>
      </c>
      <c r="AC68" s="157">
        <v>0</v>
      </c>
      <c r="AD68" s="157">
        <v>0</v>
      </c>
      <c r="AE68" s="156">
        <f>L68+T68+X68</f>
        <v>155</v>
      </c>
      <c r="AF68" s="157">
        <f>M68+U68+Y68</f>
        <v>60</v>
      </c>
      <c r="AG68" s="157">
        <f>N68+V68+Z68</f>
        <v>125</v>
      </c>
      <c r="AH68" s="157">
        <f>W68+O68+AA68</f>
        <v>14</v>
      </c>
      <c r="AI68" s="298">
        <f>(AW$2*(AH68/100)+AW$2+AW$3)*(AX$2*(AE68/100)+AX$2+AX$3)-AY$2</f>
        <v>31917041750</v>
      </c>
      <c r="AJ68" s="23"/>
      <c r="AK68" s="23"/>
      <c r="AL68" s="23"/>
      <c r="AM68" s="23"/>
      <c r="AN68" s="23"/>
      <c r="AO68" s="23"/>
      <c r="AP68" s="23"/>
      <c r="AQ68" s="23"/>
      <c r="AR68" s="23"/>
    </row>
    <row r="69" spans="1:44" ht="14.25" customHeight="1" x14ac:dyDescent="0.25">
      <c r="A69" s="39" t="s">
        <v>54</v>
      </c>
      <c r="B69" s="165" t="s">
        <v>333</v>
      </c>
      <c r="C69" s="166" t="s">
        <v>1124</v>
      </c>
      <c r="D69" s="177" t="str">
        <f>IF(ISNUMBER(MATCH(Table16[[#This Row],[General]],COVENANTS!$A$2:$A$100,0)), "Y","N")</f>
        <v>Y</v>
      </c>
      <c r="E69" s="177" t="str">
        <f>IF(ISNUMBER(MATCH(Table16[[#This Row],[General]],COVENANTS!$B$2:$B$100,0)), "Y","N")</f>
        <v>N</v>
      </c>
      <c r="F69" s="177" t="str">
        <f>IF(ISNUMBER(MATCH(Table16[[#This Row],[General]],COVENANTS!$C$2:$C$100,0)), "Y","N")</f>
        <v>N</v>
      </c>
      <c r="G69" s="177" t="str">
        <f>IF(ISNUMBER(MATCH(Table16[[#This Row],[General]],COVENANTS!$D$2:$D$100,0)), "Y","N")</f>
        <v>N</v>
      </c>
      <c r="H69" s="106">
        <v>25</v>
      </c>
      <c r="I69" s="105">
        <v>25</v>
      </c>
      <c r="J69" s="105">
        <v>25</v>
      </c>
      <c r="K69" s="105">
        <v>12</v>
      </c>
      <c r="L69" s="167">
        <v>60</v>
      </c>
      <c r="M69" s="168">
        <v>60</v>
      </c>
      <c r="N69" s="168">
        <v>45</v>
      </c>
      <c r="O69" s="168">
        <v>0</v>
      </c>
      <c r="P69" s="167">
        <v>0</v>
      </c>
      <c r="Q69" s="168">
        <v>0</v>
      </c>
      <c r="R69" s="168">
        <v>0</v>
      </c>
      <c r="S69" s="168">
        <v>0</v>
      </c>
      <c r="T69" s="167">
        <v>85</v>
      </c>
      <c r="U69" s="168">
        <v>65</v>
      </c>
      <c r="V69" s="168">
        <v>65</v>
      </c>
      <c r="W69" s="168">
        <v>0</v>
      </c>
      <c r="X69" s="167">
        <v>20</v>
      </c>
      <c r="Y69" s="168">
        <v>15</v>
      </c>
      <c r="Z69" s="168">
        <v>20</v>
      </c>
      <c r="AA69" s="168">
        <v>10</v>
      </c>
      <c r="AB69" s="167">
        <v>0</v>
      </c>
      <c r="AC69" s="168">
        <v>0</v>
      </c>
      <c r="AD69" s="168">
        <v>0</v>
      </c>
      <c r="AE69" s="167">
        <f>L69+T69+X69</f>
        <v>165</v>
      </c>
      <c r="AF69" s="168">
        <f>M69+U69+Y69</f>
        <v>140</v>
      </c>
      <c r="AG69" s="168">
        <f>N69+V69+Z69</f>
        <v>130</v>
      </c>
      <c r="AH69" s="168">
        <f>W69+O69+AA69</f>
        <v>10</v>
      </c>
      <c r="AI69" s="297">
        <f>(AW$2*(AH69/100)+AW$2+AW$3)*(AX$2*(AE69/100)+AX$2+AX$3)-AY$2</f>
        <v>31032997050</v>
      </c>
      <c r="AJ69" s="23"/>
      <c r="AK69" s="23"/>
      <c r="AL69" s="23"/>
      <c r="AM69" s="23"/>
      <c r="AN69" s="23"/>
      <c r="AO69" s="23"/>
      <c r="AP69" s="23"/>
      <c r="AQ69" s="23"/>
      <c r="AR69" s="23"/>
    </row>
    <row r="70" spans="1:44" ht="14.25" customHeight="1" x14ac:dyDescent="0.25">
      <c r="A70" s="39" t="s">
        <v>55</v>
      </c>
      <c r="B70" s="165" t="s">
        <v>332</v>
      </c>
      <c r="C70" s="166" t="s">
        <v>1153</v>
      </c>
      <c r="D70" s="177" t="str">
        <f>IF(ISNUMBER(MATCH(Table16[[#This Row],[General]],COVENANTS!$A$2:$A$100,0)), "Y","N")</f>
        <v>Y</v>
      </c>
      <c r="E70" s="177" t="str">
        <f>IF(ISNUMBER(MATCH(Table16[[#This Row],[General]],COVENANTS!$B$2:$B$100,0)), "Y","N")</f>
        <v>N</v>
      </c>
      <c r="F70" s="177" t="str">
        <f>IF(ISNUMBER(MATCH(Table16[[#This Row],[General]],COVENANTS!$C$2:$C$100,0)), "Y","N")</f>
        <v>N</v>
      </c>
      <c r="G70" s="177" t="str">
        <f>IF(ISNUMBER(MATCH(Table16[[#This Row],[General]],COVENANTS!$D$2:$D$100,0)), "Y","N")</f>
        <v>N</v>
      </c>
      <c r="H70" s="106">
        <v>25</v>
      </c>
      <c r="I70" s="105">
        <v>25</v>
      </c>
      <c r="J70" s="105">
        <v>25</v>
      </c>
      <c r="K70" s="105">
        <v>12</v>
      </c>
      <c r="L70" s="167">
        <v>60</v>
      </c>
      <c r="M70" s="168">
        <v>60</v>
      </c>
      <c r="N70" s="168">
        <v>45</v>
      </c>
      <c r="O70" s="168">
        <v>0</v>
      </c>
      <c r="P70" s="167">
        <v>0</v>
      </c>
      <c r="Q70" s="168">
        <v>0</v>
      </c>
      <c r="R70" s="168">
        <v>0</v>
      </c>
      <c r="S70" s="168">
        <v>0</v>
      </c>
      <c r="T70" s="167">
        <v>85</v>
      </c>
      <c r="U70" s="168">
        <v>75</v>
      </c>
      <c r="V70" s="168">
        <v>50</v>
      </c>
      <c r="W70" s="168">
        <v>0</v>
      </c>
      <c r="X70" s="167">
        <v>20</v>
      </c>
      <c r="Y70" s="168">
        <v>15</v>
      </c>
      <c r="Z70" s="168">
        <v>20</v>
      </c>
      <c r="AA70" s="168">
        <v>10</v>
      </c>
      <c r="AB70" s="167">
        <v>0</v>
      </c>
      <c r="AC70" s="168">
        <v>0</v>
      </c>
      <c r="AD70" s="168">
        <v>0</v>
      </c>
      <c r="AE70" s="167">
        <f>L70+T70+X70</f>
        <v>165</v>
      </c>
      <c r="AF70" s="168">
        <f>M70+U70+Y70</f>
        <v>150</v>
      </c>
      <c r="AG70" s="168">
        <f>N70+V70+Z70</f>
        <v>115</v>
      </c>
      <c r="AH70" s="168">
        <f>W70+O70+AA70</f>
        <v>10</v>
      </c>
      <c r="AI70" s="297">
        <f>(AW$2*(AH70/100)+AW$2+AW$3)*(AX$2*(AE70/100)+AX$2+AX$3)-AY$2</f>
        <v>31032997050</v>
      </c>
      <c r="AJ70" s="23"/>
      <c r="AK70" s="23"/>
      <c r="AL70" s="23"/>
      <c r="AM70" s="23"/>
      <c r="AN70" s="23"/>
      <c r="AO70" s="23"/>
      <c r="AP70" s="23"/>
      <c r="AQ70" s="23"/>
      <c r="AR70" s="23"/>
    </row>
    <row r="71" spans="1:44" ht="14.25" customHeight="1" x14ac:dyDescent="0.25">
      <c r="A71" s="39" t="s">
        <v>56</v>
      </c>
      <c r="B71" s="154" t="s">
        <v>332</v>
      </c>
      <c r="C71" s="155" t="s">
        <v>528</v>
      </c>
      <c r="D71" s="176" t="str">
        <f>IF(ISNUMBER(MATCH(Table16[[#This Row],[General]],COVENANTS!$A$2:$A$100,0)), "Y","N")</f>
        <v>Y</v>
      </c>
      <c r="E71" s="176" t="str">
        <f>IF(ISNUMBER(MATCH(Table16[[#This Row],[General]],COVENANTS!$B$2:$B$100,0)), "Y","N")</f>
        <v>N</v>
      </c>
      <c r="F71" s="176" t="str">
        <f>IF(ISNUMBER(MATCH(Table16[[#This Row],[General]],COVENANTS!$C$2:$C$100,0)), "Y","N")</f>
        <v>N</v>
      </c>
      <c r="G71" s="176" t="str">
        <f>IF(ISNUMBER(MATCH(Table16[[#This Row],[General]],COVENANTS!$D$2:$D$100,0)), "Y","N")</f>
        <v>N</v>
      </c>
      <c r="H71" s="122">
        <v>25</v>
      </c>
      <c r="I71" s="123">
        <v>25</v>
      </c>
      <c r="J71" s="123">
        <v>25</v>
      </c>
      <c r="K71" s="123">
        <v>12</v>
      </c>
      <c r="L71" s="156">
        <v>45</v>
      </c>
      <c r="M71" s="157">
        <v>45</v>
      </c>
      <c r="N71" s="157">
        <v>30</v>
      </c>
      <c r="O71" s="157">
        <v>0</v>
      </c>
      <c r="P71" s="156">
        <v>0</v>
      </c>
      <c r="Q71" s="157">
        <v>0</v>
      </c>
      <c r="R71" s="157">
        <v>0</v>
      </c>
      <c r="S71" s="157">
        <v>0</v>
      </c>
      <c r="T71" s="156">
        <v>70</v>
      </c>
      <c r="U71" s="157">
        <v>35</v>
      </c>
      <c r="V71" s="157">
        <v>45</v>
      </c>
      <c r="W71" s="157">
        <v>6</v>
      </c>
      <c r="X71" s="156">
        <v>15</v>
      </c>
      <c r="Y71" s="157">
        <v>5</v>
      </c>
      <c r="Z71" s="157">
        <v>10</v>
      </c>
      <c r="AA71" s="157">
        <v>8</v>
      </c>
      <c r="AB71" s="156">
        <v>0</v>
      </c>
      <c r="AC71" s="157">
        <v>0</v>
      </c>
      <c r="AD71" s="157">
        <v>0</v>
      </c>
      <c r="AE71" s="156">
        <f>L71+T71+X71</f>
        <v>130</v>
      </c>
      <c r="AF71" s="157">
        <f>M71+U71+Y71</f>
        <v>85</v>
      </c>
      <c r="AG71" s="157">
        <f>N71+V71+Z71</f>
        <v>85</v>
      </c>
      <c r="AH71" s="157">
        <f>W71+O71+AA71</f>
        <v>14</v>
      </c>
      <c r="AI71" s="298">
        <f>(AW$2*(AH71/100)+AW$2+AW$3)*(AX$2*(AE71/100)+AX$2+AX$3)-AY$2</f>
        <v>28042910500</v>
      </c>
      <c r="AJ71" s="23"/>
      <c r="AK71" s="23"/>
      <c r="AL71" s="23"/>
      <c r="AM71" s="23"/>
      <c r="AN71" s="23"/>
      <c r="AO71" s="23"/>
      <c r="AP71" s="23"/>
      <c r="AQ71" s="23"/>
      <c r="AR71" s="23"/>
    </row>
    <row r="72" spans="1:44" ht="14.25" customHeight="1" x14ac:dyDescent="0.25">
      <c r="A72" s="39" t="s">
        <v>57</v>
      </c>
      <c r="B72" s="154" t="s">
        <v>332</v>
      </c>
      <c r="C72" s="155" t="s">
        <v>625</v>
      </c>
      <c r="D72" s="176" t="str">
        <f>IF(ISNUMBER(MATCH(Table16[[#This Row],[General]],COVENANTS!$A$2:$A$100,0)), "Y","N")</f>
        <v>Y</v>
      </c>
      <c r="E72" s="176" t="str">
        <f>IF(ISNUMBER(MATCH(Table16[[#This Row],[General]],COVENANTS!$B$2:$B$100,0)), "Y","N")</f>
        <v>N</v>
      </c>
      <c r="F72" s="176" t="str">
        <f>IF(ISNUMBER(MATCH(Table16[[#This Row],[General]],COVENANTS!$C$2:$C$100,0)), "Y","N")</f>
        <v>N</v>
      </c>
      <c r="G72" s="176" t="str">
        <f>IF(ISNUMBER(MATCH(Table16[[#This Row],[General]],COVENANTS!$D$2:$D$100,0)), "Y","N")</f>
        <v>N</v>
      </c>
      <c r="H72" s="122">
        <v>25</v>
      </c>
      <c r="I72" s="123">
        <v>25</v>
      </c>
      <c r="J72" s="123">
        <v>25</v>
      </c>
      <c r="K72" s="123">
        <v>12</v>
      </c>
      <c r="L72" s="156">
        <v>55</v>
      </c>
      <c r="M72" s="157">
        <v>55</v>
      </c>
      <c r="N72" s="157">
        <v>35</v>
      </c>
      <c r="O72" s="157">
        <v>0</v>
      </c>
      <c r="P72" s="156">
        <v>0</v>
      </c>
      <c r="Q72" s="157">
        <v>0</v>
      </c>
      <c r="R72" s="157">
        <v>0</v>
      </c>
      <c r="S72" s="157">
        <v>0</v>
      </c>
      <c r="T72" s="156">
        <v>80</v>
      </c>
      <c r="U72" s="157">
        <v>40</v>
      </c>
      <c r="V72" s="157">
        <v>50</v>
      </c>
      <c r="W72" s="157">
        <v>0</v>
      </c>
      <c r="X72" s="156">
        <v>15</v>
      </c>
      <c r="Y72" s="157">
        <v>10</v>
      </c>
      <c r="Z72" s="157">
        <v>10</v>
      </c>
      <c r="AA72" s="157">
        <v>8</v>
      </c>
      <c r="AB72" s="156">
        <v>0</v>
      </c>
      <c r="AC72" s="157">
        <v>0</v>
      </c>
      <c r="AD72" s="157">
        <v>0</v>
      </c>
      <c r="AE72" s="156">
        <f>L72+T72+X72</f>
        <v>150</v>
      </c>
      <c r="AF72" s="157">
        <f>M72+U72+Y72</f>
        <v>105</v>
      </c>
      <c r="AG72" s="157">
        <f>N72+V72+Z72</f>
        <v>95</v>
      </c>
      <c r="AH72" s="157">
        <f>W72+O72+AA72</f>
        <v>8</v>
      </c>
      <c r="AI72" s="298">
        <f>(AW$2*(AH72/100)+AW$2+AW$3)*(AX$2*(AE72/100)+AX$2+AX$3)-AY$2</f>
        <v>27515845500</v>
      </c>
      <c r="AJ72" s="23"/>
      <c r="AK72" s="23"/>
      <c r="AL72" s="23"/>
      <c r="AM72" s="23"/>
      <c r="AN72" s="23"/>
      <c r="AO72" s="23"/>
      <c r="AP72" s="23"/>
      <c r="AQ72" s="23"/>
      <c r="AR72" s="23"/>
    </row>
    <row r="73" spans="1:44" ht="14.25" customHeight="1" x14ac:dyDescent="0.25">
      <c r="A73" s="39" t="s">
        <v>58</v>
      </c>
      <c r="B73" s="165" t="s">
        <v>332</v>
      </c>
      <c r="C73" s="166" t="s">
        <v>745</v>
      </c>
      <c r="D73" s="177" t="str">
        <f>IF(ISNUMBER(MATCH(Table16[[#This Row],[General]],COVENANTS!$A$2:$A$100,0)), "Y","N")</f>
        <v>Y</v>
      </c>
      <c r="E73" s="177" t="str">
        <f>IF(ISNUMBER(MATCH(Table16[[#This Row],[General]],COVENANTS!$B$2:$B$100,0)), "Y","N")</f>
        <v>N</v>
      </c>
      <c r="F73" s="177" t="str">
        <f>IF(ISNUMBER(MATCH(Table16[[#This Row],[General]],COVENANTS!$C$2:$C$100,0)), "Y","N")</f>
        <v>N</v>
      </c>
      <c r="G73" s="177" t="str">
        <f>IF(ISNUMBER(MATCH(Table16[[#This Row],[General]],COVENANTS!$D$2:$D$100,0)), "Y","N")</f>
        <v>N</v>
      </c>
      <c r="H73" s="106">
        <v>25</v>
      </c>
      <c r="I73" s="105">
        <v>25</v>
      </c>
      <c r="J73" s="105">
        <v>25</v>
      </c>
      <c r="K73" s="105">
        <v>12</v>
      </c>
      <c r="L73" s="167">
        <v>55</v>
      </c>
      <c r="M73" s="168">
        <v>40</v>
      </c>
      <c r="N73" s="168">
        <v>55</v>
      </c>
      <c r="O73" s="168">
        <v>0</v>
      </c>
      <c r="P73" s="167">
        <v>0</v>
      </c>
      <c r="Q73" s="168">
        <v>0</v>
      </c>
      <c r="R73" s="168">
        <v>0</v>
      </c>
      <c r="S73" s="168">
        <v>0</v>
      </c>
      <c r="T73" s="167">
        <v>75</v>
      </c>
      <c r="U73" s="168">
        <v>60</v>
      </c>
      <c r="V73" s="168">
        <v>60</v>
      </c>
      <c r="W73" s="168">
        <v>0</v>
      </c>
      <c r="X73" s="167">
        <v>20</v>
      </c>
      <c r="Y73" s="168">
        <v>10</v>
      </c>
      <c r="Z73" s="168">
        <v>15</v>
      </c>
      <c r="AA73" s="168">
        <v>8</v>
      </c>
      <c r="AB73" s="167">
        <v>0</v>
      </c>
      <c r="AC73" s="168">
        <v>0</v>
      </c>
      <c r="AD73" s="168">
        <v>0</v>
      </c>
      <c r="AE73" s="167">
        <f>L73+T73+X73</f>
        <v>150</v>
      </c>
      <c r="AF73" s="168">
        <f>M73+U73+Y73</f>
        <v>110</v>
      </c>
      <c r="AG73" s="168">
        <f>N73+V73+Z73</f>
        <v>130</v>
      </c>
      <c r="AH73" s="168">
        <f>W73+O73+AA73</f>
        <v>8</v>
      </c>
      <c r="AI73" s="297">
        <f>(AW$2*(AH73/100)+AW$2+AW$3)*(AX$2*(AE73/100)+AX$2+AX$3)-AY$2</f>
        <v>27515845500</v>
      </c>
      <c r="AJ73" s="23"/>
      <c r="AK73" s="23"/>
      <c r="AL73" s="23"/>
      <c r="AM73" s="23"/>
      <c r="AN73" s="23"/>
      <c r="AO73" s="23"/>
      <c r="AP73" s="23"/>
      <c r="AQ73" s="23"/>
      <c r="AR73" s="23"/>
    </row>
    <row r="74" spans="1:44" ht="14.25" customHeight="1" x14ac:dyDescent="0.25">
      <c r="A74" s="39" t="s">
        <v>59</v>
      </c>
      <c r="B74" s="154" t="s">
        <v>333</v>
      </c>
      <c r="C74" s="155" t="s">
        <v>530</v>
      </c>
      <c r="D74" s="176" t="str">
        <f>IF(ISNUMBER(MATCH(Table16[[#This Row],[General]],COVENANTS!$A$2:$A$100,0)), "Y","N")</f>
        <v>Y</v>
      </c>
      <c r="E74" s="176" t="str">
        <f>IF(ISNUMBER(MATCH(Table16[[#This Row],[General]],COVENANTS!$B$2:$B$100,0)), "Y","N")</f>
        <v>Y</v>
      </c>
      <c r="F74" s="176" t="str">
        <f>IF(ISNUMBER(MATCH(Table16[[#This Row],[General]],COVENANTS!$C$2:$C$100,0)), "Y","N")</f>
        <v>N</v>
      </c>
      <c r="G74" s="176" t="str">
        <f>IF(ISNUMBER(MATCH(Table16[[#This Row],[General]],COVENANTS!$D$2:$D$100,0)), "Y","N")</f>
        <v>N</v>
      </c>
      <c r="H74" s="122">
        <v>0</v>
      </c>
      <c r="I74" s="123">
        <v>25</v>
      </c>
      <c r="J74" s="123">
        <v>25</v>
      </c>
      <c r="K74" s="123">
        <v>12</v>
      </c>
      <c r="L74" s="156">
        <v>50</v>
      </c>
      <c r="M74" s="157">
        <v>40</v>
      </c>
      <c r="N74" s="157">
        <v>40</v>
      </c>
      <c r="O74" s="157">
        <v>0</v>
      </c>
      <c r="P74" s="156">
        <v>0</v>
      </c>
      <c r="Q74" s="157">
        <v>0</v>
      </c>
      <c r="R74" s="157">
        <v>0</v>
      </c>
      <c r="S74" s="157">
        <v>0</v>
      </c>
      <c r="T74" s="156">
        <v>70</v>
      </c>
      <c r="U74" s="157">
        <v>50</v>
      </c>
      <c r="V74" s="157">
        <v>40</v>
      </c>
      <c r="W74" s="157">
        <v>6</v>
      </c>
      <c r="X74" s="156">
        <v>5</v>
      </c>
      <c r="Y74" s="157">
        <v>10</v>
      </c>
      <c r="Z74" s="157">
        <v>10</v>
      </c>
      <c r="AA74" s="157">
        <v>8</v>
      </c>
      <c r="AB74" s="156">
        <v>0</v>
      </c>
      <c r="AC74" s="157">
        <v>0</v>
      </c>
      <c r="AD74" s="157">
        <v>0</v>
      </c>
      <c r="AE74" s="156">
        <f>L74+T74+X74</f>
        <v>125</v>
      </c>
      <c r="AF74" s="157">
        <f>M74+U74+Y74</f>
        <v>100</v>
      </c>
      <c r="AG74" s="157">
        <f>N74+V74+Z74</f>
        <v>90</v>
      </c>
      <c r="AH74" s="157">
        <f>W74+O74+AA74</f>
        <v>14</v>
      </c>
      <c r="AI74" s="298">
        <f>(AW$2*(AH74/100)+AW$2+AW$3)*(AX$2*(AE74/100)+AX$2+AX$3)-AY$2</f>
        <v>27268084250</v>
      </c>
      <c r="AJ74" s="23"/>
      <c r="AK74" s="23"/>
      <c r="AL74" s="23"/>
      <c r="AM74" s="23"/>
      <c r="AN74" s="23"/>
      <c r="AO74" s="23"/>
      <c r="AP74" s="23"/>
      <c r="AQ74" s="23"/>
      <c r="AR74" s="23"/>
    </row>
    <row r="75" spans="1:44" ht="14.25" customHeight="1" x14ac:dyDescent="0.25">
      <c r="A75" s="39" t="s">
        <v>60</v>
      </c>
      <c r="B75" s="154" t="s">
        <v>332</v>
      </c>
      <c r="C75" s="155" t="s">
        <v>139</v>
      </c>
      <c r="D75" s="176" t="str">
        <f>IF(ISNUMBER(MATCH(Table16[[#This Row],[General]],COVENANTS!$A$2:$A$100,0)), "Y","N")</f>
        <v>Y</v>
      </c>
      <c r="E75" s="176" t="str">
        <f>IF(ISNUMBER(MATCH(Table16[[#This Row],[General]],COVENANTS!$B$2:$B$100,0)), "Y","N")</f>
        <v>Y</v>
      </c>
      <c r="F75" s="176" t="str">
        <f>IF(ISNUMBER(MATCH(Table16[[#This Row],[General]],COVENANTS!$C$2:$C$100,0)), "Y","N")</f>
        <v>N</v>
      </c>
      <c r="G75" s="176" t="str">
        <f>IF(ISNUMBER(MATCH(Table16[[#This Row],[General]],COVENANTS!$D$2:$D$100,0)), "Y","N")</f>
        <v>Y</v>
      </c>
      <c r="H75" s="122">
        <v>25</v>
      </c>
      <c r="I75" s="123">
        <v>25</v>
      </c>
      <c r="J75" s="123">
        <v>25</v>
      </c>
      <c r="K75" s="123">
        <v>12</v>
      </c>
      <c r="L75" s="156">
        <v>45</v>
      </c>
      <c r="M75" s="157">
        <v>45</v>
      </c>
      <c r="N75" s="157">
        <v>35</v>
      </c>
      <c r="O75" s="157">
        <v>0</v>
      </c>
      <c r="P75" s="156">
        <v>0</v>
      </c>
      <c r="Q75" s="157">
        <v>0</v>
      </c>
      <c r="R75" s="157">
        <v>0</v>
      </c>
      <c r="S75" s="157">
        <v>0</v>
      </c>
      <c r="T75" s="156">
        <v>75</v>
      </c>
      <c r="U75" s="157">
        <v>45</v>
      </c>
      <c r="V75" s="157">
        <v>35</v>
      </c>
      <c r="W75" s="157">
        <v>6</v>
      </c>
      <c r="X75" s="156">
        <v>20</v>
      </c>
      <c r="Y75" s="157">
        <v>10</v>
      </c>
      <c r="Z75" s="157">
        <v>10</v>
      </c>
      <c r="AA75" s="157">
        <v>0</v>
      </c>
      <c r="AB75" s="156">
        <v>0</v>
      </c>
      <c r="AC75" s="157">
        <v>0</v>
      </c>
      <c r="AD75" s="157">
        <v>0</v>
      </c>
      <c r="AE75" s="156">
        <f>L75+T75+X75</f>
        <v>140</v>
      </c>
      <c r="AF75" s="157">
        <f>M75+U75+Y75</f>
        <v>100</v>
      </c>
      <c r="AG75" s="157">
        <f>N75+V75+Z75</f>
        <v>80</v>
      </c>
      <c r="AH75" s="157">
        <f>W75+O75+AA75</f>
        <v>6</v>
      </c>
      <c r="AI75" s="298">
        <f>(AW$2*(AH75/100)+AW$2+AW$3)*(AX$2*(AE75/100)+AX$2+AX$3)-AY$2</f>
        <v>24778892600</v>
      </c>
      <c r="AJ75" s="23"/>
      <c r="AK75" s="23"/>
      <c r="AL75" s="23"/>
      <c r="AM75" s="23"/>
      <c r="AN75" s="23"/>
      <c r="AO75" s="23"/>
      <c r="AP75" s="23"/>
      <c r="AQ75" s="23"/>
      <c r="AR75" s="23"/>
    </row>
    <row r="76" spans="1:44" ht="14.25" customHeight="1" x14ac:dyDescent="0.25">
      <c r="A76" s="39" t="s">
        <v>61</v>
      </c>
      <c r="B76" s="154" t="s">
        <v>333</v>
      </c>
      <c r="C76" s="155" t="s">
        <v>141</v>
      </c>
      <c r="D76" s="176" t="str">
        <f>IF(ISNUMBER(MATCH(Table16[[#This Row],[General]],COVENANTS!$A$2:$A$100,0)), "Y","N")</f>
        <v>Y</v>
      </c>
      <c r="E76" s="176" t="str">
        <f>IF(ISNUMBER(MATCH(Table16[[#This Row],[General]],COVENANTS!$B$2:$B$100,0)), "Y","N")</f>
        <v>Y</v>
      </c>
      <c r="F76" s="176" t="str">
        <f>IF(ISNUMBER(MATCH(Table16[[#This Row],[General]],COVENANTS!$C$2:$C$100,0)), "Y","N")</f>
        <v>N</v>
      </c>
      <c r="G76" s="176" t="str">
        <f>IF(ISNUMBER(MATCH(Table16[[#This Row],[General]],COVENANTS!$D$2:$D$100,0)), "Y","N")</f>
        <v>N</v>
      </c>
      <c r="H76" s="122">
        <v>25</v>
      </c>
      <c r="I76" s="123">
        <v>25</v>
      </c>
      <c r="J76" s="123">
        <v>25</v>
      </c>
      <c r="K76" s="123">
        <v>12</v>
      </c>
      <c r="L76" s="156">
        <v>45</v>
      </c>
      <c r="M76" s="157">
        <v>30</v>
      </c>
      <c r="N76" s="157">
        <v>45</v>
      </c>
      <c r="O76" s="157">
        <v>0</v>
      </c>
      <c r="P76" s="156">
        <v>0</v>
      </c>
      <c r="Q76" s="157">
        <v>0</v>
      </c>
      <c r="R76" s="157">
        <v>0</v>
      </c>
      <c r="S76" s="157">
        <v>0</v>
      </c>
      <c r="T76" s="156">
        <v>70</v>
      </c>
      <c r="U76" s="157">
        <v>50</v>
      </c>
      <c r="V76" s="157">
        <v>50</v>
      </c>
      <c r="W76" s="157">
        <v>0</v>
      </c>
      <c r="X76" s="156">
        <v>10</v>
      </c>
      <c r="Y76" s="157">
        <v>10</v>
      </c>
      <c r="Z76" s="157">
        <v>10</v>
      </c>
      <c r="AA76" s="157">
        <v>8</v>
      </c>
      <c r="AB76" s="156">
        <v>0</v>
      </c>
      <c r="AC76" s="157">
        <v>0</v>
      </c>
      <c r="AD76" s="157">
        <v>0</v>
      </c>
      <c r="AE76" s="156">
        <f>L76+T76+X76</f>
        <v>125</v>
      </c>
      <c r="AF76" s="157">
        <f>M76+U76+Y76</f>
        <v>90</v>
      </c>
      <c r="AG76" s="157">
        <f>N76+V76+Z76</f>
        <v>105</v>
      </c>
      <c r="AH76" s="157">
        <f>W76+O76+AA76</f>
        <v>8</v>
      </c>
      <c r="AI76" s="298">
        <f>(AW$2*(AH76/100)+AW$2+AW$3)*(AX$2*(AE76/100)+AX$2+AX$3)-AY$2</f>
        <v>23682007250</v>
      </c>
      <c r="AJ76" s="23"/>
      <c r="AK76" s="23"/>
      <c r="AL76" s="23"/>
      <c r="AM76" s="23"/>
      <c r="AN76" s="23"/>
      <c r="AO76" s="23"/>
      <c r="AP76" s="23"/>
      <c r="AQ76" s="23"/>
      <c r="AR76" s="23"/>
    </row>
    <row r="77" spans="1:44" ht="14.25" customHeight="1" x14ac:dyDescent="0.25">
      <c r="A77" s="39" t="s">
        <v>62</v>
      </c>
      <c r="B77" s="154" t="s">
        <v>332</v>
      </c>
      <c r="C77" s="155" t="s">
        <v>155</v>
      </c>
      <c r="D77" s="176" t="str">
        <f>IF(ISNUMBER(MATCH(Table16[[#This Row],[General]],COVENANTS!$A$2:$A$100,0)), "Y","N")</f>
        <v>N</v>
      </c>
      <c r="E77" s="176" t="str">
        <f>IF(ISNUMBER(MATCH(Table16[[#This Row],[General]],COVENANTS!$B$2:$B$100,0)), "Y","N")</f>
        <v>N</v>
      </c>
      <c r="F77" s="176" t="str">
        <f>IF(ISNUMBER(MATCH(Table16[[#This Row],[General]],COVENANTS!$C$2:$C$100,0)), "Y","N")</f>
        <v>Y</v>
      </c>
      <c r="G77" s="176" t="str">
        <f>IF(ISNUMBER(MATCH(Table16[[#This Row],[General]],COVENANTS!$D$2:$D$100,0)), "Y","N")</f>
        <v>N</v>
      </c>
      <c r="H77" s="122">
        <v>25</v>
      </c>
      <c r="I77" s="123">
        <v>25</v>
      </c>
      <c r="J77" s="123">
        <v>25</v>
      </c>
      <c r="K77" s="123">
        <v>12</v>
      </c>
      <c r="L77" s="156">
        <v>35</v>
      </c>
      <c r="M77" s="157">
        <v>35</v>
      </c>
      <c r="N77" s="157">
        <v>0</v>
      </c>
      <c r="O77" s="157">
        <v>10</v>
      </c>
      <c r="P77" s="156">
        <v>0</v>
      </c>
      <c r="Q77" s="157">
        <v>0</v>
      </c>
      <c r="R77" s="157">
        <v>0</v>
      </c>
      <c r="S77" s="157">
        <v>0</v>
      </c>
      <c r="T77" s="156">
        <v>70</v>
      </c>
      <c r="U77" s="157">
        <v>20</v>
      </c>
      <c r="V77" s="157">
        <v>10</v>
      </c>
      <c r="W77" s="157">
        <v>0</v>
      </c>
      <c r="X77" s="156">
        <v>0</v>
      </c>
      <c r="Y77" s="157">
        <v>0</v>
      </c>
      <c r="Z77" s="157">
        <v>0</v>
      </c>
      <c r="AA77" s="157">
        <v>0</v>
      </c>
      <c r="AB77" s="156">
        <v>0</v>
      </c>
      <c r="AC77" s="157">
        <v>0</v>
      </c>
      <c r="AD77" s="157">
        <v>0</v>
      </c>
      <c r="AE77" s="156">
        <f>L77+T77+X77</f>
        <v>105</v>
      </c>
      <c r="AF77" s="157">
        <f>M77+U77+Y77</f>
        <v>55</v>
      </c>
      <c r="AG77" s="157">
        <f>N77+V77+Z77</f>
        <v>10</v>
      </c>
      <c r="AH77" s="157">
        <f>W77+O77+AA77</f>
        <v>10</v>
      </c>
      <c r="AI77" s="298">
        <f>(AW$2*(AH77/100)+AW$2+AW$3)*(AX$2*(AE77/100)+AX$2+AX$3)-AY$2</f>
        <v>21799550850</v>
      </c>
      <c r="AJ77" s="23"/>
      <c r="AK77" s="23"/>
      <c r="AL77" s="23"/>
      <c r="AM77" s="23"/>
      <c r="AN77" s="23"/>
      <c r="AO77" s="23"/>
      <c r="AP77" s="23"/>
      <c r="AQ77" s="23"/>
      <c r="AR77" s="23"/>
    </row>
    <row r="78" spans="1:44" ht="14.25" customHeight="1" x14ac:dyDescent="0.25">
      <c r="A78" s="39" t="s">
        <v>63</v>
      </c>
      <c r="B78" s="154" t="s">
        <v>332</v>
      </c>
      <c r="C78" s="164" t="s">
        <v>146</v>
      </c>
      <c r="D78" s="176" t="str">
        <f>IF(ISNUMBER(MATCH(Table16[[#This Row],[General]],COVENANTS!$A$2:$A$100,0)), "Y","N")</f>
        <v>N</v>
      </c>
      <c r="E78" s="176" t="str">
        <f>IF(ISNUMBER(MATCH(Table16[[#This Row],[General]],COVENANTS!$B$2:$B$100,0)), "Y","N")</f>
        <v>N</v>
      </c>
      <c r="F78" s="176" t="str">
        <f>IF(ISNUMBER(MATCH(Table16[[#This Row],[General]],COVENANTS!$C$2:$C$100,0)), "Y","N")</f>
        <v>N</v>
      </c>
      <c r="G78" s="176" t="str">
        <f>IF(ISNUMBER(MATCH(Table16[[#This Row],[General]],COVENANTS!$D$2:$D$100,0)), "Y","N")</f>
        <v>Y</v>
      </c>
      <c r="H78" s="122">
        <v>25</v>
      </c>
      <c r="I78" s="123">
        <v>25</v>
      </c>
      <c r="J78" s="123">
        <v>25</v>
      </c>
      <c r="K78" s="123">
        <v>12</v>
      </c>
      <c r="L78" s="156">
        <v>40</v>
      </c>
      <c r="M78" s="157">
        <v>10</v>
      </c>
      <c r="N78" s="157">
        <v>0</v>
      </c>
      <c r="O78" s="157">
        <v>10</v>
      </c>
      <c r="P78" s="156">
        <v>0</v>
      </c>
      <c r="Q78" s="157">
        <v>0</v>
      </c>
      <c r="R78" s="157">
        <v>0</v>
      </c>
      <c r="S78" s="157">
        <v>0</v>
      </c>
      <c r="T78" s="156">
        <v>65</v>
      </c>
      <c r="U78" s="157">
        <v>30</v>
      </c>
      <c r="V78" s="157">
        <v>20</v>
      </c>
      <c r="W78" s="157">
        <v>0</v>
      </c>
      <c r="X78" s="156">
        <v>0</v>
      </c>
      <c r="Y78" s="157">
        <v>0</v>
      </c>
      <c r="Z78" s="157">
        <v>0</v>
      </c>
      <c r="AA78" s="157">
        <v>0</v>
      </c>
      <c r="AB78" s="156">
        <v>0</v>
      </c>
      <c r="AC78" s="157">
        <v>0</v>
      </c>
      <c r="AD78" s="157">
        <v>0</v>
      </c>
      <c r="AE78" s="156">
        <f>L78+T78+X78</f>
        <v>105</v>
      </c>
      <c r="AF78" s="157">
        <f>M78+U78+Y78</f>
        <v>40</v>
      </c>
      <c r="AG78" s="157">
        <f>N78+V78+Z78</f>
        <v>20</v>
      </c>
      <c r="AH78" s="157">
        <f>W78+O78+AA78</f>
        <v>10</v>
      </c>
      <c r="AI78" s="298">
        <f>(AW$2*(AH78/100)+AW$2+AW$3)*(AX$2*(AE78/100)+AX$2+AX$3)-AY$2</f>
        <v>21799550850</v>
      </c>
      <c r="AJ78" s="23"/>
      <c r="AK78" s="23"/>
      <c r="AL78" s="23"/>
      <c r="AM78" s="23"/>
      <c r="AN78" s="23"/>
      <c r="AO78" s="23"/>
      <c r="AP78" s="23"/>
      <c r="AQ78" s="23"/>
      <c r="AR78" s="23"/>
    </row>
    <row r="79" spans="1:44" ht="14.25" customHeight="1" x14ac:dyDescent="0.25">
      <c r="A79" s="39" t="s">
        <v>64</v>
      </c>
      <c r="B79" s="154" t="s">
        <v>332</v>
      </c>
      <c r="C79" s="155" t="s">
        <v>144</v>
      </c>
      <c r="D79" s="176" t="str">
        <f>IF(ISNUMBER(MATCH(Table16[[#This Row],[General]],COVENANTS!$A$2:$A$100,0)), "Y","N")</f>
        <v>Y</v>
      </c>
      <c r="E79" s="176" t="str">
        <f>IF(ISNUMBER(MATCH(Table16[[#This Row],[General]],COVENANTS!$B$2:$B$100,0)), "Y","N")</f>
        <v>N</v>
      </c>
      <c r="F79" s="176" t="str">
        <f>IF(ISNUMBER(MATCH(Table16[[#This Row],[General]],COVENANTS!$C$2:$C$100,0)), "Y","N")</f>
        <v>N</v>
      </c>
      <c r="G79" s="176" t="str">
        <f>IF(ISNUMBER(MATCH(Table16[[#This Row],[General]],COVENANTS!$D$2:$D$100,0)), "Y","N")</f>
        <v>Y</v>
      </c>
      <c r="H79" s="122">
        <v>25</v>
      </c>
      <c r="I79" s="123">
        <v>25</v>
      </c>
      <c r="J79" s="123">
        <v>25</v>
      </c>
      <c r="K79" s="123">
        <v>12</v>
      </c>
      <c r="L79" s="156">
        <v>45</v>
      </c>
      <c r="M79" s="157">
        <v>30</v>
      </c>
      <c r="N79" s="157">
        <v>45</v>
      </c>
      <c r="O79" s="157">
        <v>0</v>
      </c>
      <c r="P79" s="156">
        <v>0</v>
      </c>
      <c r="Q79" s="157">
        <v>0</v>
      </c>
      <c r="R79" s="157">
        <v>0</v>
      </c>
      <c r="S79" s="157">
        <v>0</v>
      </c>
      <c r="T79" s="156">
        <v>70</v>
      </c>
      <c r="U79" s="157">
        <v>50</v>
      </c>
      <c r="V79" s="157">
        <v>25</v>
      </c>
      <c r="W79" s="157">
        <v>0</v>
      </c>
      <c r="X79" s="156">
        <v>5</v>
      </c>
      <c r="Y79" s="157">
        <v>5</v>
      </c>
      <c r="Z79" s="157">
        <v>10</v>
      </c>
      <c r="AA79" s="157">
        <v>5</v>
      </c>
      <c r="AB79" s="156">
        <v>0</v>
      </c>
      <c r="AC79" s="157">
        <v>0</v>
      </c>
      <c r="AD79" s="157">
        <v>0</v>
      </c>
      <c r="AE79" s="156">
        <f>L79+T79+X79</f>
        <v>120</v>
      </c>
      <c r="AF79" s="157">
        <f>M79+U79+Y79</f>
        <v>85</v>
      </c>
      <c r="AG79" s="157">
        <f>N79+V79+Z79</f>
        <v>80</v>
      </c>
      <c r="AH79" s="157">
        <f>W79+O79+AA79</f>
        <v>5</v>
      </c>
      <c r="AI79" s="298">
        <f>(AW$2*(AH79/100)+AW$2+AW$3)*(AX$2*(AE79/100)+AX$2+AX$3)-AY$2</f>
        <v>21126230400</v>
      </c>
      <c r="AJ79" s="23"/>
      <c r="AK79" s="23"/>
      <c r="AL79" s="23"/>
      <c r="AM79" s="23"/>
      <c r="AN79" s="23"/>
      <c r="AO79" s="23"/>
      <c r="AP79" s="23"/>
      <c r="AQ79" s="23"/>
      <c r="AR79" s="23"/>
    </row>
    <row r="80" spans="1:44" ht="14.25" customHeight="1" x14ac:dyDescent="0.25">
      <c r="A80" s="39" t="s">
        <v>65</v>
      </c>
      <c r="B80" s="154" t="s">
        <v>332</v>
      </c>
      <c r="C80" s="155" t="s">
        <v>142</v>
      </c>
      <c r="D80" s="176" t="str">
        <f>IF(ISNUMBER(MATCH(Table16[[#This Row],[General]],COVENANTS!$A$2:$A$100,0)), "Y","N")</f>
        <v>N</v>
      </c>
      <c r="E80" s="176" t="str">
        <f>IF(ISNUMBER(MATCH(Table16[[#This Row],[General]],COVENANTS!$B$2:$B$100,0)), "Y","N")</f>
        <v>N</v>
      </c>
      <c r="F80" s="176" t="str">
        <f>IF(ISNUMBER(MATCH(Table16[[#This Row],[General]],COVENANTS!$C$2:$C$100,0)), "Y","N")</f>
        <v>Y</v>
      </c>
      <c r="G80" s="176" t="str">
        <f>IF(ISNUMBER(MATCH(Table16[[#This Row],[General]],COVENANTS!$D$2:$D$100,0)), "Y","N")</f>
        <v>N</v>
      </c>
      <c r="H80" s="122">
        <v>25</v>
      </c>
      <c r="I80" s="123">
        <v>25</v>
      </c>
      <c r="J80" s="123">
        <v>25</v>
      </c>
      <c r="K80" s="123">
        <v>12</v>
      </c>
      <c r="L80" s="156">
        <v>40</v>
      </c>
      <c r="M80" s="157">
        <v>15</v>
      </c>
      <c r="N80" s="157">
        <v>0</v>
      </c>
      <c r="O80" s="157">
        <v>0</v>
      </c>
      <c r="P80" s="156">
        <v>0</v>
      </c>
      <c r="Q80" s="157">
        <v>0</v>
      </c>
      <c r="R80" s="157">
        <v>0</v>
      </c>
      <c r="S80" s="157">
        <v>0</v>
      </c>
      <c r="T80" s="156">
        <v>65</v>
      </c>
      <c r="U80" s="157">
        <v>45</v>
      </c>
      <c r="V80" s="157">
        <v>10</v>
      </c>
      <c r="W80" s="157">
        <v>6</v>
      </c>
      <c r="X80" s="156">
        <v>10</v>
      </c>
      <c r="Y80" s="157">
        <v>0</v>
      </c>
      <c r="Z80" s="157">
        <v>0</v>
      </c>
      <c r="AA80" s="157">
        <v>0</v>
      </c>
      <c r="AB80" s="156">
        <v>0</v>
      </c>
      <c r="AC80" s="157">
        <v>0</v>
      </c>
      <c r="AD80" s="157">
        <v>0</v>
      </c>
      <c r="AE80" s="156">
        <f>L80+T80+X80</f>
        <v>115</v>
      </c>
      <c r="AF80" s="157">
        <f>M80+U80+Y80</f>
        <v>60</v>
      </c>
      <c r="AG80" s="157">
        <f>N80+V80+Z80</f>
        <v>10</v>
      </c>
      <c r="AH80" s="157">
        <f>W80+O80+AA80</f>
        <v>6</v>
      </c>
      <c r="AI80" s="298">
        <f>(AW$2*(AH80/100)+AW$2+AW$3)*(AX$2*(AE80/100)+AX$2+AX$3)-AY$2</f>
        <v>20958485350</v>
      </c>
      <c r="AJ80" s="23"/>
      <c r="AK80" s="23"/>
      <c r="AL80" s="23"/>
      <c r="AM80" s="23"/>
      <c r="AN80" s="23"/>
      <c r="AO80" s="23"/>
      <c r="AP80" s="23"/>
      <c r="AQ80" s="23"/>
      <c r="AR80" s="23"/>
    </row>
    <row r="81" spans="1:44" ht="14.25" customHeight="1" x14ac:dyDescent="0.25">
      <c r="A81" s="39" t="s">
        <v>66</v>
      </c>
      <c r="B81" s="154" t="s">
        <v>332</v>
      </c>
      <c r="C81" s="155" t="s">
        <v>259</v>
      </c>
      <c r="D81" s="176" t="str">
        <f>IF(ISNUMBER(MATCH(Table16[[#This Row],[General]],COVENANTS!$A$2:$A$100,0)), "Y","N")</f>
        <v>Y</v>
      </c>
      <c r="E81" s="176" t="str">
        <f>IF(ISNUMBER(MATCH(Table16[[#This Row],[General]],COVENANTS!$B$2:$B$100,0)), "Y","N")</f>
        <v>N</v>
      </c>
      <c r="F81" s="176" t="str">
        <f>IF(ISNUMBER(MATCH(Table16[[#This Row],[General]],COVENANTS!$C$2:$C$100,0)), "Y","N")</f>
        <v>N</v>
      </c>
      <c r="G81" s="176" t="str">
        <f>IF(ISNUMBER(MATCH(Table16[[#This Row],[General]],COVENANTS!$D$2:$D$100,0)), "Y","N")</f>
        <v>Y</v>
      </c>
      <c r="H81" s="122">
        <v>25</v>
      </c>
      <c r="I81" s="123">
        <v>25</v>
      </c>
      <c r="J81" s="123">
        <v>25</v>
      </c>
      <c r="K81" s="123">
        <v>12</v>
      </c>
      <c r="L81" s="156">
        <v>50</v>
      </c>
      <c r="M81" s="157">
        <v>35</v>
      </c>
      <c r="N81" s="157">
        <v>50</v>
      </c>
      <c r="O81" s="157"/>
      <c r="P81" s="156">
        <v>0</v>
      </c>
      <c r="Q81" s="157">
        <v>0</v>
      </c>
      <c r="R81" s="157">
        <v>0</v>
      </c>
      <c r="S81" s="157">
        <v>0</v>
      </c>
      <c r="T81" s="156">
        <v>70</v>
      </c>
      <c r="U81" s="157">
        <v>45</v>
      </c>
      <c r="V81" s="157">
        <v>55</v>
      </c>
      <c r="W81" s="157"/>
      <c r="X81" s="156">
        <v>15</v>
      </c>
      <c r="Y81" s="157">
        <v>10</v>
      </c>
      <c r="Z81" s="157">
        <v>15</v>
      </c>
      <c r="AA81" s="157"/>
      <c r="AB81" s="156">
        <v>0</v>
      </c>
      <c r="AC81" s="157">
        <v>0</v>
      </c>
      <c r="AD81" s="157">
        <v>0</v>
      </c>
      <c r="AE81" s="156">
        <f>L81+T81+X81</f>
        <v>135</v>
      </c>
      <c r="AF81" s="157">
        <f>M81+U81+Y81</f>
        <v>90</v>
      </c>
      <c r="AG81" s="157">
        <f>N81+V81+Z81</f>
        <v>120</v>
      </c>
      <c r="AH81" s="157">
        <f>W81+O81+AA81</f>
        <v>0</v>
      </c>
      <c r="AI81" s="298">
        <f>(AW$2*(AH81/100)+AW$2+AW$3)*(AX$2*(AE81/100)+AX$2+AX$3)-AY$2</f>
        <v>20412616950</v>
      </c>
      <c r="AJ81" s="23"/>
      <c r="AK81" s="23"/>
      <c r="AL81" s="23"/>
      <c r="AM81" s="23"/>
      <c r="AN81" s="23"/>
      <c r="AO81" s="23"/>
      <c r="AP81" s="23"/>
      <c r="AQ81" s="23"/>
      <c r="AR81" s="23"/>
    </row>
    <row r="82" spans="1:44" ht="14.25" customHeight="1" x14ac:dyDescent="0.25">
      <c r="A82" s="39" t="s">
        <v>67</v>
      </c>
      <c r="B82" s="154" t="s">
        <v>333</v>
      </c>
      <c r="C82" s="155" t="s">
        <v>154</v>
      </c>
      <c r="D82" s="176" t="str">
        <f>IF(ISNUMBER(MATCH(Table16[[#This Row],[General]],COVENANTS!$A$2:$A$100,0)), "Y","N")</f>
        <v>N</v>
      </c>
      <c r="E82" s="176" t="str">
        <f>IF(ISNUMBER(MATCH(Table16[[#This Row],[General]],COVENANTS!$B$2:$B$100,0)), "Y","N")</f>
        <v>N</v>
      </c>
      <c r="F82" s="176" t="str">
        <f>IF(ISNUMBER(MATCH(Table16[[#This Row],[General]],COVENANTS!$C$2:$C$100,0)), "Y","N")</f>
        <v>Y</v>
      </c>
      <c r="G82" s="176" t="str">
        <f>IF(ISNUMBER(MATCH(Table16[[#This Row],[General]],COVENANTS!$D$2:$D$100,0)), "Y","N")</f>
        <v>Y</v>
      </c>
      <c r="H82" s="122">
        <v>0</v>
      </c>
      <c r="I82" s="123">
        <v>25</v>
      </c>
      <c r="J82" s="123">
        <v>25</v>
      </c>
      <c r="K82" s="123">
        <v>12</v>
      </c>
      <c r="L82" s="156">
        <v>40</v>
      </c>
      <c r="M82" s="157">
        <v>45</v>
      </c>
      <c r="N82" s="157">
        <v>0</v>
      </c>
      <c r="O82" s="157">
        <v>0</v>
      </c>
      <c r="P82" s="156">
        <v>0</v>
      </c>
      <c r="Q82" s="157">
        <v>0</v>
      </c>
      <c r="R82" s="157">
        <v>0</v>
      </c>
      <c r="S82" s="157">
        <v>0</v>
      </c>
      <c r="T82" s="156">
        <v>70</v>
      </c>
      <c r="U82" s="157">
        <v>40</v>
      </c>
      <c r="V82" s="157">
        <v>20</v>
      </c>
      <c r="W82" s="157">
        <v>6</v>
      </c>
      <c r="X82" s="156">
        <v>0</v>
      </c>
      <c r="Y82" s="157">
        <v>0</v>
      </c>
      <c r="Z82" s="157">
        <v>0</v>
      </c>
      <c r="AA82" s="157">
        <v>0</v>
      </c>
      <c r="AB82" s="156">
        <v>0</v>
      </c>
      <c r="AC82" s="157">
        <v>0</v>
      </c>
      <c r="AD82" s="157">
        <v>0</v>
      </c>
      <c r="AE82" s="156">
        <f>L82+T82+X82</f>
        <v>110</v>
      </c>
      <c r="AF82" s="157">
        <f>M82+U82+Y82</f>
        <v>85</v>
      </c>
      <c r="AG82" s="157">
        <f>N82+V82+Z82</f>
        <v>20</v>
      </c>
      <c r="AH82" s="157">
        <f>W82+O82+AA82</f>
        <v>6</v>
      </c>
      <c r="AI82" s="298">
        <f>(AW$2*(AH82/100)+AW$2+AW$3)*(AX$2*(AE82/100)+AX$2+AX$3)-AY$2</f>
        <v>20194403900</v>
      </c>
      <c r="AJ82" s="23"/>
      <c r="AK82" s="23"/>
      <c r="AL82" s="23"/>
      <c r="AM82" s="23"/>
      <c r="AN82" s="23"/>
      <c r="AO82" s="23"/>
      <c r="AP82" s="23"/>
      <c r="AQ82" s="23"/>
      <c r="AR82" s="23"/>
    </row>
    <row r="83" spans="1:44" ht="14.25" customHeight="1" x14ac:dyDescent="0.25">
      <c r="A83" s="39" t="s">
        <v>68</v>
      </c>
      <c r="B83" s="154" t="s">
        <v>333</v>
      </c>
      <c r="C83" s="155" t="s">
        <v>148</v>
      </c>
      <c r="D83" s="176" t="str">
        <f>IF(ISNUMBER(MATCH(Table16[[#This Row],[General]],COVENANTS!$A$2:$A$100,0)), "Y","N")</f>
        <v>N</v>
      </c>
      <c r="E83" s="176" t="str">
        <f>IF(ISNUMBER(MATCH(Table16[[#This Row],[General]],COVENANTS!$B$2:$B$100,0)), "Y","N")</f>
        <v>N</v>
      </c>
      <c r="F83" s="176" t="str">
        <f>IF(ISNUMBER(MATCH(Table16[[#This Row],[General]],COVENANTS!$C$2:$C$100,0)), "Y","N")</f>
        <v>N</v>
      </c>
      <c r="G83" s="176" t="str">
        <f>IF(ISNUMBER(MATCH(Table16[[#This Row],[General]],COVENANTS!$D$2:$D$100,0)), "Y","N")</f>
        <v>Y</v>
      </c>
      <c r="H83" s="122">
        <v>0</v>
      </c>
      <c r="I83" s="123">
        <v>25</v>
      </c>
      <c r="J83" s="123">
        <v>25</v>
      </c>
      <c r="K83" s="123">
        <v>12</v>
      </c>
      <c r="L83" s="156">
        <v>40</v>
      </c>
      <c r="M83" s="157">
        <v>20</v>
      </c>
      <c r="N83" s="157">
        <v>20</v>
      </c>
      <c r="O83" s="157">
        <v>0</v>
      </c>
      <c r="P83" s="156">
        <v>0</v>
      </c>
      <c r="Q83" s="157">
        <v>0</v>
      </c>
      <c r="R83" s="157">
        <v>0</v>
      </c>
      <c r="S83" s="157">
        <v>0</v>
      </c>
      <c r="T83" s="156">
        <v>65</v>
      </c>
      <c r="U83" s="157">
        <v>45</v>
      </c>
      <c r="V83" s="157">
        <v>10</v>
      </c>
      <c r="W83" s="157">
        <v>6</v>
      </c>
      <c r="X83" s="156">
        <v>0</v>
      </c>
      <c r="Y83" s="157">
        <v>0</v>
      </c>
      <c r="Z83" s="157">
        <v>0</v>
      </c>
      <c r="AA83" s="157">
        <v>0</v>
      </c>
      <c r="AB83" s="156">
        <v>0</v>
      </c>
      <c r="AC83" s="157">
        <v>0</v>
      </c>
      <c r="AD83" s="157">
        <v>0</v>
      </c>
      <c r="AE83" s="156">
        <f>L83+T83+X83</f>
        <v>105</v>
      </c>
      <c r="AF83" s="157">
        <f>M83+U83+Y83</f>
        <v>65</v>
      </c>
      <c r="AG83" s="157">
        <f>N83+V83+Z83</f>
        <v>30</v>
      </c>
      <c r="AH83" s="157">
        <f>W83+O83+AA83</f>
        <v>6</v>
      </c>
      <c r="AI83" s="298">
        <f>(AW$2*(AH83/100)+AW$2+AW$3)*(AX$2*(AE83/100)+AX$2+AX$3)-AY$2</f>
        <v>19430322450</v>
      </c>
      <c r="AJ83" s="23"/>
      <c r="AK83" s="23"/>
      <c r="AL83" s="23"/>
      <c r="AM83" s="23"/>
      <c r="AN83" s="23"/>
      <c r="AO83" s="23"/>
      <c r="AP83" s="23"/>
      <c r="AQ83" s="23"/>
      <c r="AR83" s="23"/>
    </row>
    <row r="84" spans="1:44" ht="14.25" customHeight="1" x14ac:dyDescent="0.25">
      <c r="A84" s="39" t="s">
        <v>69</v>
      </c>
      <c r="B84" s="154" t="s">
        <v>332</v>
      </c>
      <c r="C84" s="155" t="s">
        <v>143</v>
      </c>
      <c r="D84" s="176" t="str">
        <f>IF(ISNUMBER(MATCH(Table16[[#This Row],[General]],COVENANTS!$A$2:$A$100,0)), "Y","N")</f>
        <v>Y</v>
      </c>
      <c r="E84" s="176" t="str">
        <f>IF(ISNUMBER(MATCH(Table16[[#This Row],[General]],COVENANTS!$B$2:$B$100,0)), "Y","N")</f>
        <v>N</v>
      </c>
      <c r="F84" s="176" t="str">
        <f>IF(ISNUMBER(MATCH(Table16[[#This Row],[General]],COVENANTS!$C$2:$C$100,0)), "Y","N")</f>
        <v>N</v>
      </c>
      <c r="G84" s="176" t="str">
        <f>IF(ISNUMBER(MATCH(Table16[[#This Row],[General]],COVENANTS!$D$2:$D$100,0)), "Y","N")</f>
        <v>N</v>
      </c>
      <c r="H84" s="122">
        <v>25</v>
      </c>
      <c r="I84" s="123">
        <v>25</v>
      </c>
      <c r="J84" s="123">
        <v>25</v>
      </c>
      <c r="K84" s="123">
        <v>12</v>
      </c>
      <c r="L84" s="156">
        <v>40</v>
      </c>
      <c r="M84" s="157">
        <v>30</v>
      </c>
      <c r="N84" s="157">
        <v>30</v>
      </c>
      <c r="O84" s="157">
        <v>0</v>
      </c>
      <c r="P84" s="156">
        <v>0</v>
      </c>
      <c r="Q84" s="157">
        <v>0</v>
      </c>
      <c r="R84" s="157">
        <v>0</v>
      </c>
      <c r="S84" s="157">
        <v>0</v>
      </c>
      <c r="T84" s="156">
        <v>70</v>
      </c>
      <c r="U84" s="157">
        <v>60</v>
      </c>
      <c r="V84" s="157">
        <v>10</v>
      </c>
      <c r="W84" s="157">
        <v>0</v>
      </c>
      <c r="X84" s="156">
        <v>15</v>
      </c>
      <c r="Y84" s="157">
        <v>5</v>
      </c>
      <c r="Z84" s="157">
        <v>5</v>
      </c>
      <c r="AA84" s="157">
        <v>0</v>
      </c>
      <c r="AB84" s="156">
        <v>0</v>
      </c>
      <c r="AC84" s="157">
        <v>0</v>
      </c>
      <c r="AD84" s="157">
        <v>0</v>
      </c>
      <c r="AE84" s="156">
        <f>L84+T84+X84</f>
        <v>125</v>
      </c>
      <c r="AF84" s="157">
        <f>M84+U84+Y84</f>
        <v>95</v>
      </c>
      <c r="AG84" s="157">
        <f>N84+V84+Z84</f>
        <v>45</v>
      </c>
      <c r="AH84" s="157">
        <f>W84+O84+AA84</f>
        <v>0</v>
      </c>
      <c r="AI84" s="298">
        <f>(AW$2*(AH84/100)+AW$2+AW$3)*(AX$2*(AE84/100)+AX$2+AX$3)-AY$2</f>
        <v>18900571250</v>
      </c>
    </row>
    <row r="85" spans="1:44" ht="14.25" customHeight="1" x14ac:dyDescent="0.25">
      <c r="A85" s="39" t="s">
        <v>70</v>
      </c>
      <c r="B85" s="154" t="s">
        <v>333</v>
      </c>
      <c r="C85" s="164" t="s">
        <v>151</v>
      </c>
      <c r="D85" s="176" t="str">
        <f>IF(ISNUMBER(MATCH(Table16[[#This Row],[General]],COVENANTS!$A$2:$A$100,0)), "Y","N")</f>
        <v>N</v>
      </c>
      <c r="E85" s="176" t="str">
        <f>IF(ISNUMBER(MATCH(Table16[[#This Row],[General]],COVENANTS!$B$2:$B$100,0)), "Y","N")</f>
        <v>N</v>
      </c>
      <c r="F85" s="176" t="str">
        <f>IF(ISNUMBER(MATCH(Table16[[#This Row],[General]],COVENANTS!$C$2:$C$100,0)), "Y","N")</f>
        <v>N</v>
      </c>
      <c r="G85" s="176" t="str">
        <f>IF(ISNUMBER(MATCH(Table16[[#This Row],[General]],COVENANTS!$D$2:$D$100,0)), "Y","N")</f>
        <v>N</v>
      </c>
      <c r="H85" s="122">
        <v>25</v>
      </c>
      <c r="I85" s="123">
        <v>25</v>
      </c>
      <c r="J85" s="123">
        <v>25</v>
      </c>
      <c r="K85" s="123">
        <v>12</v>
      </c>
      <c r="L85" s="156">
        <v>25</v>
      </c>
      <c r="M85" s="157">
        <v>0</v>
      </c>
      <c r="N85" s="157">
        <v>0</v>
      </c>
      <c r="O85" s="157">
        <v>0</v>
      </c>
      <c r="P85" s="156">
        <v>0</v>
      </c>
      <c r="Q85" s="157">
        <v>0</v>
      </c>
      <c r="R85" s="157">
        <v>0</v>
      </c>
      <c r="S85" s="157">
        <v>0</v>
      </c>
      <c r="T85" s="156">
        <v>61</v>
      </c>
      <c r="U85" s="157">
        <v>10</v>
      </c>
      <c r="V85" s="157">
        <v>0</v>
      </c>
      <c r="W85" s="157">
        <v>10</v>
      </c>
      <c r="X85" s="156">
        <v>0</v>
      </c>
      <c r="Y85" s="157">
        <v>0</v>
      </c>
      <c r="Z85" s="157">
        <v>0</v>
      </c>
      <c r="AA85" s="157">
        <v>0</v>
      </c>
      <c r="AB85" s="156">
        <v>0</v>
      </c>
      <c r="AC85" s="157">
        <v>0</v>
      </c>
      <c r="AD85" s="157">
        <v>0</v>
      </c>
      <c r="AE85" s="156">
        <f>L85+T85+X85</f>
        <v>86</v>
      </c>
      <c r="AF85" s="157">
        <f>M85+U85+Y85</f>
        <v>10</v>
      </c>
      <c r="AG85" s="157">
        <f>N85+V85+Z85</f>
        <v>0</v>
      </c>
      <c r="AH85" s="157">
        <f>W85+O85+AA85</f>
        <v>10</v>
      </c>
      <c r="AI85" s="298">
        <f>(AW$2*(AH85/100)+AW$2+AW$3)*(AX$2*(AE85/100)+AX$2+AX$3)-AY$2</f>
        <v>18875626220</v>
      </c>
    </row>
    <row r="86" spans="1:44" ht="14.25" customHeight="1" x14ac:dyDescent="0.25">
      <c r="A86" s="39" t="s">
        <v>71</v>
      </c>
      <c r="B86" s="154" t="s">
        <v>332</v>
      </c>
      <c r="C86" s="164" t="s">
        <v>147</v>
      </c>
      <c r="D86" s="176" t="str">
        <f>IF(ISNUMBER(MATCH(Table16[[#This Row],[General]],COVENANTS!$A$2:$A$100,0)), "Y","N")</f>
        <v>N</v>
      </c>
      <c r="E86" s="176" t="str">
        <f>IF(ISNUMBER(MATCH(Table16[[#This Row],[General]],COVENANTS!$B$2:$B$100,0)), "Y","N")</f>
        <v>Y</v>
      </c>
      <c r="F86" s="176" t="str">
        <f>IF(ISNUMBER(MATCH(Table16[[#This Row],[General]],COVENANTS!$C$2:$C$100,0)), "Y","N")</f>
        <v>N</v>
      </c>
      <c r="G86" s="176" t="str">
        <f>IF(ISNUMBER(MATCH(Table16[[#This Row],[General]],COVENANTS!$D$2:$D$100,0)), "Y","N")</f>
        <v>N</v>
      </c>
      <c r="H86" s="122">
        <v>25</v>
      </c>
      <c r="I86" s="123">
        <v>25</v>
      </c>
      <c r="J86" s="123">
        <v>25</v>
      </c>
      <c r="K86" s="123">
        <v>12</v>
      </c>
      <c r="L86" s="156">
        <v>35</v>
      </c>
      <c r="M86" s="157">
        <v>0</v>
      </c>
      <c r="N86" s="157">
        <v>0</v>
      </c>
      <c r="O86" s="157">
        <v>0</v>
      </c>
      <c r="P86" s="156">
        <v>0</v>
      </c>
      <c r="Q86" s="157">
        <v>0</v>
      </c>
      <c r="R86" s="157">
        <v>0</v>
      </c>
      <c r="S86" s="157">
        <v>0</v>
      </c>
      <c r="T86" s="156">
        <v>56</v>
      </c>
      <c r="U86" s="157">
        <v>10</v>
      </c>
      <c r="V86" s="157">
        <v>20</v>
      </c>
      <c r="W86" s="157">
        <v>6</v>
      </c>
      <c r="X86" s="156">
        <v>10</v>
      </c>
      <c r="Y86" s="157">
        <v>0</v>
      </c>
      <c r="Z86" s="157">
        <v>15</v>
      </c>
      <c r="AA86" s="157">
        <v>0</v>
      </c>
      <c r="AB86" s="156">
        <v>0</v>
      </c>
      <c r="AC86" s="157">
        <v>0</v>
      </c>
      <c r="AD86" s="157">
        <v>0</v>
      </c>
      <c r="AE86" s="156">
        <f>L86+T86+X86</f>
        <v>101</v>
      </c>
      <c r="AF86" s="157">
        <f>M86+U86+Y86</f>
        <v>10</v>
      </c>
      <c r="AG86" s="157">
        <f>N86+V86+Z86</f>
        <v>35</v>
      </c>
      <c r="AH86" s="157">
        <f>W86+O86+AA86</f>
        <v>6</v>
      </c>
      <c r="AI86" s="298">
        <f>(AW$2*(AH86/100)+AW$2+AW$3)*(AX$2*(AE86/100)+AX$2+AX$3)-AY$2</f>
        <v>18819057290</v>
      </c>
    </row>
    <row r="87" spans="1:44" ht="14.25" customHeight="1" x14ac:dyDescent="0.25">
      <c r="A87" s="39" t="s">
        <v>72</v>
      </c>
      <c r="B87" s="154" t="s">
        <v>333</v>
      </c>
      <c r="C87" s="164" t="s">
        <v>159</v>
      </c>
      <c r="D87" s="176" t="str">
        <f>IF(ISNUMBER(MATCH(Table16[[#This Row],[General]],COVENANTS!$A$2:$A$100,0)), "Y","N")</f>
        <v>N</v>
      </c>
      <c r="E87" s="176" t="str">
        <f>IF(ISNUMBER(MATCH(Table16[[#This Row],[General]],COVENANTS!$B$2:$B$100,0)), "Y","N")</f>
        <v>N</v>
      </c>
      <c r="F87" s="176" t="str">
        <f>IF(ISNUMBER(MATCH(Table16[[#This Row],[General]],COVENANTS!$C$2:$C$100,0)), "Y","N")</f>
        <v>Y</v>
      </c>
      <c r="G87" s="176" t="str">
        <f>IF(ISNUMBER(MATCH(Table16[[#This Row],[General]],COVENANTS!$D$2:$D$100,0)), "Y","N")</f>
        <v>N</v>
      </c>
      <c r="H87" s="122">
        <v>25</v>
      </c>
      <c r="I87" s="123">
        <v>25</v>
      </c>
      <c r="J87" s="123">
        <v>25</v>
      </c>
      <c r="K87" s="123">
        <v>12</v>
      </c>
      <c r="L87" s="156">
        <v>15</v>
      </c>
      <c r="M87" s="157">
        <v>0</v>
      </c>
      <c r="N87" s="157">
        <v>0</v>
      </c>
      <c r="O87" s="157">
        <v>10</v>
      </c>
      <c r="P87" s="156">
        <v>0</v>
      </c>
      <c r="Q87" s="157">
        <v>0</v>
      </c>
      <c r="R87" s="157">
        <v>0</v>
      </c>
      <c r="S87" s="157">
        <v>0</v>
      </c>
      <c r="T87" s="156">
        <v>46</v>
      </c>
      <c r="U87" s="157">
        <v>26</v>
      </c>
      <c r="V87" s="157">
        <v>36</v>
      </c>
      <c r="W87" s="157">
        <v>6</v>
      </c>
      <c r="X87" s="156">
        <v>0</v>
      </c>
      <c r="Y87" s="157">
        <v>0</v>
      </c>
      <c r="Z87" s="157">
        <v>0</v>
      </c>
      <c r="AA87" s="157">
        <v>0</v>
      </c>
      <c r="AB87" s="156">
        <v>0</v>
      </c>
      <c r="AC87" s="157">
        <v>0</v>
      </c>
      <c r="AD87" s="157">
        <v>0</v>
      </c>
      <c r="AE87" s="156">
        <f>L87+T87+X87</f>
        <v>61</v>
      </c>
      <c r="AF87" s="157">
        <f>M87+U87+Y87</f>
        <v>26</v>
      </c>
      <c r="AG87" s="157">
        <f>N87+V87+Z87</f>
        <v>36</v>
      </c>
      <c r="AH87" s="157">
        <f>W87+O87+AA87</f>
        <v>16</v>
      </c>
      <c r="AI87" s="298">
        <f>(AW$2*(AH87/100)+AW$2+AW$3)*(AX$2*(AE87/100)+AX$2+AX$3)-AY$2</f>
        <v>18511283890</v>
      </c>
    </row>
    <row r="88" spans="1:44" ht="14.25" customHeight="1" x14ac:dyDescent="0.25">
      <c r="A88" s="39" t="s">
        <v>73</v>
      </c>
      <c r="B88" s="154" t="s">
        <v>332</v>
      </c>
      <c r="C88" s="155" t="s">
        <v>287</v>
      </c>
      <c r="D88" s="176" t="str">
        <f>IF(ISNUMBER(MATCH(Table16[[#This Row],[General]],COVENANTS!$A$2:$A$100,0)), "Y","N")</f>
        <v>N</v>
      </c>
      <c r="E88" s="176" t="str">
        <f>IF(ISNUMBER(MATCH(Table16[[#This Row],[General]],COVENANTS!$B$2:$B$100,0)), "Y","N")</f>
        <v>N</v>
      </c>
      <c r="F88" s="176" t="str">
        <f>IF(ISNUMBER(MATCH(Table16[[#This Row],[General]],COVENANTS!$C$2:$C$100,0)), "Y","N")</f>
        <v>N</v>
      </c>
      <c r="G88" s="176" t="str">
        <f>IF(ISNUMBER(MATCH(Table16[[#This Row],[General]],COVENANTS!$D$2:$D$100,0)), "Y","N")</f>
        <v>N</v>
      </c>
      <c r="H88" s="122">
        <v>25</v>
      </c>
      <c r="I88" s="123">
        <v>25</v>
      </c>
      <c r="J88" s="123">
        <v>25</v>
      </c>
      <c r="K88" s="123">
        <v>12</v>
      </c>
      <c r="L88" s="156">
        <v>55</v>
      </c>
      <c r="M88" s="157">
        <v>20</v>
      </c>
      <c r="N88" s="157">
        <v>0</v>
      </c>
      <c r="O88" s="157">
        <v>0</v>
      </c>
      <c r="P88" s="156">
        <v>0</v>
      </c>
      <c r="Q88" s="157">
        <v>0</v>
      </c>
      <c r="R88" s="157">
        <v>0</v>
      </c>
      <c r="S88" s="157">
        <v>0</v>
      </c>
      <c r="T88" s="156">
        <v>65</v>
      </c>
      <c r="U88" s="157">
        <v>20</v>
      </c>
      <c r="V88" s="157">
        <v>40</v>
      </c>
      <c r="W88" s="157">
        <v>0</v>
      </c>
      <c r="X88" s="156">
        <v>0</v>
      </c>
      <c r="Y88" s="157">
        <v>0</v>
      </c>
      <c r="Z88" s="157">
        <v>0</v>
      </c>
      <c r="AA88" s="157">
        <v>0</v>
      </c>
      <c r="AB88" s="156">
        <v>0</v>
      </c>
      <c r="AC88" s="157">
        <v>0</v>
      </c>
      <c r="AD88" s="157">
        <v>0</v>
      </c>
      <c r="AE88" s="156">
        <f>L88+T88+X88</f>
        <v>120</v>
      </c>
      <c r="AF88" s="157">
        <f>M88+U88+Y88</f>
        <v>40</v>
      </c>
      <c r="AG88" s="157">
        <f>N88+V88+Z88</f>
        <v>40</v>
      </c>
      <c r="AH88" s="157">
        <f>W88+O88+AA88</f>
        <v>0</v>
      </c>
      <c r="AI88" s="298">
        <f>(AW$2*(AH88/100)+AW$2+AW$3)*(AX$2*(AE88/100)+AX$2+AX$3)-AY$2</f>
        <v>18144548400</v>
      </c>
    </row>
    <row r="89" spans="1:44" ht="14.25" customHeight="1" x14ac:dyDescent="0.25">
      <c r="A89" s="39" t="s">
        <v>74</v>
      </c>
      <c r="B89" s="154" t="s">
        <v>332</v>
      </c>
      <c r="C89" s="155" t="s">
        <v>160</v>
      </c>
      <c r="D89" s="176" t="str">
        <f>IF(ISNUMBER(MATCH(Table16[[#This Row],[General]],COVENANTS!$A$2:$A$100,0)), "Y","N")</f>
        <v>N</v>
      </c>
      <c r="E89" s="176" t="str">
        <f>IF(ISNUMBER(MATCH(Table16[[#This Row],[General]],COVENANTS!$B$2:$B$100,0)), "Y","N")</f>
        <v>N</v>
      </c>
      <c r="F89" s="176" t="str">
        <f>IF(ISNUMBER(MATCH(Table16[[#This Row],[General]],COVENANTS!$C$2:$C$100,0)), "Y","N")</f>
        <v>N</v>
      </c>
      <c r="G89" s="176" t="str">
        <f>IF(ISNUMBER(MATCH(Table16[[#This Row],[General]],COVENANTS!$D$2:$D$100,0)), "Y","N")</f>
        <v>N</v>
      </c>
      <c r="H89" s="122">
        <v>25</v>
      </c>
      <c r="I89" s="123">
        <v>25</v>
      </c>
      <c r="J89" s="123">
        <v>25</v>
      </c>
      <c r="K89" s="123">
        <v>12</v>
      </c>
      <c r="L89" s="156">
        <v>35</v>
      </c>
      <c r="M89" s="157">
        <v>0</v>
      </c>
      <c r="N89" s="157">
        <v>0</v>
      </c>
      <c r="O89" s="157">
        <v>0</v>
      </c>
      <c r="P89" s="156">
        <v>0</v>
      </c>
      <c r="Q89" s="157">
        <v>0</v>
      </c>
      <c r="R89" s="157">
        <v>0</v>
      </c>
      <c r="S89" s="157">
        <v>0</v>
      </c>
      <c r="T89" s="156">
        <v>61</v>
      </c>
      <c r="U89" s="157">
        <v>45</v>
      </c>
      <c r="V89" s="157">
        <v>0</v>
      </c>
      <c r="W89" s="157">
        <v>6</v>
      </c>
      <c r="X89" s="156">
        <v>0</v>
      </c>
      <c r="Y89" s="157">
        <v>0</v>
      </c>
      <c r="Z89" s="157">
        <v>0</v>
      </c>
      <c r="AA89" s="157">
        <v>0</v>
      </c>
      <c r="AB89" s="156">
        <v>0</v>
      </c>
      <c r="AC89" s="157">
        <v>0</v>
      </c>
      <c r="AD89" s="157">
        <v>0</v>
      </c>
      <c r="AE89" s="156">
        <f>L89+T89+X89</f>
        <v>96</v>
      </c>
      <c r="AF89" s="157">
        <f>M89+U89+Y89</f>
        <v>45</v>
      </c>
      <c r="AG89" s="157">
        <f>N89+V89+Z89</f>
        <v>0</v>
      </c>
      <c r="AH89" s="157">
        <f>W89+O89+AA89</f>
        <v>6</v>
      </c>
      <c r="AI89" s="298">
        <f>(AW$2*(AH89/100)+AW$2+AW$3)*(AX$2*(AE89/100)+AX$2+AX$3)-AY$2</f>
        <v>18054975840</v>
      </c>
    </row>
    <row r="90" spans="1:44" ht="14.25" customHeight="1" x14ac:dyDescent="0.25">
      <c r="A90" s="39" t="s">
        <v>75</v>
      </c>
      <c r="B90" s="154" t="s">
        <v>333</v>
      </c>
      <c r="C90" s="155" t="s">
        <v>514</v>
      </c>
      <c r="D90" s="176" t="str">
        <f>IF(ISNUMBER(MATCH(Table16[[#This Row],[General]],COVENANTS!$A$2:$A$100,0)), "Y","N")</f>
        <v>Y</v>
      </c>
      <c r="E90" s="176" t="str">
        <f>IF(ISNUMBER(MATCH(Table16[[#This Row],[General]],COVENANTS!$B$2:$B$100,0)), "Y","N")</f>
        <v>N</v>
      </c>
      <c r="F90" s="176" t="str">
        <f>IF(ISNUMBER(MATCH(Table16[[#This Row],[General]],COVENANTS!$C$2:$C$100,0)), "Y","N")</f>
        <v>N</v>
      </c>
      <c r="G90" s="176" t="str">
        <f>IF(ISNUMBER(MATCH(Table16[[#This Row],[General]],COVENANTS!$D$2:$D$100,0)), "Y","N")</f>
        <v>N</v>
      </c>
      <c r="H90" s="122">
        <v>25</v>
      </c>
      <c r="I90" s="123">
        <v>25</v>
      </c>
      <c r="J90" s="123">
        <v>25</v>
      </c>
      <c r="K90" s="123">
        <v>12</v>
      </c>
      <c r="L90" s="156">
        <v>40</v>
      </c>
      <c r="M90" s="157">
        <v>10</v>
      </c>
      <c r="N90" s="157">
        <v>40</v>
      </c>
      <c r="O90" s="157">
        <v>0</v>
      </c>
      <c r="P90" s="156">
        <v>0</v>
      </c>
      <c r="Q90" s="157">
        <v>0</v>
      </c>
      <c r="R90" s="157">
        <v>0</v>
      </c>
      <c r="S90" s="157">
        <v>0</v>
      </c>
      <c r="T90" s="156">
        <v>50</v>
      </c>
      <c r="U90" s="157">
        <v>30</v>
      </c>
      <c r="V90" s="157">
        <v>30</v>
      </c>
      <c r="W90" s="157">
        <v>6</v>
      </c>
      <c r="X90" s="156">
        <v>5</v>
      </c>
      <c r="Y90" s="157">
        <v>5</v>
      </c>
      <c r="Z90" s="157">
        <v>0</v>
      </c>
      <c r="AA90" s="157">
        <v>0</v>
      </c>
      <c r="AB90" s="156">
        <v>0</v>
      </c>
      <c r="AC90" s="157">
        <v>0</v>
      </c>
      <c r="AD90" s="157">
        <v>0</v>
      </c>
      <c r="AE90" s="156">
        <f>L90+T90+X90</f>
        <v>95</v>
      </c>
      <c r="AF90" s="157">
        <f>M90+U90+Y90</f>
        <v>45</v>
      </c>
      <c r="AG90" s="157">
        <f>N90+V90+Z90</f>
        <v>70</v>
      </c>
      <c r="AH90" s="157">
        <f>W90+O90+AA90</f>
        <v>6</v>
      </c>
      <c r="AI90" s="298">
        <f>(AW$2*(AH90/100)+AW$2+AW$3)*(AX$2*(AE90/100)+AX$2+AX$3)-AY$2</f>
        <v>17902159550</v>
      </c>
    </row>
    <row r="91" spans="1:44" ht="14.25" customHeight="1" x14ac:dyDescent="0.25">
      <c r="A91" s="39" t="s">
        <v>76</v>
      </c>
      <c r="B91" s="154" t="s">
        <v>332</v>
      </c>
      <c r="C91" s="164" t="s">
        <v>163</v>
      </c>
      <c r="D91" s="176" t="str">
        <f>IF(ISNUMBER(MATCH(Table16[[#This Row],[General]],COVENANTS!$A$2:$A$100,0)), "Y","N")</f>
        <v>N</v>
      </c>
      <c r="E91" s="176" t="str">
        <f>IF(ISNUMBER(MATCH(Table16[[#This Row],[General]],COVENANTS!$B$2:$B$100,0)), "Y","N")</f>
        <v>N</v>
      </c>
      <c r="F91" s="176" t="str">
        <f>IF(ISNUMBER(MATCH(Table16[[#This Row],[General]],COVENANTS!$C$2:$C$100,0)), "Y","N")</f>
        <v>Y</v>
      </c>
      <c r="G91" s="176" t="str">
        <f>IF(ISNUMBER(MATCH(Table16[[#This Row],[General]],COVENANTS!$D$2:$D$100,0)), "Y","N")</f>
        <v>N</v>
      </c>
      <c r="H91" s="122">
        <v>25</v>
      </c>
      <c r="I91" s="123">
        <v>25</v>
      </c>
      <c r="J91" s="123">
        <v>25</v>
      </c>
      <c r="K91" s="123">
        <v>12</v>
      </c>
      <c r="L91" s="156">
        <v>30</v>
      </c>
      <c r="M91" s="157">
        <v>0</v>
      </c>
      <c r="N91" s="157">
        <v>0</v>
      </c>
      <c r="O91" s="157">
        <v>0</v>
      </c>
      <c r="P91" s="156">
        <v>0</v>
      </c>
      <c r="Q91" s="157">
        <v>0</v>
      </c>
      <c r="R91" s="157">
        <v>0</v>
      </c>
      <c r="S91" s="157">
        <v>0</v>
      </c>
      <c r="T91" s="156">
        <v>65</v>
      </c>
      <c r="U91" s="157">
        <v>20</v>
      </c>
      <c r="V91" s="157">
        <v>10</v>
      </c>
      <c r="W91" s="157">
        <v>6</v>
      </c>
      <c r="X91" s="156">
        <v>0</v>
      </c>
      <c r="Y91" s="157">
        <v>0</v>
      </c>
      <c r="Z91" s="157">
        <v>0</v>
      </c>
      <c r="AA91" s="157">
        <v>0</v>
      </c>
      <c r="AB91" s="156">
        <v>0</v>
      </c>
      <c r="AC91" s="157">
        <v>0</v>
      </c>
      <c r="AD91" s="157">
        <v>0</v>
      </c>
      <c r="AE91" s="156">
        <f>L91+T91+X91</f>
        <v>95</v>
      </c>
      <c r="AF91" s="157">
        <f>M91+U91+Y91</f>
        <v>20</v>
      </c>
      <c r="AG91" s="157">
        <f>N91+V91+Z91</f>
        <v>10</v>
      </c>
      <c r="AH91" s="157">
        <f>W91+O91+AA91</f>
        <v>6</v>
      </c>
      <c r="AI91" s="298">
        <f>(AW$2*(AH91/100)+AW$2+AW$3)*(AX$2*(AE91/100)+AX$2+AX$3)-AY$2</f>
        <v>17902159550</v>
      </c>
    </row>
    <row r="92" spans="1:44" ht="14.25" customHeight="1" x14ac:dyDescent="0.25">
      <c r="A92" s="39" t="s">
        <v>77</v>
      </c>
      <c r="B92" s="154" t="s">
        <v>333</v>
      </c>
      <c r="C92" s="155" t="s">
        <v>640</v>
      </c>
      <c r="D92" s="176" t="str">
        <f>IF(ISNUMBER(MATCH(Table16[[#This Row],[General]],COVENANTS!$A$2:$A$100,0)), "Y","N")</f>
        <v>N</v>
      </c>
      <c r="E92" s="176" t="str">
        <f>IF(ISNUMBER(MATCH(Table16[[#This Row],[General]],COVENANTS!$B$2:$B$100,0)), "Y","N")</f>
        <v>Y</v>
      </c>
      <c r="F92" s="176" t="str">
        <f>IF(ISNUMBER(MATCH(Table16[[#This Row],[General]],COVENANTS!$C$2:$C$100,0)), "Y","N")</f>
        <v>N</v>
      </c>
      <c r="G92" s="176" t="str">
        <f>IF(ISNUMBER(MATCH(Table16[[#This Row],[General]],COVENANTS!$D$2:$D$100,0)), "Y","N")</f>
        <v>N</v>
      </c>
      <c r="H92" s="122">
        <v>0</v>
      </c>
      <c r="I92" s="123">
        <v>25</v>
      </c>
      <c r="J92" s="123">
        <v>25</v>
      </c>
      <c r="K92" s="123">
        <v>12</v>
      </c>
      <c r="L92" s="156">
        <v>40</v>
      </c>
      <c r="M92" s="157">
        <v>0</v>
      </c>
      <c r="N92" s="157">
        <v>0</v>
      </c>
      <c r="O92" s="157">
        <v>0</v>
      </c>
      <c r="P92" s="156">
        <v>0</v>
      </c>
      <c r="Q92" s="157">
        <v>0</v>
      </c>
      <c r="R92" s="157">
        <v>0</v>
      </c>
      <c r="S92" s="157">
        <v>0</v>
      </c>
      <c r="T92" s="156">
        <v>76</v>
      </c>
      <c r="U92" s="157">
        <v>10</v>
      </c>
      <c r="V92" s="157">
        <v>20</v>
      </c>
      <c r="W92" s="157">
        <v>0</v>
      </c>
      <c r="X92" s="156">
        <v>0</v>
      </c>
      <c r="Y92" s="157">
        <v>0</v>
      </c>
      <c r="Z92" s="157">
        <v>0</v>
      </c>
      <c r="AA92" s="157">
        <v>0</v>
      </c>
      <c r="AB92" s="156">
        <v>0</v>
      </c>
      <c r="AC92" s="157">
        <v>0</v>
      </c>
      <c r="AD92" s="157">
        <v>0</v>
      </c>
      <c r="AE92" s="156">
        <f>L92+T92+X92</f>
        <v>116</v>
      </c>
      <c r="AF92" s="157">
        <f>M92+U92+Y92</f>
        <v>10</v>
      </c>
      <c r="AG92" s="157">
        <f>N92+V92+Z92</f>
        <v>20</v>
      </c>
      <c r="AH92" s="157">
        <f>W92+O92+AA92</f>
        <v>0</v>
      </c>
      <c r="AI92" s="298">
        <f>(AW$2*(AH92/100)+AW$2+AW$3)*(AX$2*(AE92/100)+AX$2+AX$3)-AY$2</f>
        <v>17539730120</v>
      </c>
    </row>
    <row r="93" spans="1:44" ht="14.25" customHeight="1" x14ac:dyDescent="0.25">
      <c r="A93" s="39" t="s">
        <v>78</v>
      </c>
      <c r="B93" s="154" t="s">
        <v>332</v>
      </c>
      <c r="C93" s="164" t="s">
        <v>166</v>
      </c>
      <c r="D93" s="176" t="str">
        <f>IF(ISNUMBER(MATCH(Table16[[#This Row],[General]],COVENANTS!$A$2:$A$100,0)), "Y","N")</f>
        <v>N</v>
      </c>
      <c r="E93" s="176" t="str">
        <f>IF(ISNUMBER(MATCH(Table16[[#This Row],[General]],COVENANTS!$B$2:$B$100,0)), "Y","N")</f>
        <v>Y</v>
      </c>
      <c r="F93" s="176" t="str">
        <f>IF(ISNUMBER(MATCH(Table16[[#This Row],[General]],COVENANTS!$C$2:$C$100,0)), "Y","N")</f>
        <v>N</v>
      </c>
      <c r="G93" s="176" t="str">
        <f>IF(ISNUMBER(MATCH(Table16[[#This Row],[General]],COVENANTS!$D$2:$D$100,0)), "Y","N")</f>
        <v>N</v>
      </c>
      <c r="H93" s="122">
        <v>25</v>
      </c>
      <c r="I93" s="123">
        <v>25</v>
      </c>
      <c r="J93" s="123">
        <v>25</v>
      </c>
      <c r="K93" s="123">
        <v>0</v>
      </c>
      <c r="L93" s="156">
        <v>0</v>
      </c>
      <c r="M93" s="157">
        <v>0</v>
      </c>
      <c r="N93" s="157">
        <v>0</v>
      </c>
      <c r="O93" s="157">
        <v>15</v>
      </c>
      <c r="P93" s="156">
        <v>0</v>
      </c>
      <c r="Q93" s="157">
        <v>0</v>
      </c>
      <c r="R93" s="157">
        <v>0</v>
      </c>
      <c r="S93" s="157">
        <v>0</v>
      </c>
      <c r="T93" s="156">
        <v>0</v>
      </c>
      <c r="U93" s="157">
        <v>0</v>
      </c>
      <c r="V93" s="157">
        <v>0</v>
      </c>
      <c r="W93" s="157">
        <v>16</v>
      </c>
      <c r="X93" s="156">
        <v>0</v>
      </c>
      <c r="Y93" s="157">
        <v>0</v>
      </c>
      <c r="Z93" s="157">
        <v>0</v>
      </c>
      <c r="AA93" s="157">
        <v>0</v>
      </c>
      <c r="AB93" s="156">
        <v>0</v>
      </c>
      <c r="AC93" s="157">
        <v>0</v>
      </c>
      <c r="AD93" s="157">
        <v>0</v>
      </c>
      <c r="AE93" s="156">
        <f>L93+T93+X93</f>
        <v>0</v>
      </c>
      <c r="AF93" s="157">
        <f>M93+U93+Y93</f>
        <v>0</v>
      </c>
      <c r="AG93" s="157">
        <f>N93+V93+Z93</f>
        <v>0</v>
      </c>
      <c r="AH93" s="157">
        <f>W93+O93+AA93</f>
        <v>31</v>
      </c>
      <c r="AI93" s="298">
        <f>(AW$2*(AH93/100)+AW$2+AW$3)*(AX$2*(AE93/100)+AX$2+AX$3)-AY$2</f>
        <v>17487162000</v>
      </c>
    </row>
    <row r="94" spans="1:44" ht="14.25" customHeight="1" x14ac:dyDescent="0.25">
      <c r="A94" s="39" t="s">
        <v>79</v>
      </c>
      <c r="B94" s="154" t="s">
        <v>332</v>
      </c>
      <c r="C94" s="155" t="s">
        <v>150</v>
      </c>
      <c r="D94" s="176" t="str">
        <f>IF(ISNUMBER(MATCH(Table16[[#This Row],[General]],COVENANTS!$A$2:$A$100,0)), "Y","N")</f>
        <v>N</v>
      </c>
      <c r="E94" s="176" t="str">
        <f>IF(ISNUMBER(MATCH(Table16[[#This Row],[General]],COVENANTS!$B$2:$B$100,0)), "Y","N")</f>
        <v>N</v>
      </c>
      <c r="F94" s="176" t="str">
        <f>IF(ISNUMBER(MATCH(Table16[[#This Row],[General]],COVENANTS!$C$2:$C$100,0)), "Y","N")</f>
        <v>N</v>
      </c>
      <c r="G94" s="176" t="str">
        <f>IF(ISNUMBER(MATCH(Table16[[#This Row],[General]],COVENANTS!$D$2:$D$100,0)), "Y","N")</f>
        <v>N</v>
      </c>
      <c r="H94" s="122">
        <v>25</v>
      </c>
      <c r="I94" s="123">
        <v>25</v>
      </c>
      <c r="J94" s="123">
        <v>25</v>
      </c>
      <c r="K94" s="123">
        <v>12</v>
      </c>
      <c r="L94" s="156">
        <v>35</v>
      </c>
      <c r="M94" s="157">
        <v>0</v>
      </c>
      <c r="N94" s="157">
        <v>30</v>
      </c>
      <c r="O94" s="157">
        <v>0</v>
      </c>
      <c r="P94" s="156">
        <v>0</v>
      </c>
      <c r="Q94" s="157">
        <v>0</v>
      </c>
      <c r="R94" s="157">
        <v>0</v>
      </c>
      <c r="S94" s="157">
        <v>0</v>
      </c>
      <c r="T94" s="156">
        <v>56</v>
      </c>
      <c r="U94" s="157">
        <v>25</v>
      </c>
      <c r="V94" s="157">
        <v>15</v>
      </c>
      <c r="W94" s="157">
        <v>6</v>
      </c>
      <c r="X94" s="156">
        <v>0</v>
      </c>
      <c r="Y94" s="157">
        <v>0</v>
      </c>
      <c r="Z94" s="157">
        <v>0</v>
      </c>
      <c r="AA94" s="157">
        <v>0</v>
      </c>
      <c r="AB94" s="156">
        <v>0</v>
      </c>
      <c r="AC94" s="157">
        <v>0</v>
      </c>
      <c r="AD94" s="157">
        <v>0</v>
      </c>
      <c r="AE94" s="156">
        <f>L94+T94+X94</f>
        <v>91</v>
      </c>
      <c r="AF94" s="157">
        <f>M94+U94+Y94</f>
        <v>25</v>
      </c>
      <c r="AG94" s="157">
        <f>N94+V94+Z94</f>
        <v>45</v>
      </c>
      <c r="AH94" s="157">
        <f>W94+O94+AA94</f>
        <v>6</v>
      </c>
      <c r="AI94" s="298">
        <f>(AW$2*(AH94/100)+AW$2+AW$3)*(AX$2*(AE94/100)+AX$2+AX$3)-AY$2</f>
        <v>17290894390</v>
      </c>
    </row>
    <row r="95" spans="1:44" ht="14.25" customHeight="1" x14ac:dyDescent="0.25">
      <c r="A95" s="39" t="s">
        <v>80</v>
      </c>
      <c r="B95" s="154" t="s">
        <v>332</v>
      </c>
      <c r="C95" s="155" t="s">
        <v>145</v>
      </c>
      <c r="D95" s="176" t="str">
        <f>IF(ISNUMBER(MATCH(Table16[[#This Row],[General]],COVENANTS!$A$2:$A$100,0)), "Y","N")</f>
        <v>N</v>
      </c>
      <c r="E95" s="176" t="str">
        <f>IF(ISNUMBER(MATCH(Table16[[#This Row],[General]],COVENANTS!$B$2:$B$100,0)), "Y","N")</f>
        <v>N</v>
      </c>
      <c r="F95" s="176" t="str">
        <f>IF(ISNUMBER(MATCH(Table16[[#This Row],[General]],COVENANTS!$C$2:$C$100,0)), "Y","N")</f>
        <v>N</v>
      </c>
      <c r="G95" s="176" t="str">
        <f>IF(ISNUMBER(MATCH(Table16[[#This Row],[General]],COVENANTS!$D$2:$D$100,0)), "Y","N")</f>
        <v>N</v>
      </c>
      <c r="H95" s="122">
        <v>25</v>
      </c>
      <c r="I95" s="123">
        <v>25</v>
      </c>
      <c r="J95" s="123">
        <v>25</v>
      </c>
      <c r="K95" s="123">
        <v>12</v>
      </c>
      <c r="L95" s="156">
        <v>45</v>
      </c>
      <c r="M95" s="157">
        <v>45</v>
      </c>
      <c r="N95" s="157">
        <v>0</v>
      </c>
      <c r="O95" s="157">
        <v>0</v>
      </c>
      <c r="P95" s="156">
        <v>0</v>
      </c>
      <c r="Q95" s="157">
        <v>0</v>
      </c>
      <c r="R95" s="157">
        <v>0</v>
      </c>
      <c r="S95" s="157">
        <v>0</v>
      </c>
      <c r="T95" s="156">
        <v>65</v>
      </c>
      <c r="U95" s="157">
        <v>50</v>
      </c>
      <c r="V95" s="157">
        <v>20</v>
      </c>
      <c r="W95" s="157">
        <v>0</v>
      </c>
      <c r="X95" s="156">
        <v>0</v>
      </c>
      <c r="Y95" s="157">
        <v>0</v>
      </c>
      <c r="Z95" s="157">
        <v>0</v>
      </c>
      <c r="AA95" s="157">
        <v>0</v>
      </c>
      <c r="AB95" s="156">
        <v>0</v>
      </c>
      <c r="AC95" s="157">
        <v>0</v>
      </c>
      <c r="AD95" s="157">
        <v>0</v>
      </c>
      <c r="AE95" s="156">
        <f>L95+T95+X95</f>
        <v>110</v>
      </c>
      <c r="AF95" s="157">
        <f>M95+U95+Y95</f>
        <v>95</v>
      </c>
      <c r="AG95" s="157">
        <f>N95+V95+Z95</f>
        <v>20</v>
      </c>
      <c r="AH95" s="157">
        <f>W95+O95+AA95</f>
        <v>0</v>
      </c>
      <c r="AI95" s="298">
        <f>(AW$2*(AH95/100)+AW$2+AW$3)*(AX$2*(AE95/100)+AX$2+AX$3)-AY$2</f>
        <v>16632502700</v>
      </c>
    </row>
    <row r="96" spans="1:44" ht="14.25" customHeight="1" x14ac:dyDescent="0.25">
      <c r="A96" s="39" t="s">
        <v>81</v>
      </c>
      <c r="B96" s="154" t="s">
        <v>333</v>
      </c>
      <c r="C96" s="155" t="s">
        <v>526</v>
      </c>
      <c r="D96" s="176" t="str">
        <f>IF(ISNUMBER(MATCH(Table16[[#This Row],[General]],COVENANTS!$A$2:$A$100,0)), "Y","N")</f>
        <v>Y</v>
      </c>
      <c r="E96" s="176" t="str">
        <f>IF(ISNUMBER(MATCH(Table16[[#This Row],[General]],COVENANTS!$B$2:$B$100,0)), "Y","N")</f>
        <v>N</v>
      </c>
      <c r="F96" s="176" t="str">
        <f>IF(ISNUMBER(MATCH(Table16[[#This Row],[General]],COVENANTS!$C$2:$C$100,0)), "Y","N")</f>
        <v>Y</v>
      </c>
      <c r="G96" s="176" t="str">
        <f>IF(ISNUMBER(MATCH(Table16[[#This Row],[General]],COVENANTS!$D$2:$D$100,0)), "Y","N")</f>
        <v>N</v>
      </c>
      <c r="H96" s="122">
        <v>0</v>
      </c>
      <c r="I96" s="123">
        <v>25</v>
      </c>
      <c r="J96" s="123">
        <v>25</v>
      </c>
      <c r="K96" s="123">
        <v>12</v>
      </c>
      <c r="L96" s="156">
        <v>45</v>
      </c>
      <c r="M96" s="157">
        <v>35</v>
      </c>
      <c r="N96" s="157">
        <v>35</v>
      </c>
      <c r="O96" s="157">
        <v>0</v>
      </c>
      <c r="P96" s="156">
        <v>0</v>
      </c>
      <c r="Q96" s="157">
        <v>0</v>
      </c>
      <c r="R96" s="157">
        <v>0</v>
      </c>
      <c r="S96" s="157">
        <v>0</v>
      </c>
      <c r="T96" s="156">
        <v>55</v>
      </c>
      <c r="U96" s="157">
        <v>50</v>
      </c>
      <c r="V96" s="157">
        <v>50</v>
      </c>
      <c r="W96" s="157">
        <v>0</v>
      </c>
      <c r="X96" s="156">
        <v>5</v>
      </c>
      <c r="Y96" s="157">
        <v>10</v>
      </c>
      <c r="Z96" s="157">
        <v>10</v>
      </c>
      <c r="AA96" s="157">
        <v>0</v>
      </c>
      <c r="AB96" s="156">
        <v>0</v>
      </c>
      <c r="AC96" s="157">
        <v>0</v>
      </c>
      <c r="AD96" s="157">
        <v>0</v>
      </c>
      <c r="AE96" s="156">
        <f>L96+T96+X96</f>
        <v>105</v>
      </c>
      <c r="AF96" s="157">
        <f>M96+U96+Y96</f>
        <v>95</v>
      </c>
      <c r="AG96" s="157">
        <f>N96+V96+Z96</f>
        <v>95</v>
      </c>
      <c r="AH96" s="157">
        <f>W96+O96+AA96</f>
        <v>0</v>
      </c>
      <c r="AI96" s="298">
        <f>(AW$2*(AH96/100)+AW$2+AW$3)*(AX$2*(AE96/100)+AX$2+AX$3)-AY$2</f>
        <v>15876479850</v>
      </c>
    </row>
    <row r="97" spans="1:35" ht="14.25" customHeight="1" x14ac:dyDescent="0.25">
      <c r="A97" s="39" t="s">
        <v>207</v>
      </c>
      <c r="B97" s="154" t="s">
        <v>332</v>
      </c>
      <c r="C97" s="155" t="s">
        <v>152</v>
      </c>
      <c r="D97" s="176" t="str">
        <f>IF(ISNUMBER(MATCH(Table16[[#This Row],[General]],COVENANTS!$A$2:$A$100,0)), "Y","N")</f>
        <v>N</v>
      </c>
      <c r="E97" s="176" t="str">
        <f>IF(ISNUMBER(MATCH(Table16[[#This Row],[General]],COVENANTS!$B$2:$B$100,0)), "Y","N")</f>
        <v>N</v>
      </c>
      <c r="F97" s="176" t="str">
        <f>IF(ISNUMBER(MATCH(Table16[[#This Row],[General]],COVENANTS!$C$2:$C$100,0)), "Y","N")</f>
        <v>N</v>
      </c>
      <c r="G97" s="176" t="str">
        <f>IF(ISNUMBER(MATCH(Table16[[#This Row],[General]],COVENANTS!$D$2:$D$100,0)), "Y","N")</f>
        <v>N</v>
      </c>
      <c r="H97" s="122">
        <v>25</v>
      </c>
      <c r="I97" s="123">
        <v>25</v>
      </c>
      <c r="J97" s="123">
        <v>25</v>
      </c>
      <c r="K97" s="123">
        <v>12</v>
      </c>
      <c r="L97" s="156">
        <v>25</v>
      </c>
      <c r="M97" s="157">
        <v>0</v>
      </c>
      <c r="N97" s="157">
        <v>0</v>
      </c>
      <c r="O97" s="157">
        <v>0</v>
      </c>
      <c r="P97" s="156">
        <v>0</v>
      </c>
      <c r="Q97" s="157">
        <v>0</v>
      </c>
      <c r="R97" s="157">
        <v>0</v>
      </c>
      <c r="S97" s="157">
        <v>0</v>
      </c>
      <c r="T97" s="156">
        <v>66</v>
      </c>
      <c r="U97" s="157">
        <v>0</v>
      </c>
      <c r="V97" s="157">
        <v>10</v>
      </c>
      <c r="W97" s="157">
        <v>0</v>
      </c>
      <c r="X97" s="156">
        <v>0</v>
      </c>
      <c r="Y97" s="157">
        <v>0</v>
      </c>
      <c r="Z97" s="157">
        <v>0</v>
      </c>
      <c r="AA97" s="157">
        <v>0</v>
      </c>
      <c r="AB97" s="156">
        <v>0</v>
      </c>
      <c r="AC97" s="157">
        <v>0</v>
      </c>
      <c r="AD97" s="157">
        <v>0</v>
      </c>
      <c r="AE97" s="156">
        <f>L97+T97+X97</f>
        <v>91</v>
      </c>
      <c r="AF97" s="157">
        <f>M97+U97+Y97</f>
        <v>0</v>
      </c>
      <c r="AG97" s="157">
        <f>N97+V97+Z97</f>
        <v>10</v>
      </c>
      <c r="AH97" s="157">
        <f>W97+O97+AA97</f>
        <v>0</v>
      </c>
      <c r="AI97" s="298">
        <f>(AW$2*(AH97/100)+AW$2+AW$3)*(AX$2*(AE97/100)+AX$2+AX$3)-AY$2</f>
        <v>13759615870</v>
      </c>
    </row>
    <row r="98" spans="1:35" ht="14.25" customHeight="1" x14ac:dyDescent="0.25">
      <c r="A98" s="39" t="s">
        <v>210</v>
      </c>
      <c r="B98" s="154" t="s">
        <v>333</v>
      </c>
      <c r="C98" s="155" t="s">
        <v>298</v>
      </c>
      <c r="D98" s="176" t="str">
        <f>IF(ISNUMBER(MATCH(Table16[[#This Row],[General]],COVENANTS!$A$2:$A$100,0)), "Y","N")</f>
        <v>N</v>
      </c>
      <c r="E98" s="176" t="str">
        <f>IF(ISNUMBER(MATCH(Table16[[#This Row],[General]],COVENANTS!$B$2:$B$100,0)), "Y","N")</f>
        <v>N</v>
      </c>
      <c r="F98" s="176" t="str">
        <f>IF(ISNUMBER(MATCH(Table16[[#This Row],[General]],COVENANTS!$C$2:$C$100,0)), "Y","N")</f>
        <v>N</v>
      </c>
      <c r="G98" s="176" t="str">
        <f>IF(ISNUMBER(MATCH(Table16[[#This Row],[General]],COVENANTS!$D$2:$D$100,0)), "Y","N")</f>
        <v>N</v>
      </c>
      <c r="H98" s="122">
        <v>25</v>
      </c>
      <c r="I98" s="123">
        <v>25</v>
      </c>
      <c r="J98" s="123">
        <v>25</v>
      </c>
      <c r="K98" s="123">
        <v>12</v>
      </c>
      <c r="L98" s="156">
        <v>40</v>
      </c>
      <c r="M98" s="157">
        <v>25</v>
      </c>
      <c r="N98" s="157">
        <v>25</v>
      </c>
      <c r="O98" s="157">
        <v>0</v>
      </c>
      <c r="P98" s="156">
        <v>0</v>
      </c>
      <c r="Q98" s="157">
        <v>0</v>
      </c>
      <c r="R98" s="157">
        <v>0</v>
      </c>
      <c r="S98" s="157">
        <v>0</v>
      </c>
      <c r="T98" s="156">
        <v>50</v>
      </c>
      <c r="U98" s="157">
        <v>50</v>
      </c>
      <c r="V98" s="157">
        <v>40</v>
      </c>
      <c r="W98" s="157">
        <v>0</v>
      </c>
      <c r="X98" s="156">
        <v>0</v>
      </c>
      <c r="Y98" s="157">
        <v>0</v>
      </c>
      <c r="Z98" s="157">
        <v>0</v>
      </c>
      <c r="AA98" s="157">
        <v>0</v>
      </c>
      <c r="AB98" s="156">
        <v>0</v>
      </c>
      <c r="AC98" s="157">
        <v>0</v>
      </c>
      <c r="AD98" s="157">
        <v>0</v>
      </c>
      <c r="AE98" s="156">
        <f>L98+T98+X98</f>
        <v>90</v>
      </c>
      <c r="AF98" s="157">
        <f>M98+U98+Y98</f>
        <v>75</v>
      </c>
      <c r="AG98" s="157">
        <f>N98+V98+Z98</f>
        <v>65</v>
      </c>
      <c r="AH98" s="157">
        <f>W98+O98+AA98</f>
        <v>0</v>
      </c>
      <c r="AI98" s="298">
        <f>(AW$2*(AH98/100)+AW$2+AW$3)*(AX$2*(AE98/100)+AX$2+AX$3)-AY$2</f>
        <v>13608411300</v>
      </c>
    </row>
    <row r="99" spans="1:35" ht="14.25" customHeight="1" x14ac:dyDescent="0.25">
      <c r="A99" s="39" t="s">
        <v>211</v>
      </c>
      <c r="B99" s="154" t="s">
        <v>333</v>
      </c>
      <c r="C99" s="164" t="s">
        <v>161</v>
      </c>
      <c r="D99" s="176" t="str">
        <f>IF(ISNUMBER(MATCH(Table16[[#This Row],[General]],COVENANTS!$A$2:$A$100,0)), "Y","N")</f>
        <v>N</v>
      </c>
      <c r="E99" s="176" t="str">
        <f>IF(ISNUMBER(MATCH(Table16[[#This Row],[General]],COVENANTS!$B$2:$B$100,0)), "Y","N")</f>
        <v>Y</v>
      </c>
      <c r="F99" s="176" t="str">
        <f>IF(ISNUMBER(MATCH(Table16[[#This Row],[General]],COVENANTS!$C$2:$C$100,0)), "Y","N")</f>
        <v>Y</v>
      </c>
      <c r="G99" s="176" t="str">
        <f>IF(ISNUMBER(MATCH(Table16[[#This Row],[General]],COVENANTS!$D$2:$D$100,0)), "Y","N")</f>
        <v>Y</v>
      </c>
      <c r="H99" s="122">
        <v>25</v>
      </c>
      <c r="I99" s="123">
        <v>25</v>
      </c>
      <c r="J99" s="123">
        <v>25</v>
      </c>
      <c r="K99" s="123">
        <v>12</v>
      </c>
      <c r="L99" s="156">
        <v>25</v>
      </c>
      <c r="M99" s="157">
        <v>15</v>
      </c>
      <c r="N99" s="157">
        <v>0</v>
      </c>
      <c r="O99" s="157">
        <v>0</v>
      </c>
      <c r="P99" s="156">
        <v>0</v>
      </c>
      <c r="Q99" s="157">
        <v>0</v>
      </c>
      <c r="R99" s="157">
        <v>0</v>
      </c>
      <c r="S99" s="157">
        <v>0</v>
      </c>
      <c r="T99" s="156">
        <v>65</v>
      </c>
      <c r="U99" s="157">
        <v>10</v>
      </c>
      <c r="V99" s="157">
        <v>35</v>
      </c>
      <c r="W99" s="157">
        <v>0</v>
      </c>
      <c r="X99" s="156">
        <v>0</v>
      </c>
      <c r="Y99" s="157">
        <v>0</v>
      </c>
      <c r="Z99" s="157">
        <v>0</v>
      </c>
      <c r="AA99" s="157">
        <v>0</v>
      </c>
      <c r="AB99" s="156">
        <v>0</v>
      </c>
      <c r="AC99" s="157">
        <v>0</v>
      </c>
      <c r="AD99" s="157">
        <v>0</v>
      </c>
      <c r="AE99" s="156">
        <f>L99+T99+X99</f>
        <v>90</v>
      </c>
      <c r="AF99" s="157">
        <f>M99+U99+Y99</f>
        <v>25</v>
      </c>
      <c r="AG99" s="157">
        <f>N99+V99+Z99</f>
        <v>35</v>
      </c>
      <c r="AH99" s="157">
        <f>W99+O99+AA99</f>
        <v>0</v>
      </c>
      <c r="AI99" s="298">
        <f>(AW$2*(AH99/100)+AW$2+AW$3)*(AX$2*(AE99/100)+AX$2+AX$3)-AY$2</f>
        <v>13608411300</v>
      </c>
    </row>
    <row r="100" spans="1:35" ht="14.25" customHeight="1" x14ac:dyDescent="0.25">
      <c r="A100" s="39" t="s">
        <v>212</v>
      </c>
      <c r="B100" s="154" t="s">
        <v>332</v>
      </c>
      <c r="C100" s="164" t="s">
        <v>156</v>
      </c>
      <c r="D100" s="176" t="str">
        <f>IF(ISNUMBER(MATCH(Table16[[#This Row],[General]],COVENANTS!$A$2:$A$100,0)), "Y","N")</f>
        <v>N</v>
      </c>
      <c r="E100" s="176" t="str">
        <f>IF(ISNUMBER(MATCH(Table16[[#This Row],[General]],COVENANTS!$B$2:$B$100,0)), "Y","N")</f>
        <v>Y</v>
      </c>
      <c r="F100" s="176" t="str">
        <f>IF(ISNUMBER(MATCH(Table16[[#This Row],[General]],COVENANTS!$C$2:$C$100,0)), "Y","N")</f>
        <v>N</v>
      </c>
      <c r="G100" s="176" t="str">
        <f>IF(ISNUMBER(MATCH(Table16[[#This Row],[General]],COVENANTS!$D$2:$D$100,0)), "Y","N")</f>
        <v>N</v>
      </c>
      <c r="H100" s="122">
        <v>25</v>
      </c>
      <c r="I100" s="123">
        <v>25</v>
      </c>
      <c r="J100" s="123">
        <v>25</v>
      </c>
      <c r="K100" s="123">
        <v>12</v>
      </c>
      <c r="L100" s="156">
        <v>35</v>
      </c>
      <c r="M100" s="157">
        <v>0</v>
      </c>
      <c r="N100" s="157">
        <v>0</v>
      </c>
      <c r="O100" s="157">
        <v>0</v>
      </c>
      <c r="P100" s="156">
        <v>0</v>
      </c>
      <c r="Q100" s="157">
        <v>0</v>
      </c>
      <c r="R100" s="157">
        <v>0</v>
      </c>
      <c r="S100" s="157">
        <v>0</v>
      </c>
      <c r="T100" s="156">
        <v>55</v>
      </c>
      <c r="U100" s="157">
        <v>10</v>
      </c>
      <c r="V100" s="157">
        <v>45</v>
      </c>
      <c r="W100" s="157">
        <v>0</v>
      </c>
      <c r="X100" s="156">
        <v>0</v>
      </c>
      <c r="Y100" s="157">
        <v>0</v>
      </c>
      <c r="Z100" s="157">
        <v>0</v>
      </c>
      <c r="AA100" s="157">
        <v>0</v>
      </c>
      <c r="AB100" s="156">
        <v>0</v>
      </c>
      <c r="AC100" s="157">
        <v>0</v>
      </c>
      <c r="AD100" s="157">
        <v>0</v>
      </c>
      <c r="AE100" s="156">
        <f>L100+T100+X100</f>
        <v>90</v>
      </c>
      <c r="AF100" s="157">
        <f>M100+U100+Y100</f>
        <v>10</v>
      </c>
      <c r="AG100" s="157">
        <f>N100+V100+Z100</f>
        <v>45</v>
      </c>
      <c r="AH100" s="157">
        <f>W100+O100+AA100</f>
        <v>0</v>
      </c>
      <c r="AI100" s="298">
        <f>(AW$2*(AH100/100)+AW$2+AW$3)*(AX$2*(AE100/100)+AX$2+AX$3)-AY$2</f>
        <v>13608411300</v>
      </c>
    </row>
    <row r="101" spans="1:35" ht="14.25" customHeight="1" x14ac:dyDescent="0.25">
      <c r="A101" s="39" t="s">
        <v>213</v>
      </c>
      <c r="B101" s="154" t="s">
        <v>332</v>
      </c>
      <c r="C101" s="164" t="s">
        <v>162</v>
      </c>
      <c r="D101" s="176" t="str">
        <f>IF(ISNUMBER(MATCH(Table16[[#This Row],[General]],COVENANTS!$A$2:$A$100,0)), "Y","N")</f>
        <v>N</v>
      </c>
      <c r="E101" s="176" t="str">
        <f>IF(ISNUMBER(MATCH(Table16[[#This Row],[General]],COVENANTS!$B$2:$B$100,0)), "Y","N")</f>
        <v>Y</v>
      </c>
      <c r="F101" s="176" t="str">
        <f>IF(ISNUMBER(MATCH(Table16[[#This Row],[General]],COVENANTS!$C$2:$C$100,0)), "Y","N")</f>
        <v>N</v>
      </c>
      <c r="G101" s="176" t="str">
        <f>IF(ISNUMBER(MATCH(Table16[[#This Row],[General]],COVENANTS!$D$2:$D$100,0)), "Y","N")</f>
        <v>Y</v>
      </c>
      <c r="H101" s="122">
        <v>25</v>
      </c>
      <c r="I101" s="123">
        <v>25</v>
      </c>
      <c r="J101" s="123">
        <v>25</v>
      </c>
      <c r="K101" s="123">
        <v>12</v>
      </c>
      <c r="L101" s="156">
        <v>35</v>
      </c>
      <c r="M101" s="157">
        <v>0</v>
      </c>
      <c r="N101" s="157">
        <v>0</v>
      </c>
      <c r="O101" s="157">
        <v>0</v>
      </c>
      <c r="P101" s="156">
        <v>0</v>
      </c>
      <c r="Q101" s="157">
        <v>0</v>
      </c>
      <c r="R101" s="157">
        <v>0</v>
      </c>
      <c r="S101" s="157">
        <v>0</v>
      </c>
      <c r="T101" s="156">
        <v>51</v>
      </c>
      <c r="U101" s="157">
        <v>0</v>
      </c>
      <c r="V101" s="157">
        <v>10</v>
      </c>
      <c r="W101" s="157">
        <v>0</v>
      </c>
      <c r="X101" s="156">
        <v>0</v>
      </c>
      <c r="Y101" s="157">
        <v>0</v>
      </c>
      <c r="Z101" s="157">
        <v>0</v>
      </c>
      <c r="AA101" s="157">
        <v>0</v>
      </c>
      <c r="AB101" s="156">
        <v>0</v>
      </c>
      <c r="AC101" s="157">
        <v>0</v>
      </c>
      <c r="AD101" s="157">
        <v>0</v>
      </c>
      <c r="AE101" s="156">
        <f>L101+T101+X101</f>
        <v>86</v>
      </c>
      <c r="AF101" s="157">
        <f>M101+U101+Y101</f>
        <v>0</v>
      </c>
      <c r="AG101" s="157">
        <f>N101+V101+Z101</f>
        <v>10</v>
      </c>
      <c r="AH101" s="157">
        <f>W101+O101+AA101</f>
        <v>0</v>
      </c>
      <c r="AI101" s="298">
        <f>(AW$2*(AH101/100)+AW$2+AW$3)*(AX$2*(AE101/100)+AX$2+AX$3)-AY$2</f>
        <v>13003593020</v>
      </c>
    </row>
    <row r="102" spans="1:35" ht="14.25" customHeight="1" x14ac:dyDescent="0.25">
      <c r="A102" s="39" t="s">
        <v>214</v>
      </c>
      <c r="B102" s="154" t="s">
        <v>332</v>
      </c>
      <c r="C102" s="155" t="s">
        <v>158</v>
      </c>
      <c r="D102" s="176" t="str">
        <f>IF(ISNUMBER(MATCH(Table16[[#This Row],[General]],COVENANTS!$A$2:$A$100,0)), "Y","N")</f>
        <v>N</v>
      </c>
      <c r="E102" s="176" t="str">
        <f>IF(ISNUMBER(MATCH(Table16[[#This Row],[General]],COVENANTS!$B$2:$B$100,0)), "Y","N")</f>
        <v>N</v>
      </c>
      <c r="F102" s="176" t="str">
        <f>IF(ISNUMBER(MATCH(Table16[[#This Row],[General]],COVENANTS!$C$2:$C$100,0)), "Y","N")</f>
        <v>N</v>
      </c>
      <c r="G102" s="176" t="str">
        <f>IF(ISNUMBER(MATCH(Table16[[#This Row],[General]],COVENANTS!$D$2:$D$100,0)), "Y","N")</f>
        <v>N</v>
      </c>
      <c r="H102" s="122">
        <v>25</v>
      </c>
      <c r="I102" s="123">
        <v>25</v>
      </c>
      <c r="J102" s="123">
        <v>25</v>
      </c>
      <c r="K102" s="123">
        <v>12</v>
      </c>
      <c r="L102" s="156">
        <v>30</v>
      </c>
      <c r="M102" s="157">
        <v>35</v>
      </c>
      <c r="N102" s="157">
        <v>35</v>
      </c>
      <c r="O102" s="157">
        <v>0</v>
      </c>
      <c r="P102" s="156">
        <v>0</v>
      </c>
      <c r="Q102" s="157">
        <v>0</v>
      </c>
      <c r="R102" s="157">
        <v>0</v>
      </c>
      <c r="S102" s="157">
        <v>0</v>
      </c>
      <c r="T102" s="156">
        <v>50</v>
      </c>
      <c r="U102" s="157">
        <v>20</v>
      </c>
      <c r="V102" s="157">
        <v>40</v>
      </c>
      <c r="W102" s="157">
        <v>0</v>
      </c>
      <c r="X102" s="156">
        <v>0</v>
      </c>
      <c r="Y102" s="157">
        <v>0</v>
      </c>
      <c r="Z102" s="157">
        <v>0</v>
      </c>
      <c r="AA102" s="157">
        <v>0</v>
      </c>
      <c r="AB102" s="156">
        <v>0</v>
      </c>
      <c r="AC102" s="157">
        <v>0</v>
      </c>
      <c r="AD102" s="157">
        <v>0</v>
      </c>
      <c r="AE102" s="156">
        <f>L102+T102+X102</f>
        <v>80</v>
      </c>
      <c r="AF102" s="157">
        <f>M102+U102+Y102</f>
        <v>55</v>
      </c>
      <c r="AG102" s="157">
        <f>N102+V102+Z102</f>
        <v>75</v>
      </c>
      <c r="AH102" s="157">
        <f>W102+O102+AA102</f>
        <v>0</v>
      </c>
      <c r="AI102" s="298">
        <f>(AW$2*(AH102/100)+AW$2+AW$3)*(AX$2*(AE102/100)+AX$2+AX$3)-AY$2</f>
        <v>12096365600</v>
      </c>
    </row>
    <row r="103" spans="1:35" ht="14.25" customHeight="1" x14ac:dyDescent="0.25">
      <c r="A103" s="39" t="s">
        <v>215</v>
      </c>
      <c r="B103" s="154" t="s">
        <v>333</v>
      </c>
      <c r="C103" s="155" t="s">
        <v>303</v>
      </c>
      <c r="D103" s="176" t="str">
        <f>IF(ISNUMBER(MATCH(Table16[[#This Row],[General]],COVENANTS!$A$2:$A$100,0)), "Y","N")</f>
        <v>N</v>
      </c>
      <c r="E103" s="176" t="str">
        <f>IF(ISNUMBER(MATCH(Table16[[#This Row],[General]],COVENANTS!$B$2:$B$100,0)), "Y","N")</f>
        <v>N</v>
      </c>
      <c r="F103" s="176" t="str">
        <f>IF(ISNUMBER(MATCH(Table16[[#This Row],[General]],COVENANTS!$C$2:$C$100,0)), "Y","N")</f>
        <v>Y</v>
      </c>
      <c r="G103" s="176" t="str">
        <f>IF(ISNUMBER(MATCH(Table16[[#This Row],[General]],COVENANTS!$D$2:$D$100,0)), "Y","N")</f>
        <v>N</v>
      </c>
      <c r="H103" s="122">
        <v>25</v>
      </c>
      <c r="I103" s="123">
        <v>25</v>
      </c>
      <c r="J103" s="123">
        <v>25</v>
      </c>
      <c r="K103" s="123">
        <v>12</v>
      </c>
      <c r="L103" s="156">
        <v>15</v>
      </c>
      <c r="M103" s="157">
        <v>0</v>
      </c>
      <c r="N103" s="157">
        <v>0</v>
      </c>
      <c r="O103" s="157">
        <v>0</v>
      </c>
      <c r="P103" s="156">
        <v>0</v>
      </c>
      <c r="Q103" s="157">
        <v>0</v>
      </c>
      <c r="R103" s="157">
        <v>0</v>
      </c>
      <c r="S103" s="157">
        <v>0</v>
      </c>
      <c r="T103" s="156">
        <v>40</v>
      </c>
      <c r="U103" s="157">
        <v>20</v>
      </c>
      <c r="V103" s="157">
        <v>10</v>
      </c>
      <c r="W103" s="157">
        <v>6</v>
      </c>
      <c r="X103" s="156"/>
      <c r="Y103" s="157"/>
      <c r="Z103" s="157"/>
      <c r="AA103" s="157"/>
      <c r="AB103" s="156">
        <v>0</v>
      </c>
      <c r="AC103" s="157">
        <v>0</v>
      </c>
      <c r="AD103" s="157">
        <v>0</v>
      </c>
      <c r="AE103" s="156">
        <f>L103+T103+X103</f>
        <v>55</v>
      </c>
      <c r="AF103" s="157">
        <f>M103+U103+Y103</f>
        <v>20</v>
      </c>
      <c r="AG103" s="157">
        <f>N103+V103+Z103</f>
        <v>10</v>
      </c>
      <c r="AH103" s="157">
        <f>W103+O103+AA103</f>
        <v>6</v>
      </c>
      <c r="AI103" s="298">
        <f>(AW$2*(AH103/100)+AW$2+AW$3)*(AX$2*(AE103/100)+AX$2+AX$3)-AY$2</f>
        <v>11789507950</v>
      </c>
    </row>
    <row r="104" spans="1:35" ht="14.25" customHeight="1" x14ac:dyDescent="0.25">
      <c r="A104" s="39" t="s">
        <v>216</v>
      </c>
      <c r="B104" s="154" t="s">
        <v>333</v>
      </c>
      <c r="C104" s="164" t="s">
        <v>167</v>
      </c>
      <c r="D104" s="176" t="str">
        <f>IF(ISNUMBER(MATCH(Table16[[#This Row],[General]],COVENANTS!$A$2:$A$100,0)), "Y","N")</f>
        <v>N</v>
      </c>
      <c r="E104" s="176" t="str">
        <f>IF(ISNUMBER(MATCH(Table16[[#This Row],[General]],COVENANTS!$B$2:$B$100,0)), "Y","N")</f>
        <v>N</v>
      </c>
      <c r="F104" s="176" t="str">
        <f>IF(ISNUMBER(MATCH(Table16[[#This Row],[General]],COVENANTS!$C$2:$C$100,0)), "Y","N")</f>
        <v>Y</v>
      </c>
      <c r="G104" s="176" t="str">
        <f>IF(ISNUMBER(MATCH(Table16[[#This Row],[General]],COVENANTS!$D$2:$D$100,0)), "Y","N")</f>
        <v>N</v>
      </c>
      <c r="H104" s="122">
        <v>25</v>
      </c>
      <c r="I104" s="123">
        <v>25</v>
      </c>
      <c r="J104" s="123">
        <v>25</v>
      </c>
      <c r="K104" s="123">
        <v>12</v>
      </c>
      <c r="L104" s="156">
        <v>30</v>
      </c>
      <c r="M104" s="157">
        <v>10</v>
      </c>
      <c r="N104" s="157">
        <v>10</v>
      </c>
      <c r="O104" s="157">
        <v>0</v>
      </c>
      <c r="P104" s="156">
        <v>0</v>
      </c>
      <c r="Q104" s="157">
        <v>0</v>
      </c>
      <c r="R104" s="157">
        <v>0</v>
      </c>
      <c r="S104" s="157">
        <v>0</v>
      </c>
      <c r="T104" s="156">
        <v>46</v>
      </c>
      <c r="U104" s="157">
        <v>10</v>
      </c>
      <c r="V104" s="157">
        <v>0</v>
      </c>
      <c r="W104" s="157">
        <v>0</v>
      </c>
      <c r="X104" s="156">
        <v>0</v>
      </c>
      <c r="Y104" s="157">
        <v>0</v>
      </c>
      <c r="Z104" s="157">
        <v>0</v>
      </c>
      <c r="AA104" s="157">
        <v>0</v>
      </c>
      <c r="AB104" s="156">
        <v>0</v>
      </c>
      <c r="AC104" s="157">
        <v>0</v>
      </c>
      <c r="AD104" s="157">
        <v>0</v>
      </c>
      <c r="AE104" s="156">
        <f>L104+T104+X104</f>
        <v>76</v>
      </c>
      <c r="AF104" s="157">
        <f>M104+U104+Y104</f>
        <v>20</v>
      </c>
      <c r="AG104" s="157">
        <f>N104+V104+Z104</f>
        <v>10</v>
      </c>
      <c r="AH104" s="157">
        <f>W104+O104+AA104</f>
        <v>0</v>
      </c>
      <c r="AI104" s="298">
        <f>(AW$2*(AH104/100)+AW$2+AW$3)*(AX$2*(AE104/100)+AX$2+AX$3)-AY$2</f>
        <v>11491547320</v>
      </c>
    </row>
    <row r="105" spans="1:35" ht="14.25" customHeight="1" x14ac:dyDescent="0.25">
      <c r="A105" s="39" t="s">
        <v>217</v>
      </c>
      <c r="B105" s="154" t="s">
        <v>332</v>
      </c>
      <c r="C105" s="164" t="s">
        <v>157</v>
      </c>
      <c r="D105" s="176" t="str">
        <f>IF(ISNUMBER(MATCH(Table16[[#This Row],[General]],COVENANTS!$A$2:$A$100,0)), "Y","N")</f>
        <v>N</v>
      </c>
      <c r="E105" s="176" t="str">
        <f>IF(ISNUMBER(MATCH(Table16[[#This Row],[General]],COVENANTS!$B$2:$B$100,0)), "Y","N")</f>
        <v>N</v>
      </c>
      <c r="F105" s="176" t="str">
        <f>IF(ISNUMBER(MATCH(Table16[[#This Row],[General]],COVENANTS!$C$2:$C$100,0)), "Y","N")</f>
        <v>Y</v>
      </c>
      <c r="G105" s="176" t="str">
        <f>IF(ISNUMBER(MATCH(Table16[[#This Row],[General]],COVENANTS!$D$2:$D$100,0)), "Y","N")</f>
        <v>N</v>
      </c>
      <c r="H105" s="122">
        <v>25</v>
      </c>
      <c r="I105" s="123">
        <v>25</v>
      </c>
      <c r="J105" s="123">
        <v>25</v>
      </c>
      <c r="K105" s="123">
        <v>12</v>
      </c>
      <c r="L105" s="156">
        <v>30</v>
      </c>
      <c r="M105" s="157">
        <v>0</v>
      </c>
      <c r="N105" s="157">
        <v>0</v>
      </c>
      <c r="O105" s="157">
        <v>0</v>
      </c>
      <c r="P105" s="156">
        <v>0</v>
      </c>
      <c r="Q105" s="157">
        <v>0</v>
      </c>
      <c r="R105" s="157">
        <v>0</v>
      </c>
      <c r="S105" s="157">
        <v>0</v>
      </c>
      <c r="T105" s="156">
        <v>46</v>
      </c>
      <c r="U105" s="157">
        <v>30</v>
      </c>
      <c r="V105" s="157">
        <v>0</v>
      </c>
      <c r="W105" s="157">
        <v>0</v>
      </c>
      <c r="X105" s="156">
        <v>0</v>
      </c>
      <c r="Y105" s="157">
        <v>0</v>
      </c>
      <c r="Z105" s="157">
        <v>0</v>
      </c>
      <c r="AA105" s="157">
        <v>0</v>
      </c>
      <c r="AB105" s="156">
        <v>0</v>
      </c>
      <c r="AC105" s="157">
        <v>0</v>
      </c>
      <c r="AD105" s="157">
        <v>0</v>
      </c>
      <c r="AE105" s="156">
        <f>L105+T105+X105</f>
        <v>76</v>
      </c>
      <c r="AF105" s="157">
        <f>M105+U105+Y105</f>
        <v>30</v>
      </c>
      <c r="AG105" s="157">
        <f>N105+V105+Z105</f>
        <v>0</v>
      </c>
      <c r="AH105" s="157">
        <f>W105+O105+AA105</f>
        <v>0</v>
      </c>
      <c r="AI105" s="298">
        <f>(AW$2*(AH105/100)+AW$2+AW$3)*(AX$2*(AE105/100)+AX$2+AX$3)-AY$2</f>
        <v>11491547320</v>
      </c>
    </row>
    <row r="106" spans="1:35" ht="14.25" customHeight="1" x14ac:dyDescent="0.25">
      <c r="A106" s="39" t="s">
        <v>218</v>
      </c>
      <c r="B106" s="154" t="s">
        <v>333</v>
      </c>
      <c r="C106" s="164" t="s">
        <v>297</v>
      </c>
      <c r="D106" s="176" t="str">
        <f>IF(ISNUMBER(MATCH(Table16[[#This Row],[General]],COVENANTS!$A$2:$A$100,0)), "Y","N")</f>
        <v>N</v>
      </c>
      <c r="E106" s="176" t="str">
        <f>IF(ISNUMBER(MATCH(Table16[[#This Row],[General]],COVENANTS!$B$2:$B$100,0)), "Y","N")</f>
        <v>Y</v>
      </c>
      <c r="F106" s="176" t="str">
        <f>IF(ISNUMBER(MATCH(Table16[[#This Row],[General]],COVENANTS!$C$2:$C$100,0)), "Y","N")</f>
        <v>N</v>
      </c>
      <c r="G106" s="176" t="str">
        <f>IF(ISNUMBER(MATCH(Table16[[#This Row],[General]],COVENANTS!$D$2:$D$100,0)), "Y","N")</f>
        <v>N</v>
      </c>
      <c r="H106" s="122">
        <v>0</v>
      </c>
      <c r="I106" s="123">
        <v>25</v>
      </c>
      <c r="J106" s="123">
        <v>25</v>
      </c>
      <c r="K106" s="123">
        <v>12</v>
      </c>
      <c r="L106" s="156">
        <v>25</v>
      </c>
      <c r="M106" s="157">
        <v>0</v>
      </c>
      <c r="N106" s="157">
        <v>0</v>
      </c>
      <c r="O106" s="157">
        <v>0</v>
      </c>
      <c r="P106" s="156">
        <v>0</v>
      </c>
      <c r="Q106" s="157">
        <v>0</v>
      </c>
      <c r="R106" s="157">
        <v>0</v>
      </c>
      <c r="S106" s="157">
        <v>0</v>
      </c>
      <c r="T106" s="156">
        <v>46</v>
      </c>
      <c r="U106" s="157">
        <v>10</v>
      </c>
      <c r="V106" s="157">
        <v>46</v>
      </c>
      <c r="W106" s="157">
        <v>0</v>
      </c>
      <c r="X106" s="156">
        <v>0</v>
      </c>
      <c r="Y106" s="157">
        <v>0</v>
      </c>
      <c r="Z106" s="157">
        <v>0</v>
      </c>
      <c r="AA106" s="157">
        <v>0</v>
      </c>
      <c r="AB106" s="156">
        <v>0</v>
      </c>
      <c r="AC106" s="157">
        <v>0</v>
      </c>
      <c r="AD106" s="157">
        <v>0</v>
      </c>
      <c r="AE106" s="156">
        <f>L106+T106+X106</f>
        <v>71</v>
      </c>
      <c r="AF106" s="157">
        <f>M106+U106+Y106</f>
        <v>10</v>
      </c>
      <c r="AG106" s="157">
        <f>N106+V106+Z106</f>
        <v>46</v>
      </c>
      <c r="AH106" s="157">
        <f>W106+O106+AA106</f>
        <v>0</v>
      </c>
      <c r="AI106" s="298">
        <f>(AW$2*(AH106/100)+AW$2+AW$3)*(AX$2*(AE106/100)+AX$2+AX$3)-AY$2</f>
        <v>10735524470</v>
      </c>
    </row>
    <row r="107" spans="1:35" ht="14.25" customHeight="1" x14ac:dyDescent="0.25">
      <c r="A107" s="39" t="s">
        <v>434</v>
      </c>
      <c r="B107" s="154" t="s">
        <v>333</v>
      </c>
      <c r="C107" s="155" t="s">
        <v>168</v>
      </c>
      <c r="D107" s="176" t="str">
        <f>IF(ISNUMBER(MATCH(Table16[[#This Row],[General]],COVENANTS!$A$2:$A$100,0)), "Y","N")</f>
        <v>N</v>
      </c>
      <c r="E107" s="176" t="str">
        <f>IF(ISNUMBER(MATCH(Table16[[#This Row],[General]],COVENANTS!$B$2:$B$100,0)), "Y","N")</f>
        <v>N</v>
      </c>
      <c r="F107" s="176" t="str">
        <f>IF(ISNUMBER(MATCH(Table16[[#This Row],[General]],COVENANTS!$C$2:$C$100,0)), "Y","N")</f>
        <v>N</v>
      </c>
      <c r="G107" s="176" t="str">
        <f>IF(ISNUMBER(MATCH(Table16[[#This Row],[General]],COVENANTS!$D$2:$D$100,0)), "Y","N")</f>
        <v>N</v>
      </c>
      <c r="H107" s="122">
        <v>25</v>
      </c>
      <c r="I107" s="123">
        <v>25</v>
      </c>
      <c r="J107" s="123">
        <v>25</v>
      </c>
      <c r="K107" s="123">
        <v>12</v>
      </c>
      <c r="L107" s="156">
        <v>20</v>
      </c>
      <c r="M107" s="157">
        <v>25</v>
      </c>
      <c r="N107" s="157">
        <v>25</v>
      </c>
      <c r="O107" s="157">
        <v>0</v>
      </c>
      <c r="P107" s="156">
        <v>0</v>
      </c>
      <c r="Q107" s="157">
        <v>0</v>
      </c>
      <c r="R107" s="157">
        <v>0</v>
      </c>
      <c r="S107" s="157">
        <v>0</v>
      </c>
      <c r="T107" s="156">
        <v>50</v>
      </c>
      <c r="U107" s="157">
        <v>10</v>
      </c>
      <c r="V107" s="157">
        <v>20</v>
      </c>
      <c r="W107" s="157">
        <v>0</v>
      </c>
      <c r="X107" s="156">
        <v>0</v>
      </c>
      <c r="Y107" s="157">
        <v>0</v>
      </c>
      <c r="Z107" s="157">
        <v>0</v>
      </c>
      <c r="AA107" s="157">
        <v>0</v>
      </c>
      <c r="AB107" s="156">
        <v>0</v>
      </c>
      <c r="AC107" s="157">
        <v>0</v>
      </c>
      <c r="AD107" s="157">
        <v>0</v>
      </c>
      <c r="AE107" s="156">
        <f>L107+T107+X107</f>
        <v>70</v>
      </c>
      <c r="AF107" s="157">
        <f>M107+U107+Y107</f>
        <v>35</v>
      </c>
      <c r="AG107" s="157">
        <f>N107+V107+Z107</f>
        <v>45</v>
      </c>
      <c r="AH107" s="157">
        <f>W107+O107+AA107</f>
        <v>0</v>
      </c>
      <c r="AI107" s="298">
        <f>(AW$2*(AH107/100)+AW$2+AW$3)*(AX$2*(AE107/100)+AX$2+AX$3)-AY$2</f>
        <v>10584319900</v>
      </c>
    </row>
    <row r="108" spans="1:35" ht="14.25" customHeight="1" x14ac:dyDescent="0.25">
      <c r="A108" s="39" t="s">
        <v>435</v>
      </c>
      <c r="B108" s="154" t="s">
        <v>333</v>
      </c>
      <c r="C108" s="164" t="s">
        <v>169</v>
      </c>
      <c r="D108" s="377" t="str">
        <f>IF(ISNUMBER(MATCH(Table16[[#This Row],[General]],COVENANTS!$A$2:$A$100,0)), "Y","N")</f>
        <v>N</v>
      </c>
      <c r="E108" s="377" t="str">
        <f>IF(ISNUMBER(MATCH(Table16[[#This Row],[General]],COVENANTS!$B$2:$B$100,0)), "Y","N")</f>
        <v>N</v>
      </c>
      <c r="F108" s="377" t="str">
        <f>IF(ISNUMBER(MATCH(Table16[[#This Row],[General]],COVENANTS!$C$2:$C$100,0)), "Y","N")</f>
        <v>N</v>
      </c>
      <c r="G108" s="377" t="str">
        <f>IF(ISNUMBER(MATCH(Table16[[#This Row],[General]],COVENANTS!$D$2:$D$100,0)), "Y","N")</f>
        <v>N</v>
      </c>
      <c r="H108" s="122">
        <v>0</v>
      </c>
      <c r="I108" s="123">
        <v>25</v>
      </c>
      <c r="J108" s="123">
        <v>25</v>
      </c>
      <c r="K108" s="123">
        <v>12</v>
      </c>
      <c r="L108" s="156">
        <v>35</v>
      </c>
      <c r="M108" s="157">
        <v>0</v>
      </c>
      <c r="N108" s="157">
        <v>0</v>
      </c>
      <c r="O108" s="157">
        <v>0</v>
      </c>
      <c r="P108" s="156">
        <v>0</v>
      </c>
      <c r="Q108" s="157">
        <v>0</v>
      </c>
      <c r="R108" s="157">
        <v>0</v>
      </c>
      <c r="S108" s="157">
        <v>0</v>
      </c>
      <c r="T108" s="156">
        <v>26</v>
      </c>
      <c r="U108" s="157">
        <v>16</v>
      </c>
      <c r="V108" s="157">
        <v>10</v>
      </c>
      <c r="W108" s="157">
        <v>0</v>
      </c>
      <c r="X108" s="156">
        <v>0</v>
      </c>
      <c r="Y108" s="157">
        <v>0</v>
      </c>
      <c r="Z108" s="157">
        <v>0</v>
      </c>
      <c r="AA108" s="157">
        <v>0</v>
      </c>
      <c r="AB108" s="156">
        <v>0</v>
      </c>
      <c r="AC108" s="157">
        <v>0</v>
      </c>
      <c r="AD108" s="157">
        <v>0</v>
      </c>
      <c r="AE108" s="156">
        <f>L108+T108+X108</f>
        <v>61</v>
      </c>
      <c r="AF108" s="157">
        <f>M108+U108+Y108</f>
        <v>16</v>
      </c>
      <c r="AG108" s="157">
        <f>N108+V108+Z108</f>
        <v>10</v>
      </c>
      <c r="AH108" s="157">
        <f>W108+O108+AA108</f>
        <v>0</v>
      </c>
      <c r="AI108" s="298">
        <f>(AW$2*(AH108/100)+AW$2+AW$3)*(AX$2*(AE108/100)+AX$2+AX$3)-AY$2</f>
        <v>9223478770</v>
      </c>
    </row>
    <row r="109" spans="1:35" ht="14.25" customHeight="1" x14ac:dyDescent="0.25">
      <c r="A109" s="39" t="s">
        <v>436</v>
      </c>
      <c r="B109" s="154" t="s">
        <v>333</v>
      </c>
      <c r="C109" s="155" t="s">
        <v>165</v>
      </c>
      <c r="D109" s="377" t="str">
        <f>IF(ISNUMBER(MATCH(Table16[[#This Row],[General]],COVENANTS!$A$2:$A$100,0)), "Y","N")</f>
        <v>N</v>
      </c>
      <c r="E109" s="377" t="str">
        <f>IF(ISNUMBER(MATCH(Table16[[#This Row],[General]],COVENANTS!$B$2:$B$100,0)), "Y","N")</f>
        <v>N</v>
      </c>
      <c r="F109" s="377" t="str">
        <f>IF(ISNUMBER(MATCH(Table16[[#This Row],[General]],COVENANTS!$C$2:$C$100,0)), "Y","N")</f>
        <v>N</v>
      </c>
      <c r="G109" s="377" t="str">
        <f>IF(ISNUMBER(MATCH(Table16[[#This Row],[General]],COVENANTS!$D$2:$D$100,0)), "Y","N")</f>
        <v>N</v>
      </c>
      <c r="H109" s="122">
        <v>25</v>
      </c>
      <c r="I109" s="123">
        <v>25</v>
      </c>
      <c r="J109" s="123">
        <v>25</v>
      </c>
      <c r="K109" s="123">
        <v>12</v>
      </c>
      <c r="L109" s="156">
        <v>20</v>
      </c>
      <c r="M109" s="157">
        <v>10</v>
      </c>
      <c r="N109" s="157">
        <v>10</v>
      </c>
      <c r="O109" s="157">
        <v>0</v>
      </c>
      <c r="P109" s="156">
        <v>0</v>
      </c>
      <c r="Q109" s="157">
        <v>0</v>
      </c>
      <c r="R109" s="157">
        <v>0</v>
      </c>
      <c r="S109" s="157">
        <v>0</v>
      </c>
      <c r="T109" s="156">
        <v>30</v>
      </c>
      <c r="U109" s="157">
        <v>20</v>
      </c>
      <c r="V109" s="157">
        <v>30</v>
      </c>
      <c r="W109" s="157">
        <v>0</v>
      </c>
      <c r="X109" s="156">
        <v>0</v>
      </c>
      <c r="Y109" s="157">
        <v>0</v>
      </c>
      <c r="Z109" s="157">
        <v>0</v>
      </c>
      <c r="AA109" s="157">
        <v>0</v>
      </c>
      <c r="AB109" s="156">
        <v>0</v>
      </c>
      <c r="AC109" s="157">
        <v>0</v>
      </c>
      <c r="AD109" s="157">
        <v>0</v>
      </c>
      <c r="AE109" s="156">
        <f>L109+T109+X109</f>
        <v>50</v>
      </c>
      <c r="AF109" s="157">
        <f>M109+U109+Y109</f>
        <v>30</v>
      </c>
      <c r="AG109" s="157">
        <f>N109+V109+Z109</f>
        <v>40</v>
      </c>
      <c r="AH109" s="157">
        <f>W109+O109+AA109</f>
        <v>0</v>
      </c>
      <c r="AI109" s="298">
        <f>(AW$2*(AH109/100)+AW$2+AW$3)*(AX$2*(AE109/100)+AX$2+AX$3)-AY$2</f>
        <v>7560228500</v>
      </c>
    </row>
    <row r="110" spans="1:35" ht="14.25" customHeight="1" x14ac:dyDescent="0.25">
      <c r="A110" s="39" t="s">
        <v>437</v>
      </c>
      <c r="B110" s="154" t="s">
        <v>333</v>
      </c>
      <c r="C110" s="164" t="s">
        <v>302</v>
      </c>
      <c r="D110" s="377" t="str">
        <f>IF(ISNUMBER(MATCH(Table16[[#This Row],[General]],COVENANTS!$A$2:$A$100,0)), "Y","N")</f>
        <v>N</v>
      </c>
      <c r="E110" s="377" t="str">
        <f>IF(ISNUMBER(MATCH(Table16[[#This Row],[General]],COVENANTS!$B$2:$B$100,0)), "Y","N")</f>
        <v>Y</v>
      </c>
      <c r="F110" s="377" t="str">
        <f>IF(ISNUMBER(MATCH(Table16[[#This Row],[General]],COVENANTS!$C$2:$C$100,0)), "Y","N")</f>
        <v>N</v>
      </c>
      <c r="G110" s="377" t="str">
        <f>IF(ISNUMBER(MATCH(Table16[[#This Row],[General]],COVENANTS!$D$2:$D$100,0)), "Y","N")</f>
        <v>N</v>
      </c>
      <c r="H110" s="122">
        <v>25</v>
      </c>
      <c r="I110" s="123">
        <v>25</v>
      </c>
      <c r="J110" s="123">
        <v>25</v>
      </c>
      <c r="K110" s="123">
        <v>12</v>
      </c>
      <c r="L110" s="156">
        <v>15</v>
      </c>
      <c r="M110" s="157">
        <v>0</v>
      </c>
      <c r="N110" s="157">
        <v>0</v>
      </c>
      <c r="O110" s="157">
        <v>0</v>
      </c>
      <c r="P110" s="156">
        <v>0</v>
      </c>
      <c r="Q110" s="157">
        <v>0</v>
      </c>
      <c r="R110" s="157">
        <v>0</v>
      </c>
      <c r="S110" s="157">
        <v>0</v>
      </c>
      <c r="T110" s="156">
        <v>26</v>
      </c>
      <c r="U110" s="157">
        <v>0</v>
      </c>
      <c r="V110" s="157">
        <v>16</v>
      </c>
      <c r="W110" s="157">
        <v>0</v>
      </c>
      <c r="X110" s="156">
        <v>0</v>
      </c>
      <c r="Y110" s="157">
        <v>0</v>
      </c>
      <c r="Z110" s="157">
        <v>0</v>
      </c>
      <c r="AA110" s="157">
        <v>0</v>
      </c>
      <c r="AB110" s="156">
        <v>0</v>
      </c>
      <c r="AC110" s="157">
        <v>0</v>
      </c>
      <c r="AD110" s="157">
        <v>0</v>
      </c>
      <c r="AE110" s="156">
        <f>L110+T110+X110</f>
        <v>41</v>
      </c>
      <c r="AF110" s="157">
        <f>M110+U110+Y110</f>
        <v>0</v>
      </c>
      <c r="AG110" s="157">
        <f>N110+V110+Z110</f>
        <v>16</v>
      </c>
      <c r="AH110" s="157">
        <f>W110+O110+AA110</f>
        <v>0</v>
      </c>
      <c r="AI110" s="298">
        <f>(AW$2*(AH110/100)+AW$2+AW$3)*(AX$2*(AE110/100)+AX$2+AX$3)-AY$2</f>
        <v>6199387370</v>
      </c>
    </row>
    <row r="111" spans="1:35" ht="14.25" customHeight="1" x14ac:dyDescent="0.25">
      <c r="A111" s="39" t="s">
        <v>438</v>
      </c>
      <c r="B111" s="165"/>
      <c r="C111" s="166"/>
      <c r="D111" s="177" t="str">
        <f>IF(ISNUMBER(MATCH(Table16[[#This Row],[General]],COVENANTS!$A$2:$A$100,0)), "Y","N")</f>
        <v>N</v>
      </c>
      <c r="E111" s="177" t="str">
        <f>IF(ISNUMBER(MATCH(Table16[[#This Row],[General]],COVENANTS!$B$2:$B$100,0)), "Y","N")</f>
        <v>N</v>
      </c>
      <c r="F111" s="177" t="str">
        <f>IF(ISNUMBER(MATCH(Table16[[#This Row],[General]],COVENANTS!$C$2:$C$100,0)), "Y","N")</f>
        <v>N</v>
      </c>
      <c r="G111" s="177" t="str">
        <f>IF(ISNUMBER(MATCH(Table16[[#This Row],[General]],COVENANTS!$D$2:$D$100,0)), "Y","N")</f>
        <v>N</v>
      </c>
      <c r="H111" s="106">
        <v>0</v>
      </c>
      <c r="I111" s="105">
        <v>0</v>
      </c>
      <c r="J111" s="105">
        <v>0</v>
      </c>
      <c r="K111" s="105">
        <v>0</v>
      </c>
      <c r="L111" s="167">
        <v>0</v>
      </c>
      <c r="M111" s="168">
        <v>0</v>
      </c>
      <c r="N111" s="168">
        <v>0</v>
      </c>
      <c r="O111" s="168">
        <v>0</v>
      </c>
      <c r="P111" s="167">
        <v>0</v>
      </c>
      <c r="Q111" s="168">
        <v>0</v>
      </c>
      <c r="R111" s="168">
        <v>0</v>
      </c>
      <c r="S111" s="168">
        <v>0</v>
      </c>
      <c r="T111" s="167">
        <v>0</v>
      </c>
      <c r="U111" s="168">
        <v>0</v>
      </c>
      <c r="V111" s="168">
        <v>0</v>
      </c>
      <c r="W111" s="168">
        <v>0</v>
      </c>
      <c r="X111" s="167">
        <v>0</v>
      </c>
      <c r="Y111" s="168">
        <v>0</v>
      </c>
      <c r="Z111" s="168">
        <v>0</v>
      </c>
      <c r="AA111" s="168">
        <v>0</v>
      </c>
      <c r="AB111" s="167">
        <v>0</v>
      </c>
      <c r="AC111" s="168">
        <v>0</v>
      </c>
      <c r="AD111" s="168">
        <v>0</v>
      </c>
      <c r="AE111" s="167">
        <f>L111+T111+X111</f>
        <v>0</v>
      </c>
      <c r="AF111" s="168">
        <f>M111+U111+Y111</f>
        <v>0</v>
      </c>
      <c r="AG111" s="168">
        <f>N111+V111+Z111</f>
        <v>0</v>
      </c>
      <c r="AH111" s="168">
        <f>W111+O111+AA111</f>
        <v>0</v>
      </c>
      <c r="AI111" s="297">
        <f>(AW$2*(AH111/100)+AW$2+AW$3)*(AX$2*(AE111/100)+AX$2+AX$3)-AY$2</f>
        <v>0</v>
      </c>
    </row>
    <row r="112" spans="1:35" ht="14.25" customHeight="1" x14ac:dyDescent="0.25">
      <c r="A112" s="39" t="s">
        <v>439</v>
      </c>
      <c r="B112" s="165"/>
      <c r="C112" s="166"/>
      <c r="D112" s="177" t="str">
        <f>IF(ISNUMBER(MATCH(Table16[[#This Row],[General]],COVENANTS!$A$2:$A$100,0)), "Y","N")</f>
        <v>N</v>
      </c>
      <c r="E112" s="177" t="str">
        <f>IF(ISNUMBER(MATCH(Table16[[#This Row],[General]],COVENANTS!$B$2:$B$100,0)), "Y","N")</f>
        <v>N</v>
      </c>
      <c r="F112" s="177" t="str">
        <f>IF(ISNUMBER(MATCH(Table16[[#This Row],[General]],COVENANTS!$C$2:$C$100,0)), "Y","N")</f>
        <v>N</v>
      </c>
      <c r="G112" s="177" t="str">
        <f>IF(ISNUMBER(MATCH(Table16[[#This Row],[General]],COVENANTS!$D$2:$D$100,0)), "Y","N")</f>
        <v>N</v>
      </c>
      <c r="H112" s="106">
        <v>0</v>
      </c>
      <c r="I112" s="105">
        <v>0</v>
      </c>
      <c r="J112" s="105">
        <v>0</v>
      </c>
      <c r="K112" s="105">
        <v>0</v>
      </c>
      <c r="L112" s="167">
        <v>0</v>
      </c>
      <c r="M112" s="168">
        <v>0</v>
      </c>
      <c r="N112" s="168">
        <v>0</v>
      </c>
      <c r="O112" s="168">
        <v>0</v>
      </c>
      <c r="P112" s="167">
        <v>0</v>
      </c>
      <c r="Q112" s="168">
        <v>0</v>
      </c>
      <c r="R112" s="168">
        <v>0</v>
      </c>
      <c r="S112" s="168">
        <v>0</v>
      </c>
      <c r="T112" s="167">
        <v>0</v>
      </c>
      <c r="U112" s="168">
        <v>0</v>
      </c>
      <c r="V112" s="168">
        <v>0</v>
      </c>
      <c r="W112" s="168">
        <v>0</v>
      </c>
      <c r="X112" s="167">
        <v>0</v>
      </c>
      <c r="Y112" s="168">
        <v>0</v>
      </c>
      <c r="Z112" s="168">
        <v>0</v>
      </c>
      <c r="AA112" s="168">
        <v>0</v>
      </c>
      <c r="AB112" s="167">
        <v>0</v>
      </c>
      <c r="AC112" s="168">
        <v>0</v>
      </c>
      <c r="AD112" s="168">
        <v>0</v>
      </c>
      <c r="AE112" s="167">
        <f>L112+T112+X112</f>
        <v>0</v>
      </c>
      <c r="AF112" s="168">
        <f>M112+U112+Y112</f>
        <v>0</v>
      </c>
      <c r="AG112" s="168">
        <f>N112+V112+Z112</f>
        <v>0</v>
      </c>
      <c r="AH112" s="168">
        <f>W112+O112+AA112</f>
        <v>0</v>
      </c>
      <c r="AI112" s="297">
        <f>(AW$2*(AH112/100)+AW$2+AW$3)*(AX$2*(AE112/100)+AX$2+AX$3)-AY$2</f>
        <v>0</v>
      </c>
    </row>
    <row r="113" spans="1:35" ht="14.25" customHeight="1" x14ac:dyDescent="0.25">
      <c r="A113" s="39" t="s">
        <v>440</v>
      </c>
      <c r="B113" s="165"/>
      <c r="C113" s="166"/>
      <c r="D113" s="177" t="str">
        <f>IF(ISNUMBER(MATCH(Table16[[#This Row],[General]],COVENANTS!$A$2:$A$100,0)), "Y","N")</f>
        <v>N</v>
      </c>
      <c r="E113" s="177" t="str">
        <f>IF(ISNUMBER(MATCH(Table16[[#This Row],[General]],COVENANTS!$B$2:$B$100,0)), "Y","N")</f>
        <v>N</v>
      </c>
      <c r="F113" s="177" t="str">
        <f>IF(ISNUMBER(MATCH(Table16[[#This Row],[General]],COVENANTS!$C$2:$C$100,0)), "Y","N")</f>
        <v>N</v>
      </c>
      <c r="G113" s="177" t="str">
        <f>IF(ISNUMBER(MATCH(Table16[[#This Row],[General]],COVENANTS!$D$2:$D$100,0)), "Y","N")</f>
        <v>N</v>
      </c>
      <c r="H113" s="106">
        <v>0</v>
      </c>
      <c r="I113" s="105">
        <v>0</v>
      </c>
      <c r="J113" s="105">
        <v>0</v>
      </c>
      <c r="K113" s="105">
        <v>0</v>
      </c>
      <c r="L113" s="167">
        <v>0</v>
      </c>
      <c r="M113" s="168">
        <v>0</v>
      </c>
      <c r="N113" s="168">
        <v>0</v>
      </c>
      <c r="O113" s="168">
        <v>0</v>
      </c>
      <c r="P113" s="167">
        <v>0</v>
      </c>
      <c r="Q113" s="168">
        <v>0</v>
      </c>
      <c r="R113" s="168">
        <v>0</v>
      </c>
      <c r="S113" s="168">
        <v>0</v>
      </c>
      <c r="T113" s="167">
        <v>0</v>
      </c>
      <c r="U113" s="168">
        <v>0</v>
      </c>
      <c r="V113" s="168">
        <v>0</v>
      </c>
      <c r="W113" s="168">
        <v>0</v>
      </c>
      <c r="X113" s="167">
        <v>0</v>
      </c>
      <c r="Y113" s="168">
        <v>0</v>
      </c>
      <c r="Z113" s="168">
        <v>0</v>
      </c>
      <c r="AA113" s="168">
        <v>0</v>
      </c>
      <c r="AB113" s="167">
        <v>0</v>
      </c>
      <c r="AC113" s="168">
        <v>0</v>
      </c>
      <c r="AD113" s="168">
        <v>0</v>
      </c>
      <c r="AE113" s="167">
        <f>L113+T113+X113</f>
        <v>0</v>
      </c>
      <c r="AF113" s="168">
        <f>M113+U113+Y113</f>
        <v>0</v>
      </c>
      <c r="AG113" s="168">
        <f>N113+V113+Z113</f>
        <v>0</v>
      </c>
      <c r="AH113" s="168">
        <f>W113+O113+AA113</f>
        <v>0</v>
      </c>
      <c r="AI113" s="297">
        <f>(AW$2*(AH113/100)+AW$2+AW$3)*(AX$2*(AE113/100)+AX$2+AX$3)-AY$2</f>
        <v>0</v>
      </c>
    </row>
    <row r="114" spans="1:35" ht="14.25" customHeight="1" x14ac:dyDescent="0.25">
      <c r="A114" s="39" t="s">
        <v>441</v>
      </c>
      <c r="B114" s="165"/>
      <c r="C114" s="166"/>
      <c r="D114" s="177" t="str">
        <f>IF(ISNUMBER(MATCH(Table16[[#This Row],[General]],COVENANTS!$A$2:$A$100,0)), "Y","N")</f>
        <v>N</v>
      </c>
      <c r="E114" s="177" t="str">
        <f>IF(ISNUMBER(MATCH(Table16[[#This Row],[General]],COVENANTS!$B$2:$B$100,0)), "Y","N")</f>
        <v>N</v>
      </c>
      <c r="F114" s="177" t="str">
        <f>IF(ISNUMBER(MATCH(Table16[[#This Row],[General]],COVENANTS!$C$2:$C$100,0)), "Y","N")</f>
        <v>N</v>
      </c>
      <c r="G114" s="177" t="str">
        <f>IF(ISNUMBER(MATCH(Table16[[#This Row],[General]],COVENANTS!$D$2:$D$100,0)), "Y","N")</f>
        <v>N</v>
      </c>
      <c r="H114" s="106">
        <v>0</v>
      </c>
      <c r="I114" s="105">
        <v>0</v>
      </c>
      <c r="J114" s="105">
        <v>0</v>
      </c>
      <c r="K114" s="105">
        <v>0</v>
      </c>
      <c r="L114" s="167">
        <v>0</v>
      </c>
      <c r="M114" s="168">
        <v>0</v>
      </c>
      <c r="N114" s="168">
        <v>0</v>
      </c>
      <c r="O114" s="168">
        <v>0</v>
      </c>
      <c r="P114" s="167">
        <v>0</v>
      </c>
      <c r="Q114" s="168">
        <v>0</v>
      </c>
      <c r="R114" s="168">
        <v>0</v>
      </c>
      <c r="S114" s="168">
        <v>0</v>
      </c>
      <c r="T114" s="167">
        <v>0</v>
      </c>
      <c r="U114" s="168">
        <v>0</v>
      </c>
      <c r="V114" s="168">
        <v>0</v>
      </c>
      <c r="W114" s="168">
        <v>0</v>
      </c>
      <c r="X114" s="167">
        <v>0</v>
      </c>
      <c r="Y114" s="168">
        <v>0</v>
      </c>
      <c r="Z114" s="168">
        <v>0</v>
      </c>
      <c r="AA114" s="168">
        <v>0</v>
      </c>
      <c r="AB114" s="167">
        <v>0</v>
      </c>
      <c r="AC114" s="168">
        <v>0</v>
      </c>
      <c r="AD114" s="168">
        <v>0</v>
      </c>
      <c r="AE114" s="167">
        <f>L114+T114+X114</f>
        <v>0</v>
      </c>
      <c r="AF114" s="168">
        <f>M114+U114+Y114</f>
        <v>0</v>
      </c>
      <c r="AG114" s="168">
        <f>N114+V114+Z114</f>
        <v>0</v>
      </c>
      <c r="AH114" s="168">
        <f>W114+O114+AA114</f>
        <v>0</v>
      </c>
      <c r="AI114" s="297">
        <f>(AW$2*(AH114/100)+AW$2+AW$3)*(AX$2*(AE114/100)+AX$2+AX$3)-AY$2</f>
        <v>0</v>
      </c>
    </row>
    <row r="115" spans="1:35" ht="14.25" customHeight="1" x14ac:dyDescent="0.25">
      <c r="A115" s="39" t="s">
        <v>442</v>
      </c>
      <c r="B115" s="165"/>
      <c r="C115" s="166"/>
      <c r="D115" s="177" t="str">
        <f>IF(ISNUMBER(MATCH(Table16[[#This Row],[General]],COVENANTS!$A$2:$A$100,0)), "Y","N")</f>
        <v>N</v>
      </c>
      <c r="E115" s="177" t="str">
        <f>IF(ISNUMBER(MATCH(Table16[[#This Row],[General]],COVENANTS!$B$2:$B$100,0)), "Y","N")</f>
        <v>N</v>
      </c>
      <c r="F115" s="177" t="str">
        <f>IF(ISNUMBER(MATCH(Table16[[#This Row],[General]],COVENANTS!$C$2:$C$100,0)), "Y","N")</f>
        <v>N</v>
      </c>
      <c r="G115" s="177" t="str">
        <f>IF(ISNUMBER(MATCH(Table16[[#This Row],[General]],COVENANTS!$D$2:$D$100,0)), "Y","N")</f>
        <v>N</v>
      </c>
      <c r="H115" s="106">
        <v>0</v>
      </c>
      <c r="I115" s="105">
        <v>0</v>
      </c>
      <c r="J115" s="105">
        <v>0</v>
      </c>
      <c r="K115" s="105">
        <v>0</v>
      </c>
      <c r="L115" s="167">
        <v>0</v>
      </c>
      <c r="M115" s="168">
        <v>0</v>
      </c>
      <c r="N115" s="168">
        <v>0</v>
      </c>
      <c r="O115" s="168">
        <v>0</v>
      </c>
      <c r="P115" s="167">
        <v>0</v>
      </c>
      <c r="Q115" s="168">
        <v>0</v>
      </c>
      <c r="R115" s="168">
        <v>0</v>
      </c>
      <c r="S115" s="168">
        <v>0</v>
      </c>
      <c r="T115" s="167">
        <v>0</v>
      </c>
      <c r="U115" s="168">
        <v>0</v>
      </c>
      <c r="V115" s="168">
        <v>0</v>
      </c>
      <c r="W115" s="168">
        <v>0</v>
      </c>
      <c r="X115" s="167">
        <v>0</v>
      </c>
      <c r="Y115" s="168">
        <v>0</v>
      </c>
      <c r="Z115" s="168">
        <v>0</v>
      </c>
      <c r="AA115" s="168">
        <v>0</v>
      </c>
      <c r="AB115" s="167">
        <v>0</v>
      </c>
      <c r="AC115" s="168">
        <v>0</v>
      </c>
      <c r="AD115" s="168">
        <v>0</v>
      </c>
      <c r="AE115" s="167">
        <f>L115+T115+X115</f>
        <v>0</v>
      </c>
      <c r="AF115" s="168">
        <f>M115+U115+Y115</f>
        <v>0</v>
      </c>
      <c r="AG115" s="168">
        <f>N115+V115+Z115</f>
        <v>0</v>
      </c>
      <c r="AH115" s="168">
        <f>W115+O115+AA115</f>
        <v>0</v>
      </c>
      <c r="AI115" s="297">
        <f>(AW$2*(AH115/100)+AW$2+AW$3)*(AX$2*(AE115/100)+AX$2+AX$3)-AY$2</f>
        <v>0</v>
      </c>
    </row>
    <row r="116" spans="1:35" ht="14.25" customHeight="1" x14ac:dyDescent="0.25">
      <c r="A116" s="39" t="s">
        <v>443</v>
      </c>
      <c r="B116" s="165"/>
      <c r="C116" s="166"/>
      <c r="D116" s="177" t="str">
        <f>IF(ISNUMBER(MATCH(Table16[[#This Row],[General]],COVENANTS!$A$2:$A$100,0)), "Y","N")</f>
        <v>N</v>
      </c>
      <c r="E116" s="177" t="str">
        <f>IF(ISNUMBER(MATCH(Table16[[#This Row],[General]],COVENANTS!$B$2:$B$100,0)), "Y","N")</f>
        <v>N</v>
      </c>
      <c r="F116" s="177" t="str">
        <f>IF(ISNUMBER(MATCH(Table16[[#This Row],[General]],COVENANTS!$C$2:$C$100,0)), "Y","N")</f>
        <v>N</v>
      </c>
      <c r="G116" s="177" t="str">
        <f>IF(ISNUMBER(MATCH(Table16[[#This Row],[General]],COVENANTS!$D$2:$D$100,0)), "Y","N")</f>
        <v>N</v>
      </c>
      <c r="H116" s="106">
        <v>0</v>
      </c>
      <c r="I116" s="105">
        <v>0</v>
      </c>
      <c r="J116" s="105">
        <v>0</v>
      </c>
      <c r="K116" s="105">
        <v>0</v>
      </c>
      <c r="L116" s="167">
        <v>0</v>
      </c>
      <c r="M116" s="168">
        <v>0</v>
      </c>
      <c r="N116" s="168">
        <v>0</v>
      </c>
      <c r="O116" s="168">
        <v>0</v>
      </c>
      <c r="P116" s="167">
        <v>0</v>
      </c>
      <c r="Q116" s="168">
        <v>0</v>
      </c>
      <c r="R116" s="168">
        <v>0</v>
      </c>
      <c r="S116" s="168">
        <v>0</v>
      </c>
      <c r="T116" s="167">
        <v>0</v>
      </c>
      <c r="U116" s="168">
        <v>0</v>
      </c>
      <c r="V116" s="168">
        <v>0</v>
      </c>
      <c r="W116" s="168">
        <v>0</v>
      </c>
      <c r="X116" s="167">
        <v>0</v>
      </c>
      <c r="Y116" s="168">
        <v>0</v>
      </c>
      <c r="Z116" s="168">
        <v>0</v>
      </c>
      <c r="AA116" s="168">
        <v>0</v>
      </c>
      <c r="AB116" s="167">
        <v>0</v>
      </c>
      <c r="AC116" s="168">
        <v>0</v>
      </c>
      <c r="AD116" s="168">
        <v>0</v>
      </c>
      <c r="AE116" s="167">
        <f>L116+T116+X116</f>
        <v>0</v>
      </c>
      <c r="AF116" s="168">
        <f>M116+U116+Y116</f>
        <v>0</v>
      </c>
      <c r="AG116" s="168">
        <f>N116+V116+Z116</f>
        <v>0</v>
      </c>
      <c r="AH116" s="168">
        <f>W116+O116+AA116</f>
        <v>0</v>
      </c>
      <c r="AI116" s="297">
        <f>(AW$2*(AH116/100)+AW$2+AW$3)*(AX$2*(AE116/100)+AX$2+AX$3)-AY$2</f>
        <v>0</v>
      </c>
    </row>
    <row r="117" spans="1:35" ht="14.25" customHeight="1" x14ac:dyDescent="0.25">
      <c r="A117" s="39" t="s">
        <v>444</v>
      </c>
      <c r="B117" s="165"/>
      <c r="C117" s="166"/>
      <c r="D117" s="177" t="str">
        <f>IF(ISNUMBER(MATCH(Table16[[#This Row],[General]],COVENANTS!$A$2:$A$100,0)), "Y","N")</f>
        <v>N</v>
      </c>
      <c r="E117" s="177" t="str">
        <f>IF(ISNUMBER(MATCH(Table16[[#This Row],[General]],COVENANTS!$B$2:$B$100,0)), "Y","N")</f>
        <v>N</v>
      </c>
      <c r="F117" s="177" t="str">
        <f>IF(ISNUMBER(MATCH(Table16[[#This Row],[General]],COVENANTS!$C$2:$C$100,0)), "Y","N")</f>
        <v>N</v>
      </c>
      <c r="G117" s="177" t="str">
        <f>IF(ISNUMBER(MATCH(Table16[[#This Row],[General]],COVENANTS!$D$2:$D$100,0)), "Y","N")</f>
        <v>N</v>
      </c>
      <c r="H117" s="106">
        <v>0</v>
      </c>
      <c r="I117" s="105">
        <v>0</v>
      </c>
      <c r="J117" s="105">
        <v>0</v>
      </c>
      <c r="K117" s="105">
        <v>0</v>
      </c>
      <c r="L117" s="167">
        <v>0</v>
      </c>
      <c r="M117" s="168">
        <v>0</v>
      </c>
      <c r="N117" s="168">
        <v>0</v>
      </c>
      <c r="O117" s="168">
        <v>0</v>
      </c>
      <c r="P117" s="167">
        <v>0</v>
      </c>
      <c r="Q117" s="168">
        <v>0</v>
      </c>
      <c r="R117" s="168">
        <v>0</v>
      </c>
      <c r="S117" s="168">
        <v>0</v>
      </c>
      <c r="T117" s="167">
        <v>0</v>
      </c>
      <c r="U117" s="168">
        <v>0</v>
      </c>
      <c r="V117" s="168">
        <v>0</v>
      </c>
      <c r="W117" s="168">
        <v>0</v>
      </c>
      <c r="X117" s="167">
        <v>0</v>
      </c>
      <c r="Y117" s="168">
        <v>0</v>
      </c>
      <c r="Z117" s="168">
        <v>0</v>
      </c>
      <c r="AA117" s="168">
        <v>0</v>
      </c>
      <c r="AB117" s="167">
        <v>0</v>
      </c>
      <c r="AC117" s="168">
        <v>0</v>
      </c>
      <c r="AD117" s="168">
        <v>0</v>
      </c>
      <c r="AE117" s="167">
        <f>L117+T117+X117</f>
        <v>0</v>
      </c>
      <c r="AF117" s="168">
        <f>M117+U117+Y117</f>
        <v>0</v>
      </c>
      <c r="AG117" s="168">
        <f>N117+V117+Z117</f>
        <v>0</v>
      </c>
      <c r="AH117" s="168">
        <f>W117+O117+AA117</f>
        <v>0</v>
      </c>
      <c r="AI117" s="297">
        <f>(AW$2*(AH117/100)+AW$2+AW$3)*(AX$2*(AE117/100)+AX$2+AX$3)-AY$2</f>
        <v>0</v>
      </c>
    </row>
    <row r="118" spans="1:35" ht="14.25" customHeight="1" x14ac:dyDescent="0.25">
      <c r="A118" s="39" t="s">
        <v>445</v>
      </c>
      <c r="B118" s="406"/>
      <c r="C118" s="407"/>
      <c r="D118" s="177" t="str">
        <f>IF(ISNUMBER(MATCH(Table16[[#This Row],[General]],COVENANTS!$A$2:$A$100,0)), "Y","N")</f>
        <v>N</v>
      </c>
      <c r="E118" s="177" t="str">
        <f>IF(ISNUMBER(MATCH(Table16[[#This Row],[General]],COVENANTS!$B$2:$B$100,0)), "Y","N")</f>
        <v>N</v>
      </c>
      <c r="F118" s="177" t="str">
        <f>IF(ISNUMBER(MATCH(Table16[[#This Row],[General]],COVENANTS!$C$2:$C$100,0)), "Y","N")</f>
        <v>N</v>
      </c>
      <c r="G118" s="177" t="str">
        <f>IF(ISNUMBER(MATCH(Table16[[#This Row],[General]],COVENANTS!$D$2:$D$100,0)), "Y","N")</f>
        <v>N</v>
      </c>
      <c r="H118" s="106">
        <v>0</v>
      </c>
      <c r="I118" s="105">
        <v>0</v>
      </c>
      <c r="J118" s="105">
        <v>0</v>
      </c>
      <c r="K118" s="105">
        <v>0</v>
      </c>
      <c r="L118" s="167">
        <v>0</v>
      </c>
      <c r="M118" s="168">
        <v>0</v>
      </c>
      <c r="N118" s="168">
        <v>0</v>
      </c>
      <c r="O118" s="168">
        <v>0</v>
      </c>
      <c r="P118" s="167">
        <v>0</v>
      </c>
      <c r="Q118" s="168">
        <v>0</v>
      </c>
      <c r="R118" s="168">
        <v>0</v>
      </c>
      <c r="S118" s="168">
        <v>0</v>
      </c>
      <c r="T118" s="167">
        <v>0</v>
      </c>
      <c r="U118" s="168">
        <v>0</v>
      </c>
      <c r="V118" s="168">
        <v>0</v>
      </c>
      <c r="W118" s="168">
        <v>0</v>
      </c>
      <c r="X118" s="167">
        <v>0</v>
      </c>
      <c r="Y118" s="168">
        <v>0</v>
      </c>
      <c r="Z118" s="168">
        <v>0</v>
      </c>
      <c r="AA118" s="168">
        <v>0</v>
      </c>
      <c r="AB118" s="167">
        <v>0</v>
      </c>
      <c r="AC118" s="168">
        <v>0</v>
      </c>
      <c r="AD118" s="168">
        <v>0</v>
      </c>
      <c r="AE118" s="167">
        <f>L118+T118+X118</f>
        <v>0</v>
      </c>
      <c r="AF118" s="168">
        <f>M118+U118+Y118</f>
        <v>0</v>
      </c>
      <c r="AG118" s="168">
        <f>N118+V118+Z118</f>
        <v>0</v>
      </c>
      <c r="AH118" s="168">
        <f>W118+O118+AA118</f>
        <v>0</v>
      </c>
      <c r="AI118" s="297">
        <f>(AW$2*(AH118/100)+AW$2+AW$3)*(AX$2*(AE118/100)+AX$2+AX$3)-AY$2</f>
        <v>0</v>
      </c>
    </row>
    <row r="119" spans="1:35" ht="14.25" customHeight="1" x14ac:dyDescent="0.25">
      <c r="A119" s="39" t="s">
        <v>446</v>
      </c>
      <c r="B119" s="406"/>
      <c r="C119" s="407"/>
      <c r="D119" s="177" t="str">
        <f>IF(ISNUMBER(MATCH(Table16[[#This Row],[General]],COVENANTS!$A$2:$A$100,0)), "Y","N")</f>
        <v>N</v>
      </c>
      <c r="E119" s="177" t="str">
        <f>IF(ISNUMBER(MATCH(Table16[[#This Row],[General]],COVENANTS!$B$2:$B$100,0)), "Y","N")</f>
        <v>N</v>
      </c>
      <c r="F119" s="177" t="str">
        <f>IF(ISNUMBER(MATCH(Table16[[#This Row],[General]],COVENANTS!$C$2:$C$100,0)), "Y","N")</f>
        <v>N</v>
      </c>
      <c r="G119" s="177" t="str">
        <f>IF(ISNUMBER(MATCH(Table16[[#This Row],[General]],COVENANTS!$D$2:$D$100,0)), "Y","N")</f>
        <v>N</v>
      </c>
      <c r="H119" s="106">
        <v>0</v>
      </c>
      <c r="I119" s="105">
        <v>0</v>
      </c>
      <c r="J119" s="105">
        <v>0</v>
      </c>
      <c r="K119" s="105">
        <v>0</v>
      </c>
      <c r="L119" s="167">
        <v>0</v>
      </c>
      <c r="M119" s="168">
        <v>0</v>
      </c>
      <c r="N119" s="168">
        <v>0</v>
      </c>
      <c r="O119" s="168">
        <v>0</v>
      </c>
      <c r="P119" s="167">
        <v>0</v>
      </c>
      <c r="Q119" s="168">
        <v>0</v>
      </c>
      <c r="R119" s="168">
        <v>0</v>
      </c>
      <c r="S119" s="168">
        <v>0</v>
      </c>
      <c r="T119" s="167">
        <v>0</v>
      </c>
      <c r="U119" s="168">
        <v>0</v>
      </c>
      <c r="V119" s="168">
        <v>0</v>
      </c>
      <c r="W119" s="168">
        <v>0</v>
      </c>
      <c r="X119" s="167">
        <v>0</v>
      </c>
      <c r="Y119" s="168">
        <v>0</v>
      </c>
      <c r="Z119" s="168">
        <v>0</v>
      </c>
      <c r="AA119" s="168">
        <v>0</v>
      </c>
      <c r="AB119" s="167">
        <v>0</v>
      </c>
      <c r="AC119" s="168">
        <v>0</v>
      </c>
      <c r="AD119" s="168">
        <v>0</v>
      </c>
      <c r="AE119" s="167">
        <f>L119+T119+X119</f>
        <v>0</v>
      </c>
      <c r="AF119" s="168">
        <f>M119+U119+Y119</f>
        <v>0</v>
      </c>
      <c r="AG119" s="168">
        <f>N119+V119+Z119</f>
        <v>0</v>
      </c>
      <c r="AH119" s="168">
        <f>W119+O119+AA119</f>
        <v>0</v>
      </c>
      <c r="AI119" s="300">
        <f>(AW$2*(AH119/100)+AW$2+AW$3)*(AX$2*(AE119/100)+AX$2+AX$3)-AY$2</f>
        <v>0</v>
      </c>
    </row>
    <row r="120" spans="1:35" ht="14.25" customHeight="1" x14ac:dyDescent="0.25">
      <c r="A120" s="39" t="s">
        <v>447</v>
      </c>
      <c r="B120" s="406"/>
      <c r="C120" s="407"/>
      <c r="D120" s="177" t="str">
        <f>IF(ISNUMBER(MATCH(Table16[[#This Row],[General]],COVENANTS!$A$2:$A$100,0)), "Y","N")</f>
        <v>N</v>
      </c>
      <c r="E120" s="177" t="str">
        <f>IF(ISNUMBER(MATCH(Table16[[#This Row],[General]],COVENANTS!$B$2:$B$100,0)), "Y","N")</f>
        <v>N</v>
      </c>
      <c r="F120" s="177" t="str">
        <f>IF(ISNUMBER(MATCH(Table16[[#This Row],[General]],COVENANTS!$C$2:$C$100,0)), "Y","N")</f>
        <v>N</v>
      </c>
      <c r="G120" s="177" t="str">
        <f>IF(ISNUMBER(MATCH(Table16[[#This Row],[General]],COVENANTS!$D$2:$D$100,0)), "Y","N")</f>
        <v>N</v>
      </c>
      <c r="H120" s="106">
        <v>0</v>
      </c>
      <c r="I120" s="105">
        <v>0</v>
      </c>
      <c r="J120" s="105">
        <v>0</v>
      </c>
      <c r="K120" s="105">
        <v>0</v>
      </c>
      <c r="L120" s="167">
        <v>0</v>
      </c>
      <c r="M120" s="168">
        <v>0</v>
      </c>
      <c r="N120" s="168">
        <v>0</v>
      </c>
      <c r="O120" s="168">
        <v>0</v>
      </c>
      <c r="P120" s="167">
        <v>0</v>
      </c>
      <c r="Q120" s="168">
        <v>0</v>
      </c>
      <c r="R120" s="168">
        <v>0</v>
      </c>
      <c r="S120" s="168">
        <v>0</v>
      </c>
      <c r="T120" s="167">
        <v>0</v>
      </c>
      <c r="U120" s="168">
        <v>0</v>
      </c>
      <c r="V120" s="168">
        <v>0</v>
      </c>
      <c r="W120" s="168">
        <v>0</v>
      </c>
      <c r="X120" s="167">
        <v>0</v>
      </c>
      <c r="Y120" s="168">
        <v>0</v>
      </c>
      <c r="Z120" s="168">
        <v>0</v>
      </c>
      <c r="AA120" s="168">
        <v>0</v>
      </c>
      <c r="AB120" s="167">
        <v>0</v>
      </c>
      <c r="AC120" s="168">
        <v>0</v>
      </c>
      <c r="AD120" s="168">
        <v>0</v>
      </c>
      <c r="AE120" s="167">
        <f>L120+T120+X120</f>
        <v>0</v>
      </c>
      <c r="AF120" s="168">
        <f>M120+U120+Y120</f>
        <v>0</v>
      </c>
      <c r="AG120" s="168">
        <f>N120+V120+Z120</f>
        <v>0</v>
      </c>
      <c r="AH120" s="168">
        <f>W120+O120+AA120</f>
        <v>0</v>
      </c>
      <c r="AI120" s="300">
        <f>(AW$2*(AH120/100)+AW$2+AW$3)*(AX$2*(AE120/100)+AX$2+AX$3)-AY$2</f>
        <v>0</v>
      </c>
    </row>
    <row r="121" spans="1:35" ht="14.25" customHeight="1" x14ac:dyDescent="0.25">
      <c r="A121" s="39" t="s">
        <v>448</v>
      </c>
      <c r="B121" s="406"/>
      <c r="C121" s="407"/>
      <c r="D121" s="177" t="str">
        <f>IF(ISNUMBER(MATCH(Table16[[#This Row],[General]],COVENANTS!$A$2:$A$100,0)), "Y","N")</f>
        <v>N</v>
      </c>
      <c r="E121" s="177" t="str">
        <f>IF(ISNUMBER(MATCH(Table16[[#This Row],[General]],COVENANTS!$B$2:$B$100,0)), "Y","N")</f>
        <v>N</v>
      </c>
      <c r="F121" s="177" t="str">
        <f>IF(ISNUMBER(MATCH(Table16[[#This Row],[General]],COVENANTS!$C$2:$C$100,0)), "Y","N")</f>
        <v>N</v>
      </c>
      <c r="G121" s="177" t="str">
        <f>IF(ISNUMBER(MATCH(Table16[[#This Row],[General]],COVENANTS!$D$2:$D$100,0)), "Y","N")</f>
        <v>N</v>
      </c>
      <c r="H121" s="106">
        <v>0</v>
      </c>
      <c r="I121" s="105">
        <v>0</v>
      </c>
      <c r="J121" s="105">
        <v>0</v>
      </c>
      <c r="K121" s="105">
        <v>0</v>
      </c>
      <c r="L121" s="167">
        <v>0</v>
      </c>
      <c r="M121" s="168">
        <v>0</v>
      </c>
      <c r="N121" s="168">
        <v>0</v>
      </c>
      <c r="O121" s="168">
        <v>0</v>
      </c>
      <c r="P121" s="167">
        <v>0</v>
      </c>
      <c r="Q121" s="168">
        <v>0</v>
      </c>
      <c r="R121" s="168">
        <v>0</v>
      </c>
      <c r="S121" s="168">
        <v>0</v>
      </c>
      <c r="T121" s="167">
        <v>0</v>
      </c>
      <c r="U121" s="168">
        <v>0</v>
      </c>
      <c r="V121" s="168">
        <v>0</v>
      </c>
      <c r="W121" s="168">
        <v>0</v>
      </c>
      <c r="X121" s="167">
        <v>0</v>
      </c>
      <c r="Y121" s="168">
        <v>0</v>
      </c>
      <c r="Z121" s="168">
        <v>0</v>
      </c>
      <c r="AA121" s="168">
        <v>0</v>
      </c>
      <c r="AB121" s="167">
        <v>0</v>
      </c>
      <c r="AC121" s="168">
        <v>0</v>
      </c>
      <c r="AD121" s="168">
        <v>0</v>
      </c>
      <c r="AE121" s="167">
        <f>L121+T121+X121</f>
        <v>0</v>
      </c>
      <c r="AF121" s="168">
        <f>M121+U121+Y121</f>
        <v>0</v>
      </c>
      <c r="AG121" s="168">
        <f>N121+V121+Z121</f>
        <v>0</v>
      </c>
      <c r="AH121" s="168">
        <f>W121+O121+AA121</f>
        <v>0</v>
      </c>
      <c r="AI121" s="300">
        <f>(AW$2*(AH121/100)+AW$2+AW$3)*(AX$2*(AE121/100)+AX$2+AX$3)-AY$2</f>
        <v>0</v>
      </c>
    </row>
  </sheetData>
  <sheetProtection autoFilter="0"/>
  <mergeCells count="20">
    <mergeCell ref="A62:C62"/>
    <mergeCell ref="A1:C1"/>
    <mergeCell ref="AB62:AD62"/>
    <mergeCell ref="AE62:AI62"/>
    <mergeCell ref="L1:O1"/>
    <mergeCell ref="P1:S1"/>
    <mergeCell ref="T1:W1"/>
    <mergeCell ref="X1:AA1"/>
    <mergeCell ref="AB1:AD1"/>
    <mergeCell ref="AE1:AI1"/>
    <mergeCell ref="L62:O62"/>
    <mergeCell ref="P62:S62"/>
    <mergeCell ref="D1:G1"/>
    <mergeCell ref="D62:G62"/>
    <mergeCell ref="T62:W62"/>
    <mergeCell ref="X62:AA62"/>
    <mergeCell ref="H1:K1"/>
    <mergeCell ref="H62:K62"/>
    <mergeCell ref="AJ1:AO1"/>
    <mergeCell ref="AP1:AU1"/>
  </mergeCells>
  <phoneticPr fontId="2" type="noConversion"/>
  <conditionalFormatting sqref="B3:B60 B64:B121">
    <cfRule type="cellIs" dxfId="25" priority="3" operator="equal">
      <formula>"U"</formula>
    </cfRule>
    <cfRule type="cellIs" dxfId="24" priority="4" operator="equal">
      <formula>"A"</formula>
    </cfRule>
  </conditionalFormatting>
  <conditionalFormatting sqref="D3:G60 D64:G121">
    <cfRule type="cellIs" dxfId="23" priority="1" operator="equal">
      <formula>"N"</formula>
    </cfRule>
    <cfRule type="cellIs" dxfId="22" priority="2" operator="equal">
      <formula>"Y"</formula>
    </cfRule>
  </conditionalFormatting>
  <conditionalFormatting sqref="H3:K60 H64:K121">
    <cfRule type="cellIs" dxfId="21" priority="5" operator="equal">
      <formula>0</formula>
    </cfRule>
  </conditionalFormatting>
  <pageMargins left="0.7" right="0.7" top="0.75" bottom="0.75" header="0.3" footer="0.3"/>
  <legacy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A05C45E-374C-40AC-9979-EC438CA5F790}">
          <x14:formula1>
            <xm:f>Calculator!$K$2:$K$18</xm:f>
          </x14:formula1>
          <xm:sqref>AX5</xm:sqref>
        </x14:dataValidation>
        <x14:dataValidation type="list" allowBlank="1" showInputMessage="1" showErrorMessage="1" xr:uid="{3F4C13A4-3EF4-4F18-B1D0-43319CADFE18}">
          <x14:formula1>
            <xm:f>Calculator!$S$2:$S$51</xm:f>
          </x14:formula1>
          <xm:sqref>AX9</xm:sqref>
        </x14:dataValidation>
        <x14:dataValidation type="list" allowBlank="1" showInputMessage="1" showErrorMessage="1" xr:uid="{2B303056-2B34-4848-AFC7-4427C164B8FA}">
          <x14:formula1>
            <xm:f>Calculator!$P$2:$P$51</xm:f>
          </x14:formula1>
          <xm:sqref>AX6</xm:sqref>
        </x14:dataValidation>
        <x14:dataValidation type="list" allowBlank="1" showInputMessage="1" showErrorMessage="1" xr:uid="{CEB5D715-0EEA-496F-A753-EFF68DF807A4}">
          <x14:formula1>
            <xm:f>Calculator!$X$2:$X$13</xm:f>
          </x14:formula1>
          <xm:sqref>AX10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0A64-5D37-45D4-BEFC-CB548B6B7616}">
  <sheetPr>
    <tabColor rgb="FF00B0F0"/>
  </sheetPr>
  <dimension ref="A1:AY113"/>
  <sheetViews>
    <sheetView showGridLines="0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I102" sqref="AI102"/>
    </sheetView>
  </sheetViews>
  <sheetFormatPr defaultColWidth="10.5703125" defaultRowHeight="14.25" customHeight="1" x14ac:dyDescent="0.25"/>
  <cols>
    <col min="1" max="1" width="4.140625" style="23" bestFit="1" customWidth="1"/>
    <col min="2" max="2" width="6.85546875" style="10" customWidth="1"/>
    <col min="3" max="3" width="21.42578125" style="69" customWidth="1"/>
    <col min="4" max="4" width="6.5703125" style="69" bestFit="1" customWidth="1"/>
    <col min="5" max="7" width="6" style="69" bestFit="1" customWidth="1"/>
    <col min="8" max="9" width="8.85546875" style="23" bestFit="1" customWidth="1"/>
    <col min="10" max="10" width="8" style="23" bestFit="1" customWidth="1"/>
    <col min="11" max="11" width="8.140625" style="23" bestFit="1" customWidth="1"/>
    <col min="12" max="13" width="7" style="23" bestFit="1" customWidth="1"/>
    <col min="14" max="14" width="6.140625" style="23" bestFit="1" customWidth="1"/>
    <col min="15" max="15" width="6.42578125" style="23" bestFit="1" customWidth="1"/>
    <col min="16" max="17" width="8" style="23" bestFit="1" customWidth="1"/>
    <col min="18" max="18" width="7.140625" style="23" bestFit="1" customWidth="1"/>
    <col min="19" max="19" width="7.42578125" style="23" bestFit="1" customWidth="1"/>
    <col min="20" max="21" width="8" style="23" bestFit="1" customWidth="1"/>
    <col min="22" max="22" width="7.140625" style="23" bestFit="1" customWidth="1"/>
    <col min="23" max="23" width="7.42578125" style="23" bestFit="1" customWidth="1"/>
    <col min="24" max="25" width="9" style="23" bestFit="1" customWidth="1"/>
    <col min="26" max="26" width="8.140625" style="23" bestFit="1" customWidth="1"/>
    <col min="27" max="27" width="8.42578125" style="23" bestFit="1" customWidth="1"/>
    <col min="28" max="29" width="9" style="23" bestFit="1" customWidth="1"/>
    <col min="30" max="30" width="8.140625" style="23" bestFit="1" customWidth="1"/>
    <col min="31" max="32" width="9" style="23" bestFit="1" customWidth="1"/>
    <col min="33" max="33" width="8.140625" style="23" bestFit="1" customWidth="1"/>
    <col min="34" max="34" width="8.42578125" style="23" bestFit="1" customWidth="1"/>
    <col min="35" max="35" width="9.85546875" style="308" bestFit="1" customWidth="1"/>
    <col min="36" max="36" width="9" style="27" customWidth="1"/>
    <col min="37" max="37" width="10" style="27" customWidth="1"/>
    <col min="38" max="38" width="7" style="27" customWidth="1"/>
    <col min="39" max="39" width="14.42578125" style="26" customWidth="1"/>
    <col min="40" max="40" width="15.42578125" style="26" customWidth="1"/>
    <col min="41" max="41" width="12.42578125" style="26" customWidth="1"/>
    <col min="42" max="42" width="9" style="26" customWidth="1"/>
    <col min="43" max="44" width="8" style="26" customWidth="1"/>
    <col min="45" max="46" width="12.42578125" style="23" customWidth="1"/>
    <col min="47" max="47" width="13.42578125" style="23" customWidth="1"/>
    <col min="48" max="48" width="2.7109375" style="23" customWidth="1"/>
    <col min="49" max="49" width="14.140625" style="23" bestFit="1" customWidth="1"/>
    <col min="50" max="50" width="9.85546875" style="23" bestFit="1" customWidth="1"/>
    <col min="51" max="51" width="15.5703125" style="23" bestFit="1" customWidth="1"/>
    <col min="52" max="16384" width="10.5703125" style="23"/>
  </cols>
  <sheetData>
    <row r="1" spans="1:51" s="60" customFormat="1" ht="18" customHeight="1" x14ac:dyDescent="0.25">
      <c r="A1" s="528" t="s">
        <v>109</v>
      </c>
      <c r="B1" s="528"/>
      <c r="C1" s="529"/>
      <c r="D1" s="545" t="s">
        <v>564</v>
      </c>
      <c r="E1" s="528"/>
      <c r="F1" s="528"/>
      <c r="G1" s="528"/>
      <c r="H1" s="541" t="s">
        <v>293</v>
      </c>
      <c r="I1" s="541"/>
      <c r="J1" s="541"/>
      <c r="K1" s="542"/>
      <c r="L1" s="539" t="s">
        <v>282</v>
      </c>
      <c r="M1" s="539"/>
      <c r="N1" s="539"/>
      <c r="O1" s="540"/>
      <c r="P1" s="548" t="s">
        <v>283</v>
      </c>
      <c r="Q1" s="548"/>
      <c r="R1" s="548"/>
      <c r="S1" s="549"/>
      <c r="T1" s="550" t="s">
        <v>284</v>
      </c>
      <c r="U1" s="550"/>
      <c r="V1" s="550"/>
      <c r="W1" s="551"/>
      <c r="X1" s="552" t="s">
        <v>285</v>
      </c>
      <c r="Y1" s="552"/>
      <c r="Z1" s="552"/>
      <c r="AA1" s="553"/>
      <c r="AB1" s="554" t="s">
        <v>328</v>
      </c>
      <c r="AC1" s="554"/>
      <c r="AD1" s="555"/>
      <c r="AE1" s="520" t="s">
        <v>5</v>
      </c>
      <c r="AF1" s="520"/>
      <c r="AG1" s="520"/>
      <c r="AH1" s="520"/>
      <c r="AI1" s="522"/>
      <c r="AJ1" s="520" t="s">
        <v>275</v>
      </c>
      <c r="AK1" s="520"/>
      <c r="AL1" s="520"/>
      <c r="AM1" s="520"/>
      <c r="AN1" s="520"/>
      <c r="AO1" s="521"/>
      <c r="AP1" s="520" t="s">
        <v>276</v>
      </c>
      <c r="AQ1" s="520"/>
      <c r="AR1" s="520"/>
      <c r="AS1" s="520"/>
      <c r="AT1" s="520"/>
      <c r="AU1" s="521"/>
      <c r="AW1" s="42" t="s">
        <v>230</v>
      </c>
      <c r="AX1" s="42" t="s">
        <v>201</v>
      </c>
      <c r="AY1" s="42" t="s">
        <v>257</v>
      </c>
    </row>
    <row r="2" spans="1:51" ht="14.25" customHeight="1" thickBot="1" x14ac:dyDescent="0.3">
      <c r="A2" s="38" t="s">
        <v>48</v>
      </c>
      <c r="B2" s="182" t="s">
        <v>331</v>
      </c>
      <c r="C2" s="178" t="s">
        <v>0</v>
      </c>
      <c r="D2" s="32" t="s">
        <v>565</v>
      </c>
      <c r="E2" s="32" t="s">
        <v>503</v>
      </c>
      <c r="F2" s="32" t="s">
        <v>504</v>
      </c>
      <c r="G2" s="32" t="s">
        <v>505</v>
      </c>
      <c r="H2" s="179" t="s">
        <v>289</v>
      </c>
      <c r="I2" s="178" t="s">
        <v>290</v>
      </c>
      <c r="J2" s="178" t="s">
        <v>291</v>
      </c>
      <c r="K2" s="178" t="s">
        <v>292</v>
      </c>
      <c r="L2" s="179" t="s">
        <v>270</v>
      </c>
      <c r="M2" s="178" t="s">
        <v>271</v>
      </c>
      <c r="N2" s="178" t="s">
        <v>272</v>
      </c>
      <c r="O2" s="178" t="s">
        <v>273</v>
      </c>
      <c r="P2" s="179" t="s">
        <v>537</v>
      </c>
      <c r="Q2" s="178" t="s">
        <v>538</v>
      </c>
      <c r="R2" s="178" t="s">
        <v>539</v>
      </c>
      <c r="S2" s="178" t="s">
        <v>540</v>
      </c>
      <c r="T2" s="179" t="s">
        <v>541</v>
      </c>
      <c r="U2" s="178" t="s">
        <v>542</v>
      </c>
      <c r="V2" s="178" t="s">
        <v>543</v>
      </c>
      <c r="W2" s="178" t="s">
        <v>544</v>
      </c>
      <c r="X2" s="179" t="s">
        <v>545</v>
      </c>
      <c r="Y2" s="178" t="s">
        <v>546</v>
      </c>
      <c r="Z2" s="178" t="s">
        <v>547</v>
      </c>
      <c r="AA2" s="178" t="s">
        <v>548</v>
      </c>
      <c r="AB2" s="179" t="s">
        <v>549</v>
      </c>
      <c r="AC2" s="178" t="s">
        <v>550</v>
      </c>
      <c r="AD2" s="178" t="s">
        <v>551</v>
      </c>
      <c r="AE2" s="179" t="s">
        <v>552</v>
      </c>
      <c r="AF2" s="178" t="s">
        <v>553</v>
      </c>
      <c r="AG2" s="178" t="s">
        <v>554</v>
      </c>
      <c r="AH2" s="178" t="s">
        <v>555</v>
      </c>
      <c r="AI2" s="307" t="s">
        <v>274</v>
      </c>
      <c r="AJ2" s="179" t="s">
        <v>556</v>
      </c>
      <c r="AK2" s="178" t="s">
        <v>557</v>
      </c>
      <c r="AL2" s="178" t="s">
        <v>277</v>
      </c>
      <c r="AM2" s="180" t="s">
        <v>558</v>
      </c>
      <c r="AN2" s="180" t="s">
        <v>559</v>
      </c>
      <c r="AO2" s="180" t="s">
        <v>281</v>
      </c>
      <c r="AP2" s="181" t="s">
        <v>560</v>
      </c>
      <c r="AQ2" s="180" t="s">
        <v>561</v>
      </c>
      <c r="AR2" s="180" t="s">
        <v>562</v>
      </c>
      <c r="AS2" s="180" t="s">
        <v>279</v>
      </c>
      <c r="AT2" s="180" t="s">
        <v>280</v>
      </c>
      <c r="AU2" s="180" t="s">
        <v>563</v>
      </c>
      <c r="AW2" s="24">
        <f>VLOOKUP(AX6,Calculator!P:Q,2,FALSE)</f>
        <v>660000</v>
      </c>
      <c r="AX2" s="24">
        <f>VLOOKUP(AX5,Calculator!I:J,2,FALSE)</f>
        <v>6670</v>
      </c>
      <c r="AY2" s="24">
        <f>(AW2+AW3)*(AX2+AX3)</f>
        <v>520374057000</v>
      </c>
    </row>
    <row r="3" spans="1:51" ht="14.25" customHeight="1" thickTop="1" x14ac:dyDescent="0.25">
      <c r="A3" s="35" t="s">
        <v>49</v>
      </c>
      <c r="B3" s="208" t="s">
        <v>333</v>
      </c>
      <c r="C3" s="415" t="s">
        <v>1145</v>
      </c>
      <c r="D3" s="416" t="str">
        <f>IF(ISNUMBER(MATCH(Table19[[#This Row],[General]],COVENANTS!$A$2:$A$100,0)), "Y","N")</f>
        <v>Y</v>
      </c>
      <c r="E3" s="416" t="str">
        <f>IF(ISNUMBER(MATCH(Table19[[#This Row],[General]],COVENANTS!$B$2:$B$100,0)), "Y","N")</f>
        <v>N</v>
      </c>
      <c r="F3" s="416" t="str">
        <f>IF(ISNUMBER(MATCH(Table19[[#This Row],[General]],COVENANTS!$C$2:$C$100,0)), "Y","N")</f>
        <v>N</v>
      </c>
      <c r="G3" s="125" t="str">
        <f>IF(ISNUMBER(MATCH(Table19[[#This Row],[General]],COVENANTS!$D$2:$D$100,0)), "Y","N")</f>
        <v>Y</v>
      </c>
      <c r="H3" s="126">
        <v>25</v>
      </c>
      <c r="I3" s="210">
        <v>25</v>
      </c>
      <c r="J3" s="210">
        <v>25</v>
      </c>
      <c r="K3" s="210">
        <v>12</v>
      </c>
      <c r="L3" s="212">
        <v>60</v>
      </c>
      <c r="M3" s="210">
        <v>60</v>
      </c>
      <c r="N3" s="210">
        <v>45</v>
      </c>
      <c r="O3" s="210">
        <v>0</v>
      </c>
      <c r="P3" s="212">
        <v>100</v>
      </c>
      <c r="Q3" s="210">
        <v>95</v>
      </c>
      <c r="R3" s="210">
        <v>80</v>
      </c>
      <c r="S3" s="210">
        <v>6</v>
      </c>
      <c r="T3" s="212">
        <v>85</v>
      </c>
      <c r="U3" s="210">
        <v>20</v>
      </c>
      <c r="V3" s="210">
        <v>10</v>
      </c>
      <c r="W3" s="210">
        <v>21</v>
      </c>
      <c r="X3" s="212">
        <v>27</v>
      </c>
      <c r="Y3" s="210">
        <v>10</v>
      </c>
      <c r="Z3" s="210">
        <v>15</v>
      </c>
      <c r="AA3" s="210">
        <v>15</v>
      </c>
      <c r="AB3" s="214">
        <f t="shared" ref="AB3:AB34" si="0">900*0.1+(AM3-900)*0.2</f>
        <v>258.29880663040001</v>
      </c>
      <c r="AC3" s="216">
        <f t="shared" ref="AC3:AC34" si="1">900*0.1+(AN3-900)*0.2</f>
        <v>243.91486781439994</v>
      </c>
      <c r="AD3" s="216">
        <f t="shared" ref="AD3:AD34" si="2">900*0.1+(AO3-900)*0.2</f>
        <v>241.66135055359996</v>
      </c>
      <c r="AE3" s="212">
        <f t="shared" ref="AE3:AE34" si="3">P3+T3+X3+AB3</f>
        <v>470.29880663040001</v>
      </c>
      <c r="AF3" s="210">
        <f t="shared" ref="AF3:AF34" si="4">Q3+U3+Y3+AC3</f>
        <v>368.91486781439994</v>
      </c>
      <c r="AG3" s="210">
        <f t="shared" ref="AG3:AG34" si="5">R3+V3+Z3+AD3</f>
        <v>346.66135055359996</v>
      </c>
      <c r="AH3" s="210">
        <f t="shared" ref="AH3:AH34" si="6">S3+W3+AA3</f>
        <v>42</v>
      </c>
      <c r="AI3" s="296">
        <f t="shared" ref="AI3:AI34" si="7">(AW$2*(AH3/100)+AW$2+AW$3)*(AX$2*(AE3/100)+AX$2+AX$3)-AY$2</f>
        <v>164061584844.89343</v>
      </c>
      <c r="AJ3" s="212">
        <v>135</v>
      </c>
      <c r="AK3" s="210">
        <v>126</v>
      </c>
      <c r="AL3" s="210">
        <v>125</v>
      </c>
      <c r="AM3" s="218">
        <f t="shared" ref="AM3:AM34" si="8">(AJ3+AS3*(AX$9-1))+500+((AJ3+AS3*(AX$9-1))+500)*$AY$10</f>
        <v>1741.4940331519999</v>
      </c>
      <c r="AN3" s="220">
        <f t="shared" ref="AN3:AN34" si="9">(AK3+AT3*(AX$9-1))+500+((AK3+AT3*(AX$9-1))+500)*$AY$10</f>
        <v>1669.5743390719997</v>
      </c>
      <c r="AO3" s="220">
        <f t="shared" ref="AO3:AO34" si="10">(AL3+AU3*(AX$9-1))+500+((AL3+AU3*(AX$9-1))+500)*$AY$10</f>
        <v>1658.3067527679998</v>
      </c>
      <c r="AP3" s="222">
        <v>9.42</v>
      </c>
      <c r="AQ3" s="224">
        <v>8.8699999999999992</v>
      </c>
      <c r="AR3" s="224">
        <v>8.7799999999999994</v>
      </c>
      <c r="AS3" s="218">
        <f t="shared" ref="AS3:AS34" si="11">(((((1+20/100)*$AP3)*(1+20/100)))*(1+20/100))*(1+20/100)*(1+20/100)</f>
        <v>23.439974399999997</v>
      </c>
      <c r="AT3" s="220">
        <f t="shared" ref="AT3:AT34" si="12">(((((1+20/100)*$AQ3)*(1+20/100)))*(1+20/100))*(1+20/100)*(1+20/100)</f>
        <v>22.071398399999993</v>
      </c>
      <c r="AU3" s="220">
        <f t="shared" ref="AU3:AU34" si="13">(((((1+20/100)*$AR3)*(1+20/100)))*(1+20/100))*(1+20/100)*(1+20/100)</f>
        <v>21.847449599999994</v>
      </c>
      <c r="AW3" s="24">
        <f>AX8</f>
        <v>3055100</v>
      </c>
      <c r="AX3" s="24">
        <f>((AX7/100)*AX2)</f>
        <v>133400</v>
      </c>
    </row>
    <row r="4" spans="1:51" ht="14.25" customHeight="1" x14ac:dyDescent="0.25">
      <c r="A4" s="35" t="s">
        <v>50</v>
      </c>
      <c r="B4" s="104" t="s">
        <v>332</v>
      </c>
      <c r="C4" s="184" t="s">
        <v>1144</v>
      </c>
      <c r="D4" s="185" t="str">
        <f>IF(ISNUMBER(MATCH(Table19[[#This Row],[General]],COVENANTS!$A$2:$A$100,0)), "Y","N")</f>
        <v>Y</v>
      </c>
      <c r="E4" s="185" t="str">
        <f>IF(ISNUMBER(MATCH(Table19[[#This Row],[General]],COVENANTS!$B$2:$B$100,0)), "Y","N")</f>
        <v>N</v>
      </c>
      <c r="F4" s="185" t="str">
        <f>IF(ISNUMBER(MATCH(Table19[[#This Row],[General]],COVENANTS!$C$2:$C$100,0)), "Y","N")</f>
        <v>N</v>
      </c>
      <c r="G4" s="135" t="str">
        <f>IF(ISNUMBER(MATCH(Table19[[#This Row],[General]],COVENANTS!$D$2:$D$100,0)), "Y","N")</f>
        <v>Y</v>
      </c>
      <c r="H4" s="122">
        <v>25</v>
      </c>
      <c r="I4" s="105">
        <v>25</v>
      </c>
      <c r="J4" s="105">
        <v>25</v>
      </c>
      <c r="K4" s="105">
        <v>12</v>
      </c>
      <c r="L4" s="106">
        <v>60</v>
      </c>
      <c r="M4" s="105">
        <v>40</v>
      </c>
      <c r="N4" s="105">
        <v>60</v>
      </c>
      <c r="O4" s="105">
        <v>0</v>
      </c>
      <c r="P4" s="106">
        <v>150</v>
      </c>
      <c r="Q4" s="105">
        <v>110</v>
      </c>
      <c r="R4" s="105">
        <v>85</v>
      </c>
      <c r="S4" s="105">
        <v>15</v>
      </c>
      <c r="T4" s="106">
        <v>85</v>
      </c>
      <c r="U4" s="105">
        <v>45</v>
      </c>
      <c r="V4" s="105">
        <v>75</v>
      </c>
      <c r="W4" s="105">
        <v>0</v>
      </c>
      <c r="X4" s="106">
        <v>20</v>
      </c>
      <c r="Y4" s="105">
        <v>20</v>
      </c>
      <c r="Z4" s="105">
        <v>15</v>
      </c>
      <c r="AA4" s="105">
        <v>10</v>
      </c>
      <c r="AB4" s="107">
        <f t="shared" si="0"/>
        <v>263.03267640319996</v>
      </c>
      <c r="AC4" s="108">
        <f t="shared" si="1"/>
        <v>239.01350379519997</v>
      </c>
      <c r="AD4" s="108">
        <f t="shared" si="2"/>
        <v>248.6635728384</v>
      </c>
      <c r="AE4" s="106">
        <f t="shared" si="3"/>
        <v>518.03267640319996</v>
      </c>
      <c r="AF4" s="105">
        <f t="shared" si="4"/>
        <v>414.01350379519999</v>
      </c>
      <c r="AG4" s="105">
        <f t="shared" si="5"/>
        <v>423.6635728384</v>
      </c>
      <c r="AH4" s="105">
        <f t="shared" si="6"/>
        <v>25</v>
      </c>
      <c r="AI4" s="297">
        <f t="shared" si="7"/>
        <v>157179789800.39417</v>
      </c>
      <c r="AJ4" s="106">
        <v>137</v>
      </c>
      <c r="AK4" s="105">
        <v>120</v>
      </c>
      <c r="AL4" s="105">
        <v>127</v>
      </c>
      <c r="AM4" s="109">
        <f t="shared" si="8"/>
        <v>1765.1633820159998</v>
      </c>
      <c r="AN4" s="110">
        <f t="shared" si="9"/>
        <v>1645.0675189759997</v>
      </c>
      <c r="AO4" s="110">
        <f t="shared" si="10"/>
        <v>1693.3178641919999</v>
      </c>
      <c r="AP4" s="111">
        <v>9.61</v>
      </c>
      <c r="AQ4" s="112">
        <v>8.7100000000000009</v>
      </c>
      <c r="AR4" s="112">
        <v>9.07</v>
      </c>
      <c r="AS4" s="109">
        <f t="shared" si="11"/>
        <v>23.912755199999996</v>
      </c>
      <c r="AT4" s="110">
        <f t="shared" si="12"/>
        <v>21.673267199999994</v>
      </c>
      <c r="AU4" s="110">
        <f t="shared" si="13"/>
        <v>22.569062399999996</v>
      </c>
    </row>
    <row r="5" spans="1:51" ht="14.25" customHeight="1" x14ac:dyDescent="0.25">
      <c r="A5" s="35" t="s">
        <v>51</v>
      </c>
      <c r="B5" s="120" t="s">
        <v>332</v>
      </c>
      <c r="C5" s="121" t="s">
        <v>111</v>
      </c>
      <c r="D5" s="135" t="str">
        <f>IF(ISNUMBER(MATCH(Table19[[#This Row],[General]],COVENANTS!$A$2:$A$100,0)), "Y","N")</f>
        <v>Y</v>
      </c>
      <c r="E5" s="135" t="str">
        <f>IF(ISNUMBER(MATCH(Table19[[#This Row],[General]],COVENANTS!$B$2:$B$100,0)), "Y","N")</f>
        <v>N</v>
      </c>
      <c r="F5" s="135" t="str">
        <f>IF(ISNUMBER(MATCH(Table19[[#This Row],[General]],COVENANTS!$C$2:$C$100,0)), "Y","N")</f>
        <v>Y</v>
      </c>
      <c r="G5" s="135" t="str">
        <f>IF(ISNUMBER(MATCH(Table19[[#This Row],[General]],COVENANTS!$D$2:$D$100,0)), "Y","N")</f>
        <v>N</v>
      </c>
      <c r="H5" s="122">
        <v>25</v>
      </c>
      <c r="I5" s="123">
        <v>25</v>
      </c>
      <c r="J5" s="123">
        <v>25</v>
      </c>
      <c r="K5" s="123">
        <v>12</v>
      </c>
      <c r="L5" s="122">
        <v>45</v>
      </c>
      <c r="M5" s="123">
        <v>40</v>
      </c>
      <c r="N5" s="123">
        <v>40</v>
      </c>
      <c r="O5" s="123">
        <v>0</v>
      </c>
      <c r="P5" s="122">
        <v>140</v>
      </c>
      <c r="Q5" s="123">
        <v>65</v>
      </c>
      <c r="R5" s="123">
        <v>80</v>
      </c>
      <c r="S5" s="123">
        <v>8</v>
      </c>
      <c r="T5" s="122">
        <v>80</v>
      </c>
      <c r="U5" s="123">
        <v>20</v>
      </c>
      <c r="V5" s="123">
        <v>40</v>
      </c>
      <c r="W5" s="123">
        <v>21</v>
      </c>
      <c r="X5" s="122">
        <v>10</v>
      </c>
      <c r="Y5" s="123">
        <v>10</v>
      </c>
      <c r="Z5" s="123">
        <v>10</v>
      </c>
      <c r="AA5" s="123">
        <v>0</v>
      </c>
      <c r="AB5" s="136">
        <f t="shared" si="0"/>
        <v>264.95551165439997</v>
      </c>
      <c r="AC5" s="137">
        <f t="shared" si="1"/>
        <v>241.02535055359996</v>
      </c>
      <c r="AD5" s="137">
        <f t="shared" si="2"/>
        <v>228.25892899839997</v>
      </c>
      <c r="AE5" s="122">
        <f t="shared" si="3"/>
        <v>494.95551165439997</v>
      </c>
      <c r="AF5" s="123">
        <f t="shared" si="4"/>
        <v>336.02535055359999</v>
      </c>
      <c r="AG5" s="123">
        <f t="shared" si="5"/>
        <v>358.25892899839994</v>
      </c>
      <c r="AH5" s="123">
        <f t="shared" si="6"/>
        <v>29</v>
      </c>
      <c r="AI5" s="298">
        <f t="shared" si="7"/>
        <v>155776763208.73682</v>
      </c>
      <c r="AJ5" s="122">
        <v>145</v>
      </c>
      <c r="AK5" s="123">
        <v>122</v>
      </c>
      <c r="AL5" s="123">
        <v>111</v>
      </c>
      <c r="AM5" s="138">
        <f t="shared" si="8"/>
        <v>1774.7775582719999</v>
      </c>
      <c r="AN5" s="139">
        <f t="shared" si="9"/>
        <v>1655.1267527679997</v>
      </c>
      <c r="AO5" s="139">
        <f t="shared" si="10"/>
        <v>1591.2946449919998</v>
      </c>
      <c r="AP5" s="140">
        <v>9.6199999999999992</v>
      </c>
      <c r="AQ5" s="141">
        <v>8.7799999999999994</v>
      </c>
      <c r="AR5" s="141">
        <v>8.32</v>
      </c>
      <c r="AS5" s="138">
        <f t="shared" si="11"/>
        <v>23.937638399999997</v>
      </c>
      <c r="AT5" s="139">
        <f t="shared" si="12"/>
        <v>21.847449599999994</v>
      </c>
      <c r="AU5" s="139">
        <f t="shared" si="13"/>
        <v>20.702822399999999</v>
      </c>
      <c r="AW5" s="33" t="s">
        <v>255</v>
      </c>
      <c r="AX5" s="25" t="s">
        <v>250</v>
      </c>
    </row>
    <row r="6" spans="1:51" ht="14.25" customHeight="1" x14ac:dyDescent="0.25">
      <c r="A6" s="35" t="s">
        <v>52</v>
      </c>
      <c r="B6" s="120" t="s">
        <v>333</v>
      </c>
      <c r="C6" s="121" t="s">
        <v>112</v>
      </c>
      <c r="D6" s="135" t="str">
        <f>IF(ISNUMBER(MATCH(Table19[[#This Row],[General]],COVENANTS!$A$2:$A$100,0)), "Y","N")</f>
        <v>Y</v>
      </c>
      <c r="E6" s="135" t="str">
        <f>IF(ISNUMBER(MATCH(Table19[[#This Row],[General]],COVENANTS!$B$2:$B$100,0)), "Y","N")</f>
        <v>N</v>
      </c>
      <c r="F6" s="135" t="str">
        <f>IF(ISNUMBER(MATCH(Table19[[#This Row],[General]],COVENANTS!$C$2:$C$100,0)), "Y","N")</f>
        <v>N</v>
      </c>
      <c r="G6" s="135" t="str">
        <f>IF(ISNUMBER(MATCH(Table19[[#This Row],[General]],COVENANTS!$D$2:$D$100,0)), "Y","N")</f>
        <v>Y</v>
      </c>
      <c r="H6" s="122">
        <v>0</v>
      </c>
      <c r="I6" s="123">
        <v>25</v>
      </c>
      <c r="J6" s="123">
        <v>25</v>
      </c>
      <c r="K6" s="123">
        <v>12</v>
      </c>
      <c r="L6" s="122">
        <v>45</v>
      </c>
      <c r="M6" s="123">
        <v>35</v>
      </c>
      <c r="N6" s="123">
        <v>35</v>
      </c>
      <c r="O6" s="123">
        <v>0</v>
      </c>
      <c r="P6" s="122">
        <v>90</v>
      </c>
      <c r="Q6" s="123">
        <v>70</v>
      </c>
      <c r="R6" s="123">
        <v>60</v>
      </c>
      <c r="S6" s="123">
        <v>10</v>
      </c>
      <c r="T6" s="122">
        <v>80</v>
      </c>
      <c r="U6" s="123">
        <v>35</v>
      </c>
      <c r="V6" s="123">
        <v>10</v>
      </c>
      <c r="W6" s="123">
        <v>21</v>
      </c>
      <c r="X6" s="122">
        <v>10</v>
      </c>
      <c r="Y6" s="123">
        <v>10</v>
      </c>
      <c r="Z6" s="123">
        <v>10</v>
      </c>
      <c r="AA6" s="123">
        <v>8</v>
      </c>
      <c r="AB6" s="136">
        <f t="shared" si="0"/>
        <v>264.97034690559997</v>
      </c>
      <c r="AC6" s="137">
        <f t="shared" si="1"/>
        <v>247.24322032640003</v>
      </c>
      <c r="AD6" s="137">
        <f t="shared" si="2"/>
        <v>227.50424698879996</v>
      </c>
      <c r="AE6" s="122">
        <f t="shared" si="3"/>
        <v>444.97034690559997</v>
      </c>
      <c r="AF6" s="123">
        <f t="shared" si="4"/>
        <v>362.24322032640003</v>
      </c>
      <c r="AG6" s="123">
        <f t="shared" si="5"/>
        <v>307.50424698879999</v>
      </c>
      <c r="AH6" s="123">
        <f t="shared" si="6"/>
        <v>39</v>
      </c>
      <c r="AI6" s="298">
        <f t="shared" si="7"/>
        <v>153955919695.60254</v>
      </c>
      <c r="AJ6" s="122">
        <v>144</v>
      </c>
      <c r="AK6" s="123">
        <v>131</v>
      </c>
      <c r="AL6" s="123">
        <v>116</v>
      </c>
      <c r="AM6" s="138">
        <f t="shared" si="8"/>
        <v>1774.851734528</v>
      </c>
      <c r="AN6" s="139">
        <f t="shared" si="9"/>
        <v>1686.2161016320001</v>
      </c>
      <c r="AO6" s="139">
        <f t="shared" si="10"/>
        <v>1587.5212349439998</v>
      </c>
      <c r="AP6" s="140">
        <v>9.6300000000000008</v>
      </c>
      <c r="AQ6" s="141">
        <v>8.9700000000000006</v>
      </c>
      <c r="AR6" s="141">
        <v>8.24</v>
      </c>
      <c r="AS6" s="138">
        <f t="shared" si="11"/>
        <v>23.962521599999999</v>
      </c>
      <c r="AT6" s="139">
        <f t="shared" si="12"/>
        <v>22.3202304</v>
      </c>
      <c r="AU6" s="139">
        <f t="shared" si="13"/>
        <v>20.503756799999998</v>
      </c>
      <c r="AW6" s="33" t="s">
        <v>694</v>
      </c>
      <c r="AX6" s="25" t="s">
        <v>703</v>
      </c>
    </row>
    <row r="7" spans="1:51" ht="14.25" customHeight="1" x14ac:dyDescent="0.25">
      <c r="A7" s="35" t="s">
        <v>53</v>
      </c>
      <c r="B7" s="120" t="s">
        <v>333</v>
      </c>
      <c r="C7" s="121" t="s">
        <v>206</v>
      </c>
      <c r="D7" s="135" t="str">
        <f>IF(ISNUMBER(MATCH(Table19[[#This Row],[General]],COVENANTS!$A$2:$A$100,0)), "Y","N")</f>
        <v>Y</v>
      </c>
      <c r="E7" s="135" t="str">
        <f>IF(ISNUMBER(MATCH(Table19[[#This Row],[General]],COVENANTS!$B$2:$B$100,0)), "Y","N")</f>
        <v>Y</v>
      </c>
      <c r="F7" s="135" t="str">
        <f>IF(ISNUMBER(MATCH(Table19[[#This Row],[General]],COVENANTS!$C$2:$C$100,0)), "Y","N")</f>
        <v>N</v>
      </c>
      <c r="G7" s="135" t="str">
        <f>IF(ISNUMBER(MATCH(Table19[[#This Row],[General]],COVENANTS!$D$2:$D$100,0)), "Y","N")</f>
        <v>N</v>
      </c>
      <c r="H7" s="122">
        <v>25</v>
      </c>
      <c r="I7" s="123">
        <v>25</v>
      </c>
      <c r="J7" s="123">
        <v>25</v>
      </c>
      <c r="K7" s="123">
        <v>12</v>
      </c>
      <c r="L7" s="122">
        <v>50</v>
      </c>
      <c r="M7" s="123">
        <v>0</v>
      </c>
      <c r="N7" s="123">
        <v>50</v>
      </c>
      <c r="O7" s="123">
        <v>12</v>
      </c>
      <c r="P7" s="122">
        <v>105</v>
      </c>
      <c r="Q7" s="123">
        <v>70</v>
      </c>
      <c r="R7" s="123">
        <v>70</v>
      </c>
      <c r="S7" s="123">
        <v>12</v>
      </c>
      <c r="T7" s="122">
        <v>70</v>
      </c>
      <c r="U7" s="123">
        <v>50</v>
      </c>
      <c r="V7" s="123">
        <v>20</v>
      </c>
      <c r="W7" s="123">
        <v>16</v>
      </c>
      <c r="X7" s="122">
        <v>25</v>
      </c>
      <c r="Y7" s="123">
        <v>10</v>
      </c>
      <c r="Z7" s="123">
        <v>10</v>
      </c>
      <c r="AA7" s="123">
        <v>10</v>
      </c>
      <c r="AB7" s="136">
        <f t="shared" si="0"/>
        <v>243.65836206079996</v>
      </c>
      <c r="AC7" s="137">
        <f t="shared" si="1"/>
        <v>238.28849228800001</v>
      </c>
      <c r="AD7" s="137">
        <f t="shared" si="2"/>
        <v>241.19284479999996</v>
      </c>
      <c r="AE7" s="122">
        <f t="shared" si="3"/>
        <v>443.65836206079996</v>
      </c>
      <c r="AF7" s="123">
        <f t="shared" si="4"/>
        <v>368.28849228800004</v>
      </c>
      <c r="AG7" s="123">
        <f t="shared" si="5"/>
        <v>341.19284479999999</v>
      </c>
      <c r="AH7" s="123">
        <f t="shared" si="6"/>
        <v>38</v>
      </c>
      <c r="AI7" s="298">
        <f t="shared" si="7"/>
        <v>152488519363.06494</v>
      </c>
      <c r="AJ7" s="122">
        <v>128</v>
      </c>
      <c r="AK7" s="123">
        <v>123</v>
      </c>
      <c r="AL7" s="123">
        <v>126</v>
      </c>
      <c r="AM7" s="138">
        <f t="shared" si="8"/>
        <v>1668.2918103039997</v>
      </c>
      <c r="AN7" s="139">
        <f t="shared" si="9"/>
        <v>1641.44246144</v>
      </c>
      <c r="AO7" s="139">
        <f t="shared" si="10"/>
        <v>1655.9642239999998</v>
      </c>
      <c r="AP7" s="140">
        <v>8.84</v>
      </c>
      <c r="AQ7" s="141">
        <v>8.65</v>
      </c>
      <c r="AR7" s="141">
        <v>8.75</v>
      </c>
      <c r="AS7" s="138">
        <f t="shared" si="11"/>
        <v>21.996748799999995</v>
      </c>
      <c r="AT7" s="139">
        <f t="shared" si="12"/>
        <v>21.523968</v>
      </c>
      <c r="AU7" s="139">
        <f t="shared" si="13"/>
        <v>21.772799999999997</v>
      </c>
      <c r="AW7" s="33" t="s">
        <v>256</v>
      </c>
      <c r="AX7" s="25">
        <v>2000</v>
      </c>
    </row>
    <row r="8" spans="1:51" ht="14.25" customHeight="1" x14ac:dyDescent="0.25">
      <c r="A8" s="35" t="s">
        <v>54</v>
      </c>
      <c r="B8" s="120" t="s">
        <v>332</v>
      </c>
      <c r="C8" s="121" t="s">
        <v>685</v>
      </c>
      <c r="D8" s="135" t="str">
        <f>IF(ISNUMBER(MATCH(Table19[[#This Row],[General]],COVENANTS!$A$2:$A$100,0)), "Y","N")</f>
        <v>Y</v>
      </c>
      <c r="E8" s="135" t="str">
        <f>IF(ISNUMBER(MATCH(Table19[[#This Row],[General]],COVENANTS!$B$2:$B$100,0)), "Y","N")</f>
        <v>N</v>
      </c>
      <c r="F8" s="135" t="str">
        <f>IF(ISNUMBER(MATCH(Table19[[#This Row],[General]],COVENANTS!$C$2:$C$100,0)), "Y","N")</f>
        <v>N</v>
      </c>
      <c r="G8" s="135" t="str">
        <f>IF(ISNUMBER(MATCH(Table19[[#This Row],[General]],COVENANTS!$D$2:$D$100,0)), "Y","N")</f>
        <v>Y</v>
      </c>
      <c r="H8" s="122">
        <v>25</v>
      </c>
      <c r="I8" s="123">
        <v>25</v>
      </c>
      <c r="J8" s="123">
        <v>25</v>
      </c>
      <c r="K8" s="123">
        <v>12</v>
      </c>
      <c r="L8" s="122">
        <v>55</v>
      </c>
      <c r="M8" s="123">
        <v>40</v>
      </c>
      <c r="N8" s="123">
        <v>40</v>
      </c>
      <c r="O8" s="123">
        <v>0</v>
      </c>
      <c r="P8" s="122">
        <v>135</v>
      </c>
      <c r="Q8" s="123">
        <v>75</v>
      </c>
      <c r="R8" s="123">
        <v>100</v>
      </c>
      <c r="S8" s="123">
        <v>13</v>
      </c>
      <c r="T8" s="122">
        <v>80</v>
      </c>
      <c r="U8" s="123">
        <v>60</v>
      </c>
      <c r="V8" s="123">
        <v>50</v>
      </c>
      <c r="W8" s="123">
        <v>6</v>
      </c>
      <c r="X8" s="122">
        <v>15</v>
      </c>
      <c r="Y8" s="123">
        <v>5</v>
      </c>
      <c r="Z8" s="123">
        <v>10</v>
      </c>
      <c r="AA8" s="123">
        <v>10</v>
      </c>
      <c r="AB8" s="136">
        <f t="shared" si="0"/>
        <v>246.75987932160001</v>
      </c>
      <c r="AC8" s="137">
        <f t="shared" si="1"/>
        <v>237.63765703679996</v>
      </c>
      <c r="AD8" s="137">
        <f t="shared" si="2"/>
        <v>241.6168448</v>
      </c>
      <c r="AE8" s="122">
        <f t="shared" si="3"/>
        <v>476.75987932160001</v>
      </c>
      <c r="AF8" s="123">
        <f t="shared" si="4"/>
        <v>377.63765703679996</v>
      </c>
      <c r="AG8" s="123">
        <f t="shared" si="5"/>
        <v>401.61684479999997</v>
      </c>
      <c r="AH8" s="123">
        <f t="shared" si="6"/>
        <v>29</v>
      </c>
      <c r="AI8" s="298">
        <f t="shared" si="7"/>
        <v>151035644653.60767</v>
      </c>
      <c r="AJ8" s="122">
        <v>133</v>
      </c>
      <c r="AK8" s="123">
        <v>121</v>
      </c>
      <c r="AL8" s="123">
        <v>128</v>
      </c>
      <c r="AM8" s="138">
        <f t="shared" si="8"/>
        <v>1683.7993966080001</v>
      </c>
      <c r="AN8" s="139">
        <f t="shared" si="9"/>
        <v>1638.1882851839998</v>
      </c>
      <c r="AO8" s="139">
        <f t="shared" si="10"/>
        <v>1658.0842239999999</v>
      </c>
      <c r="AP8" s="140">
        <v>8.93</v>
      </c>
      <c r="AQ8" s="141">
        <v>8.64</v>
      </c>
      <c r="AR8" s="141">
        <v>8.75</v>
      </c>
      <c r="AS8" s="138">
        <f t="shared" si="11"/>
        <v>22.220697599999998</v>
      </c>
      <c r="AT8" s="139">
        <f t="shared" si="12"/>
        <v>21.499084799999995</v>
      </c>
      <c r="AU8" s="139">
        <f t="shared" si="13"/>
        <v>21.772799999999997</v>
      </c>
      <c r="AW8" s="33" t="s">
        <v>258</v>
      </c>
      <c r="AX8" s="25">
        <v>3055100</v>
      </c>
    </row>
    <row r="9" spans="1:51" ht="14.25" customHeight="1" x14ac:dyDescent="0.25">
      <c r="A9" s="35" t="s">
        <v>55</v>
      </c>
      <c r="B9" s="104" t="s">
        <v>332</v>
      </c>
      <c r="C9" s="184" t="s">
        <v>1118</v>
      </c>
      <c r="D9" s="185" t="str">
        <f>IF(ISNUMBER(MATCH(Table19[[#This Row],[General]],COVENANTS!$A$2:$A$100,0)), "Y","N")</f>
        <v>Y</v>
      </c>
      <c r="E9" s="185" t="str">
        <f>IF(ISNUMBER(MATCH(Table19[[#This Row],[General]],COVENANTS!$B$2:$B$100,0)), "Y","N")</f>
        <v>N</v>
      </c>
      <c r="F9" s="185" t="str">
        <f>IF(ISNUMBER(MATCH(Table19[[#This Row],[General]],COVENANTS!$C$2:$C$100,0)), "Y","N")</f>
        <v>N</v>
      </c>
      <c r="G9" s="135" t="str">
        <f>IF(ISNUMBER(MATCH(Table19[[#This Row],[General]],COVENANTS!$D$2:$D$100,0)), "Y","N")</f>
        <v>N</v>
      </c>
      <c r="H9" s="122">
        <v>25</v>
      </c>
      <c r="I9" s="105">
        <v>25</v>
      </c>
      <c r="J9" s="105">
        <v>25</v>
      </c>
      <c r="K9" s="105">
        <v>12</v>
      </c>
      <c r="L9" s="106">
        <v>60</v>
      </c>
      <c r="M9" s="105">
        <v>45</v>
      </c>
      <c r="N9" s="105">
        <v>60</v>
      </c>
      <c r="O9" s="105">
        <v>0</v>
      </c>
      <c r="P9" s="106">
        <v>145</v>
      </c>
      <c r="Q9" s="105">
        <v>125</v>
      </c>
      <c r="R9" s="105">
        <v>115</v>
      </c>
      <c r="S9" s="105">
        <v>10</v>
      </c>
      <c r="T9" s="106">
        <v>80</v>
      </c>
      <c r="U9" s="105">
        <v>55</v>
      </c>
      <c r="V9" s="105">
        <v>45</v>
      </c>
      <c r="W9" s="105">
        <v>0</v>
      </c>
      <c r="X9" s="106">
        <v>15</v>
      </c>
      <c r="Y9" s="105">
        <v>10</v>
      </c>
      <c r="Z9" s="105">
        <v>15</v>
      </c>
      <c r="AA9" s="105">
        <v>8</v>
      </c>
      <c r="AB9" s="107">
        <f t="shared" si="0"/>
        <v>257.64797137919993</v>
      </c>
      <c r="AC9" s="108">
        <f t="shared" si="1"/>
        <v>238.51532753919992</v>
      </c>
      <c r="AD9" s="108">
        <f t="shared" si="2"/>
        <v>246.38038507519997</v>
      </c>
      <c r="AE9" s="106">
        <f t="shared" si="3"/>
        <v>497.64797137919993</v>
      </c>
      <c r="AF9" s="105">
        <f t="shared" si="4"/>
        <v>428.51532753919992</v>
      </c>
      <c r="AG9" s="105">
        <f t="shared" si="5"/>
        <v>421.38038507519997</v>
      </c>
      <c r="AH9" s="105">
        <f t="shared" si="6"/>
        <v>18</v>
      </c>
      <c r="AI9" s="297">
        <f t="shared" si="7"/>
        <v>143899417583.29663</v>
      </c>
      <c r="AJ9" s="106">
        <v>133</v>
      </c>
      <c r="AK9" s="105">
        <v>123</v>
      </c>
      <c r="AL9" s="105">
        <v>128</v>
      </c>
      <c r="AM9" s="109">
        <f t="shared" si="8"/>
        <v>1738.2398568959998</v>
      </c>
      <c r="AN9" s="110">
        <f t="shared" si="9"/>
        <v>1642.5766376959996</v>
      </c>
      <c r="AO9" s="110">
        <f t="shared" si="10"/>
        <v>1681.9019253759998</v>
      </c>
      <c r="AP9" s="111">
        <v>9.41</v>
      </c>
      <c r="AQ9" s="112">
        <v>8.66</v>
      </c>
      <c r="AR9" s="112">
        <v>8.9600000000000009</v>
      </c>
      <c r="AS9" s="109">
        <f t="shared" si="11"/>
        <v>23.415091199999996</v>
      </c>
      <c r="AT9" s="110">
        <f t="shared" si="12"/>
        <v>21.548851199999994</v>
      </c>
      <c r="AU9" s="110">
        <f t="shared" si="13"/>
        <v>22.295347199999998</v>
      </c>
      <c r="AW9" s="33" t="s">
        <v>278</v>
      </c>
      <c r="AX9" s="25">
        <v>44</v>
      </c>
    </row>
    <row r="10" spans="1:51" ht="14.25" customHeight="1" x14ac:dyDescent="0.25">
      <c r="A10" s="35" t="s">
        <v>56</v>
      </c>
      <c r="B10" s="120" t="s">
        <v>332</v>
      </c>
      <c r="C10" s="121" t="s">
        <v>628</v>
      </c>
      <c r="D10" s="135" t="str">
        <f>IF(ISNUMBER(MATCH(Table19[[#This Row],[General]],COVENANTS!$A$2:$A$100,0)), "Y","N")</f>
        <v>Y</v>
      </c>
      <c r="E10" s="135" t="str">
        <f>IF(ISNUMBER(MATCH(Table19[[#This Row],[General]],COVENANTS!$B$2:$B$100,0)), "Y","N")</f>
        <v>N</v>
      </c>
      <c r="F10" s="135" t="str">
        <f>IF(ISNUMBER(MATCH(Table19[[#This Row],[General]],COVENANTS!$C$2:$C$100,0)), "Y","N")</f>
        <v>N</v>
      </c>
      <c r="G10" s="135" t="str">
        <f>IF(ISNUMBER(MATCH(Table19[[#This Row],[General]],COVENANTS!$D$2:$D$100,0)), "Y","N")</f>
        <v>Y</v>
      </c>
      <c r="H10" s="122">
        <v>25</v>
      </c>
      <c r="I10" s="123">
        <v>25</v>
      </c>
      <c r="J10" s="123">
        <v>25</v>
      </c>
      <c r="K10" s="123">
        <v>12</v>
      </c>
      <c r="L10" s="122">
        <v>55</v>
      </c>
      <c r="M10" s="123">
        <v>40</v>
      </c>
      <c r="N10" s="123">
        <v>40</v>
      </c>
      <c r="O10" s="123">
        <v>0</v>
      </c>
      <c r="P10" s="122">
        <v>135</v>
      </c>
      <c r="Q10" s="123">
        <v>75</v>
      </c>
      <c r="R10" s="123">
        <v>115</v>
      </c>
      <c r="S10" s="123">
        <v>10</v>
      </c>
      <c r="T10" s="122">
        <v>80</v>
      </c>
      <c r="U10" s="123">
        <v>55</v>
      </c>
      <c r="V10" s="123">
        <v>45</v>
      </c>
      <c r="W10" s="123">
        <v>6</v>
      </c>
      <c r="X10" s="122">
        <v>15</v>
      </c>
      <c r="Y10" s="123">
        <v>10</v>
      </c>
      <c r="Z10" s="123">
        <v>10</v>
      </c>
      <c r="AA10" s="123">
        <v>8</v>
      </c>
      <c r="AB10" s="136">
        <f t="shared" si="0"/>
        <v>240.76884479999998</v>
      </c>
      <c r="AC10" s="137">
        <f t="shared" si="1"/>
        <v>239.61983329279994</v>
      </c>
      <c r="AD10" s="137">
        <f t="shared" si="2"/>
        <v>244.55086781439991</v>
      </c>
      <c r="AE10" s="122">
        <f t="shared" si="3"/>
        <v>470.76884480000001</v>
      </c>
      <c r="AF10" s="123">
        <f t="shared" si="4"/>
        <v>379.61983329279997</v>
      </c>
      <c r="AG10" s="123">
        <f t="shared" si="5"/>
        <v>414.55086781439991</v>
      </c>
      <c r="AH10" s="123">
        <f t="shared" si="6"/>
        <v>24</v>
      </c>
      <c r="AI10" s="298">
        <f t="shared" si="7"/>
        <v>143816080126.19775</v>
      </c>
      <c r="AJ10" s="122">
        <v>124</v>
      </c>
      <c r="AK10" s="123">
        <v>125</v>
      </c>
      <c r="AL10" s="123">
        <v>129</v>
      </c>
      <c r="AM10" s="138">
        <f t="shared" si="8"/>
        <v>1653.8442239999999</v>
      </c>
      <c r="AN10" s="139">
        <f t="shared" si="9"/>
        <v>1648.0991664639996</v>
      </c>
      <c r="AO10" s="139">
        <f t="shared" si="10"/>
        <v>1672.7543390719995</v>
      </c>
      <c r="AP10" s="140">
        <v>8.75</v>
      </c>
      <c r="AQ10" s="141">
        <v>8.69</v>
      </c>
      <c r="AR10" s="141">
        <v>8.8699999999999992</v>
      </c>
      <c r="AS10" s="138">
        <f t="shared" si="11"/>
        <v>21.772799999999997</v>
      </c>
      <c r="AT10" s="139">
        <f t="shared" si="12"/>
        <v>21.623500799999992</v>
      </c>
      <c r="AU10" s="139">
        <f t="shared" si="13"/>
        <v>22.071398399999993</v>
      </c>
      <c r="AW10" s="33" t="s">
        <v>802</v>
      </c>
      <c r="AX10" s="25" t="s">
        <v>808</v>
      </c>
      <c r="AY10" s="206">
        <f>VLOOKUP(AX10,Calculator!X2:Y13,2,0)</f>
        <v>0.06</v>
      </c>
    </row>
    <row r="11" spans="1:51" ht="14.25" customHeight="1" x14ac:dyDescent="0.25">
      <c r="A11" s="35" t="s">
        <v>57</v>
      </c>
      <c r="B11" s="120" t="s">
        <v>333</v>
      </c>
      <c r="C11" s="121" t="s">
        <v>634</v>
      </c>
      <c r="D11" s="135" t="str">
        <f>IF(ISNUMBER(MATCH(Table19[[#This Row],[General]],COVENANTS!$A$2:$A$100,0)), "Y","N")</f>
        <v>Y</v>
      </c>
      <c r="E11" s="135" t="str">
        <f>IF(ISNUMBER(MATCH(Table19[[#This Row],[General]],COVENANTS!$B$2:$B$100,0)), "Y","N")</f>
        <v>N</v>
      </c>
      <c r="F11" s="135" t="str">
        <f>IF(ISNUMBER(MATCH(Table19[[#This Row],[General]],COVENANTS!$C$2:$C$100,0)), "Y","N")</f>
        <v>N</v>
      </c>
      <c r="G11" s="135" t="str">
        <f>IF(ISNUMBER(MATCH(Table19[[#This Row],[General]],COVENANTS!$D$2:$D$100,0)), "Y","N")</f>
        <v>Y</v>
      </c>
      <c r="H11" s="122">
        <v>25</v>
      </c>
      <c r="I11" s="123">
        <v>25</v>
      </c>
      <c r="J11" s="123">
        <v>25</v>
      </c>
      <c r="K11" s="123">
        <v>12</v>
      </c>
      <c r="L11" s="122">
        <v>55</v>
      </c>
      <c r="M11" s="123">
        <v>55</v>
      </c>
      <c r="N11" s="123">
        <v>35</v>
      </c>
      <c r="O11" s="123">
        <v>0</v>
      </c>
      <c r="P11" s="122">
        <v>110</v>
      </c>
      <c r="Q11" s="123">
        <v>105</v>
      </c>
      <c r="R11" s="123">
        <v>90</v>
      </c>
      <c r="S11" s="123">
        <v>8</v>
      </c>
      <c r="T11" s="122">
        <v>75</v>
      </c>
      <c r="U11" s="123">
        <v>55</v>
      </c>
      <c r="V11" s="123">
        <v>20</v>
      </c>
      <c r="W11" s="123">
        <v>10</v>
      </c>
      <c r="X11" s="122">
        <v>15</v>
      </c>
      <c r="Y11" s="123">
        <v>15</v>
      </c>
      <c r="Z11" s="123">
        <v>10</v>
      </c>
      <c r="AA11" s="123">
        <v>10</v>
      </c>
      <c r="AB11" s="136">
        <f t="shared" si="0"/>
        <v>245.36919731199998</v>
      </c>
      <c r="AC11" s="137">
        <f t="shared" si="1"/>
        <v>235.83781027839996</v>
      </c>
      <c r="AD11" s="137">
        <f t="shared" si="2"/>
        <v>243.64352680960002</v>
      </c>
      <c r="AE11" s="122">
        <f t="shared" si="3"/>
        <v>445.36919731199998</v>
      </c>
      <c r="AF11" s="123">
        <f t="shared" si="4"/>
        <v>410.83781027839996</v>
      </c>
      <c r="AG11" s="123">
        <f t="shared" si="5"/>
        <v>363.64352680960002</v>
      </c>
      <c r="AH11" s="123">
        <f t="shared" si="6"/>
        <v>28</v>
      </c>
      <c r="AI11" s="298">
        <f t="shared" si="7"/>
        <v>141735854684.22449</v>
      </c>
      <c r="AJ11" s="122">
        <v>135</v>
      </c>
      <c r="AK11" s="123">
        <v>120</v>
      </c>
      <c r="AL11" s="123">
        <v>129</v>
      </c>
      <c r="AM11" s="138">
        <f t="shared" si="8"/>
        <v>1676.8459865599998</v>
      </c>
      <c r="AN11" s="139">
        <f t="shared" si="9"/>
        <v>1629.1890513919998</v>
      </c>
      <c r="AO11" s="139">
        <f t="shared" si="10"/>
        <v>1668.217634048</v>
      </c>
      <c r="AP11" s="140">
        <v>8.85</v>
      </c>
      <c r="AQ11" s="141">
        <v>8.57</v>
      </c>
      <c r="AR11" s="141">
        <v>8.83</v>
      </c>
      <c r="AS11" s="138">
        <f t="shared" si="11"/>
        <v>22.021631999999993</v>
      </c>
      <c r="AT11" s="139">
        <f t="shared" si="12"/>
        <v>21.324902399999996</v>
      </c>
      <c r="AU11" s="139">
        <f t="shared" si="13"/>
        <v>21.971865599999997</v>
      </c>
    </row>
    <row r="12" spans="1:51" ht="14.25" customHeight="1" x14ac:dyDescent="0.25">
      <c r="A12" s="35" t="s">
        <v>58</v>
      </c>
      <c r="B12" s="120" t="s">
        <v>333</v>
      </c>
      <c r="C12" s="121" t="s">
        <v>113</v>
      </c>
      <c r="D12" s="135" t="str">
        <f>IF(ISNUMBER(MATCH(Table19[[#This Row],[General]],COVENANTS!$A$2:$A$100,0)), "Y","N")</f>
        <v>Y</v>
      </c>
      <c r="E12" s="135" t="str">
        <f>IF(ISNUMBER(MATCH(Table19[[#This Row],[General]],COVENANTS!$B$2:$B$100,0)), "Y","N")</f>
        <v>N</v>
      </c>
      <c r="F12" s="135" t="str">
        <f>IF(ISNUMBER(MATCH(Table19[[#This Row],[General]],COVENANTS!$C$2:$C$100,0)), "Y","N")</f>
        <v>N</v>
      </c>
      <c r="G12" s="135" t="str">
        <f>IF(ISNUMBER(MATCH(Table19[[#This Row],[General]],COVENANTS!$D$2:$D$100,0)), "Y","N")</f>
        <v>N</v>
      </c>
      <c r="H12" s="122">
        <v>25</v>
      </c>
      <c r="I12" s="123">
        <v>25</v>
      </c>
      <c r="J12" s="123">
        <v>25</v>
      </c>
      <c r="K12" s="123">
        <v>12</v>
      </c>
      <c r="L12" s="122">
        <v>50</v>
      </c>
      <c r="M12" s="123">
        <v>40</v>
      </c>
      <c r="N12" s="123">
        <v>50</v>
      </c>
      <c r="O12" s="123">
        <v>0</v>
      </c>
      <c r="P12" s="122">
        <v>95</v>
      </c>
      <c r="Q12" s="123">
        <v>80</v>
      </c>
      <c r="R12" s="123">
        <v>90</v>
      </c>
      <c r="S12" s="123">
        <v>5</v>
      </c>
      <c r="T12" s="122">
        <v>80</v>
      </c>
      <c r="U12" s="123">
        <v>70</v>
      </c>
      <c r="V12" s="123">
        <v>10</v>
      </c>
      <c r="W12" s="123">
        <v>16</v>
      </c>
      <c r="X12" s="122">
        <v>10</v>
      </c>
      <c r="Y12" s="123">
        <v>10</v>
      </c>
      <c r="Z12" s="123">
        <v>10</v>
      </c>
      <c r="AA12" s="123">
        <v>8</v>
      </c>
      <c r="AB12" s="136">
        <f t="shared" si="0"/>
        <v>248.58939658239998</v>
      </c>
      <c r="AC12" s="137">
        <f t="shared" si="1"/>
        <v>238.44115128319996</v>
      </c>
      <c r="AD12" s="137">
        <f t="shared" si="2"/>
        <v>245.4285383168</v>
      </c>
      <c r="AE12" s="122">
        <f t="shared" si="3"/>
        <v>433.58939658240001</v>
      </c>
      <c r="AF12" s="123">
        <f t="shared" si="4"/>
        <v>398.44115128319993</v>
      </c>
      <c r="AG12" s="123">
        <f t="shared" si="5"/>
        <v>355.42853831679997</v>
      </c>
      <c r="AH12" s="123">
        <f t="shared" si="6"/>
        <v>29</v>
      </c>
      <c r="AI12" s="298">
        <f t="shared" si="7"/>
        <v>139786990415.86804</v>
      </c>
      <c r="AJ12" s="122">
        <v>132</v>
      </c>
      <c r="AK12" s="123">
        <v>128</v>
      </c>
      <c r="AL12" s="123">
        <v>131</v>
      </c>
      <c r="AM12" s="138">
        <f t="shared" si="8"/>
        <v>1692.9469829119998</v>
      </c>
      <c r="AN12" s="139">
        <f t="shared" si="9"/>
        <v>1642.2057564159998</v>
      </c>
      <c r="AO12" s="139">
        <f t="shared" si="10"/>
        <v>1677.142691584</v>
      </c>
      <c r="AP12" s="140">
        <v>9.02</v>
      </c>
      <c r="AQ12" s="141">
        <v>8.61</v>
      </c>
      <c r="AR12" s="141">
        <v>8.89</v>
      </c>
      <c r="AS12" s="138">
        <f t="shared" si="11"/>
        <v>22.444646399999996</v>
      </c>
      <c r="AT12" s="139">
        <f t="shared" si="12"/>
        <v>21.424435199999994</v>
      </c>
      <c r="AU12" s="139">
        <f t="shared" si="13"/>
        <v>22.121164799999995</v>
      </c>
    </row>
    <row r="13" spans="1:51" ht="14.25" customHeight="1" x14ac:dyDescent="0.25">
      <c r="A13" s="35" t="s">
        <v>59</v>
      </c>
      <c r="B13" s="120" t="s">
        <v>333</v>
      </c>
      <c r="C13" s="121" t="s">
        <v>746</v>
      </c>
      <c r="D13" s="135" t="str">
        <f>IF(ISNUMBER(MATCH(Table19[[#This Row],[General]],COVENANTS!$A$2:$A$100,0)), "Y","N")</f>
        <v>Y</v>
      </c>
      <c r="E13" s="135" t="str">
        <f>IF(ISNUMBER(MATCH(Table19[[#This Row],[General]],COVENANTS!$B$2:$B$100,0)), "Y","N")</f>
        <v>N</v>
      </c>
      <c r="F13" s="135" t="str">
        <f>IF(ISNUMBER(MATCH(Table19[[#This Row],[General]],COVENANTS!$C$2:$C$100,0)), "Y","N")</f>
        <v>N</v>
      </c>
      <c r="G13" s="135" t="str">
        <f>IF(ISNUMBER(MATCH(Table19[[#This Row],[General]],COVENANTS!$D$2:$D$100,0)), "Y","N")</f>
        <v>Y</v>
      </c>
      <c r="H13" s="122">
        <v>25</v>
      </c>
      <c r="I13" s="123">
        <v>25</v>
      </c>
      <c r="J13" s="123">
        <v>25</v>
      </c>
      <c r="K13" s="123">
        <v>12</v>
      </c>
      <c r="L13" s="122">
        <v>55</v>
      </c>
      <c r="M13" s="123">
        <v>40</v>
      </c>
      <c r="N13" s="123">
        <v>55</v>
      </c>
      <c r="O13" s="123">
        <v>0</v>
      </c>
      <c r="P13" s="122">
        <v>140</v>
      </c>
      <c r="Q13" s="123">
        <v>125</v>
      </c>
      <c r="R13" s="123">
        <v>100</v>
      </c>
      <c r="S13" s="123">
        <v>8</v>
      </c>
      <c r="T13" s="122">
        <v>75</v>
      </c>
      <c r="U13" s="123">
        <v>65</v>
      </c>
      <c r="V13" s="123">
        <v>65</v>
      </c>
      <c r="W13" s="123">
        <v>0</v>
      </c>
      <c r="X13" s="122">
        <v>20</v>
      </c>
      <c r="Y13" s="123">
        <v>10</v>
      </c>
      <c r="Z13" s="123">
        <v>20</v>
      </c>
      <c r="AA13" s="123">
        <v>10</v>
      </c>
      <c r="AB13" s="136">
        <f t="shared" si="0"/>
        <v>245.24620881919998</v>
      </c>
      <c r="AC13" s="137">
        <f t="shared" si="1"/>
        <v>238.45598653440001</v>
      </c>
      <c r="AD13" s="137">
        <f t="shared" si="2"/>
        <v>247.52939658239995</v>
      </c>
      <c r="AE13" s="122">
        <f t="shared" si="3"/>
        <v>480.24620881919998</v>
      </c>
      <c r="AF13" s="123">
        <f t="shared" si="4"/>
        <v>438.45598653440004</v>
      </c>
      <c r="AG13" s="123">
        <f t="shared" si="5"/>
        <v>432.52939658239995</v>
      </c>
      <c r="AH13" s="123">
        <f t="shared" si="6"/>
        <v>18</v>
      </c>
      <c r="AI13" s="298">
        <f t="shared" si="7"/>
        <v>139449419197.46179</v>
      </c>
      <c r="AJ13" s="122">
        <v>128</v>
      </c>
      <c r="AK13" s="123">
        <v>127</v>
      </c>
      <c r="AL13" s="123">
        <v>127</v>
      </c>
      <c r="AM13" s="138">
        <f t="shared" si="8"/>
        <v>1676.2310440959998</v>
      </c>
      <c r="AN13" s="139">
        <f t="shared" si="9"/>
        <v>1642.2799326720001</v>
      </c>
      <c r="AO13" s="139">
        <f t="shared" si="10"/>
        <v>1687.6469829119997</v>
      </c>
      <c r="AP13" s="140">
        <v>8.91</v>
      </c>
      <c r="AQ13" s="141">
        <v>8.6199999999999992</v>
      </c>
      <c r="AR13" s="141">
        <v>9.02</v>
      </c>
      <c r="AS13" s="138">
        <f t="shared" si="11"/>
        <v>22.170931199999995</v>
      </c>
      <c r="AT13" s="139">
        <f t="shared" si="12"/>
        <v>21.449318399999999</v>
      </c>
      <c r="AU13" s="139">
        <f t="shared" si="13"/>
        <v>22.444646399999996</v>
      </c>
    </row>
    <row r="14" spans="1:51" ht="14.25" customHeight="1" x14ac:dyDescent="0.25">
      <c r="A14" s="35" t="s">
        <v>60</v>
      </c>
      <c r="B14" s="120" t="s">
        <v>333</v>
      </c>
      <c r="C14" s="121" t="s">
        <v>114</v>
      </c>
      <c r="D14" s="135" t="str">
        <f>IF(ISNUMBER(MATCH(Table19[[#This Row],[General]],COVENANTS!$A$2:$A$100,0)), "Y","N")</f>
        <v>Y</v>
      </c>
      <c r="E14" s="135" t="str">
        <f>IF(ISNUMBER(MATCH(Table19[[#This Row],[General]],COVENANTS!$B$2:$B$100,0)), "Y","N")</f>
        <v>N</v>
      </c>
      <c r="F14" s="135" t="str">
        <f>IF(ISNUMBER(MATCH(Table19[[#This Row],[General]],COVENANTS!$C$2:$C$100,0)), "Y","N")</f>
        <v>N</v>
      </c>
      <c r="G14" s="135" t="str">
        <f>IF(ISNUMBER(MATCH(Table19[[#This Row],[General]],COVENANTS!$D$2:$D$100,0)), "Y","N")</f>
        <v>Y</v>
      </c>
      <c r="H14" s="122">
        <v>25</v>
      </c>
      <c r="I14" s="123">
        <v>25</v>
      </c>
      <c r="J14" s="123">
        <v>25</v>
      </c>
      <c r="K14" s="123">
        <v>12</v>
      </c>
      <c r="L14" s="122">
        <v>40</v>
      </c>
      <c r="M14" s="123">
        <v>0</v>
      </c>
      <c r="N14" s="123">
        <v>40</v>
      </c>
      <c r="O14" s="123">
        <v>15</v>
      </c>
      <c r="P14" s="122">
        <v>75</v>
      </c>
      <c r="Q14" s="123">
        <v>30</v>
      </c>
      <c r="R14" s="123">
        <v>85</v>
      </c>
      <c r="S14" s="123">
        <v>20</v>
      </c>
      <c r="T14" s="122">
        <v>75</v>
      </c>
      <c r="U14" s="123">
        <v>45</v>
      </c>
      <c r="V14" s="123">
        <v>35</v>
      </c>
      <c r="W14" s="123">
        <v>6</v>
      </c>
      <c r="X14" s="122">
        <v>10</v>
      </c>
      <c r="Y14" s="123">
        <v>10</v>
      </c>
      <c r="Z14" s="123">
        <v>10</v>
      </c>
      <c r="AA14" s="123">
        <v>5</v>
      </c>
      <c r="AB14" s="136">
        <f t="shared" si="0"/>
        <v>247.74139658239997</v>
      </c>
      <c r="AC14" s="137">
        <f t="shared" si="1"/>
        <v>243.05203256320002</v>
      </c>
      <c r="AD14" s="137">
        <f t="shared" si="2"/>
        <v>246.63689082879998</v>
      </c>
      <c r="AE14" s="122">
        <f t="shared" si="3"/>
        <v>407.74139658239994</v>
      </c>
      <c r="AF14" s="123">
        <f t="shared" si="4"/>
        <v>328.05203256319999</v>
      </c>
      <c r="AG14" s="123">
        <f t="shared" si="5"/>
        <v>376.63689082880001</v>
      </c>
      <c r="AH14" s="123">
        <f t="shared" si="6"/>
        <v>31</v>
      </c>
      <c r="AI14" s="298">
        <f t="shared" si="7"/>
        <v>135259859610.67493</v>
      </c>
      <c r="AJ14" s="122">
        <v>128</v>
      </c>
      <c r="AK14" s="123">
        <v>123</v>
      </c>
      <c r="AL14" s="123">
        <v>126</v>
      </c>
      <c r="AM14" s="138">
        <f t="shared" si="8"/>
        <v>1688.7069829119998</v>
      </c>
      <c r="AN14" s="139">
        <f t="shared" si="9"/>
        <v>1665.260162816</v>
      </c>
      <c r="AO14" s="139">
        <f t="shared" si="10"/>
        <v>1683.1844541439998</v>
      </c>
      <c r="AP14" s="140">
        <v>9.02</v>
      </c>
      <c r="AQ14" s="141">
        <v>8.86</v>
      </c>
      <c r="AR14" s="141">
        <v>8.99</v>
      </c>
      <c r="AS14" s="138">
        <f t="shared" si="11"/>
        <v>22.444646399999996</v>
      </c>
      <c r="AT14" s="139">
        <f t="shared" si="12"/>
        <v>22.046515199999998</v>
      </c>
      <c r="AU14" s="139">
        <f t="shared" si="13"/>
        <v>22.369996799999999</v>
      </c>
    </row>
    <row r="15" spans="1:51" ht="14.25" customHeight="1" x14ac:dyDescent="0.25">
      <c r="A15" s="35" t="s">
        <v>61</v>
      </c>
      <c r="B15" s="120" t="s">
        <v>332</v>
      </c>
      <c r="C15" s="121" t="s">
        <v>116</v>
      </c>
      <c r="D15" s="135" t="str">
        <f>IF(ISNUMBER(MATCH(Table19[[#This Row],[General]],COVENANTS!$A$2:$A$100,0)), "Y","N")</f>
        <v>Y</v>
      </c>
      <c r="E15" s="135" t="str">
        <f>IF(ISNUMBER(MATCH(Table19[[#This Row],[General]],COVENANTS!$B$2:$B$100,0)), "Y","N")</f>
        <v>N</v>
      </c>
      <c r="F15" s="135" t="str">
        <f>IF(ISNUMBER(MATCH(Table19[[#This Row],[General]],COVENANTS!$C$2:$C$100,0)), "Y","N")</f>
        <v>N</v>
      </c>
      <c r="G15" s="135" t="str">
        <f>IF(ISNUMBER(MATCH(Table19[[#This Row],[General]],COVENANTS!$D$2:$D$100,0)), "Y","N")</f>
        <v>N</v>
      </c>
      <c r="H15" s="122">
        <v>25</v>
      </c>
      <c r="I15" s="123">
        <v>25</v>
      </c>
      <c r="J15" s="123">
        <v>25</v>
      </c>
      <c r="K15" s="123">
        <v>12</v>
      </c>
      <c r="L15" s="122">
        <v>50</v>
      </c>
      <c r="M15" s="123">
        <v>40</v>
      </c>
      <c r="N15" s="123">
        <v>40</v>
      </c>
      <c r="O15" s="123">
        <v>0</v>
      </c>
      <c r="P15" s="122">
        <v>140</v>
      </c>
      <c r="Q15" s="123">
        <v>80</v>
      </c>
      <c r="R15" s="123">
        <v>95</v>
      </c>
      <c r="S15" s="123">
        <v>8</v>
      </c>
      <c r="T15" s="122">
        <v>80</v>
      </c>
      <c r="U15" s="123">
        <v>50</v>
      </c>
      <c r="V15" s="123">
        <v>40</v>
      </c>
      <c r="W15" s="123">
        <v>0</v>
      </c>
      <c r="X15" s="122">
        <v>10</v>
      </c>
      <c r="Y15" s="123">
        <v>10</v>
      </c>
      <c r="Z15" s="123">
        <v>10</v>
      </c>
      <c r="AA15" s="123">
        <v>0</v>
      </c>
      <c r="AB15" s="136">
        <f t="shared" si="0"/>
        <v>261.75014763519994</v>
      </c>
      <c r="AC15" s="137">
        <f t="shared" si="1"/>
        <v>240.28550379519999</v>
      </c>
      <c r="AD15" s="137">
        <f t="shared" si="2"/>
        <v>227.06541173760002</v>
      </c>
      <c r="AE15" s="122">
        <f t="shared" si="3"/>
        <v>491.75014763519994</v>
      </c>
      <c r="AF15" s="123">
        <f t="shared" si="4"/>
        <v>380.28550379519999</v>
      </c>
      <c r="AG15" s="123">
        <f t="shared" si="5"/>
        <v>372.06541173760002</v>
      </c>
      <c r="AH15" s="123">
        <f t="shared" si="6"/>
        <v>8</v>
      </c>
      <c r="AI15" s="298">
        <f t="shared" si="7"/>
        <v>130981816931.02051</v>
      </c>
      <c r="AJ15" s="122">
        <v>147</v>
      </c>
      <c r="AK15" s="123">
        <v>126</v>
      </c>
      <c r="AL15" s="123">
        <v>115</v>
      </c>
      <c r="AM15" s="138">
        <f t="shared" si="8"/>
        <v>1758.7507381759997</v>
      </c>
      <c r="AN15" s="139">
        <f t="shared" si="9"/>
        <v>1651.4275189759999</v>
      </c>
      <c r="AO15" s="139">
        <f t="shared" si="10"/>
        <v>1585.3270586880001</v>
      </c>
      <c r="AP15" s="140">
        <v>9.4600000000000009</v>
      </c>
      <c r="AQ15" s="141">
        <v>8.7100000000000009</v>
      </c>
      <c r="AR15" s="141">
        <v>8.23</v>
      </c>
      <c r="AS15" s="138">
        <f t="shared" si="11"/>
        <v>23.539507199999996</v>
      </c>
      <c r="AT15" s="139">
        <f t="shared" si="12"/>
        <v>21.673267199999994</v>
      </c>
      <c r="AU15" s="139">
        <f t="shared" si="13"/>
        <v>20.478873599999996</v>
      </c>
    </row>
    <row r="16" spans="1:51" ht="14.25" customHeight="1" x14ac:dyDescent="0.25">
      <c r="A16" s="35" t="s">
        <v>62</v>
      </c>
      <c r="B16" s="120" t="s">
        <v>332</v>
      </c>
      <c r="C16" s="121" t="s">
        <v>506</v>
      </c>
      <c r="D16" s="135" t="str">
        <f>IF(ISNUMBER(MATCH(Table19[[#This Row],[General]],COVENANTS!$A$2:$A$100,0)), "Y","N")</f>
        <v>Y</v>
      </c>
      <c r="E16" s="135" t="str">
        <f>IF(ISNUMBER(MATCH(Table19[[#This Row],[General]],COVENANTS!$B$2:$B$100,0)), "Y","N")</f>
        <v>N</v>
      </c>
      <c r="F16" s="135" t="str">
        <f>IF(ISNUMBER(MATCH(Table19[[#This Row],[General]],COVENANTS!$C$2:$C$100,0)), "Y","N")</f>
        <v>N</v>
      </c>
      <c r="G16" s="135" t="str">
        <f>IF(ISNUMBER(MATCH(Table19[[#This Row],[General]],COVENANTS!$D$2:$D$100,0)), "Y","N")</f>
        <v>N</v>
      </c>
      <c r="H16" s="122">
        <v>25</v>
      </c>
      <c r="I16" s="123">
        <v>25</v>
      </c>
      <c r="J16" s="123">
        <v>25</v>
      </c>
      <c r="K16" s="123">
        <v>12</v>
      </c>
      <c r="L16" s="122">
        <v>50</v>
      </c>
      <c r="M16" s="123">
        <v>30</v>
      </c>
      <c r="N16" s="123">
        <v>30</v>
      </c>
      <c r="O16" s="123">
        <v>0</v>
      </c>
      <c r="P16" s="122">
        <v>110</v>
      </c>
      <c r="Q16" s="123">
        <v>90</v>
      </c>
      <c r="R16" s="123">
        <v>65</v>
      </c>
      <c r="S16" s="123">
        <v>8</v>
      </c>
      <c r="T16" s="122">
        <v>80</v>
      </c>
      <c r="U16" s="123">
        <v>50</v>
      </c>
      <c r="V16" s="123">
        <v>10</v>
      </c>
      <c r="W16" s="123">
        <v>0</v>
      </c>
      <c r="X16" s="122">
        <v>30</v>
      </c>
      <c r="Y16" s="123">
        <v>0</v>
      </c>
      <c r="Z16" s="123">
        <v>0</v>
      </c>
      <c r="AA16" s="123">
        <v>5</v>
      </c>
      <c r="AB16" s="136">
        <f t="shared" si="0"/>
        <v>247.34706708479996</v>
      </c>
      <c r="AC16" s="137">
        <f t="shared" si="1"/>
        <v>246.03056133119995</v>
      </c>
      <c r="AD16" s="137">
        <f t="shared" si="2"/>
        <v>241.52352680960004</v>
      </c>
      <c r="AE16" s="122">
        <f t="shared" si="3"/>
        <v>467.34706708479996</v>
      </c>
      <c r="AF16" s="123">
        <f t="shared" si="4"/>
        <v>386.03056133119992</v>
      </c>
      <c r="AG16" s="123">
        <f t="shared" si="5"/>
        <v>316.52352680960007</v>
      </c>
      <c r="AH16" s="123">
        <f t="shared" si="6"/>
        <v>13</v>
      </c>
      <c r="AI16" s="298">
        <f t="shared" si="7"/>
        <v>130499848467.75049</v>
      </c>
      <c r="AJ16" s="122">
        <v>124</v>
      </c>
      <c r="AK16" s="123">
        <v>121</v>
      </c>
      <c r="AL16" s="123">
        <v>119</v>
      </c>
      <c r="AM16" s="138">
        <f t="shared" si="8"/>
        <v>1686.7353354239997</v>
      </c>
      <c r="AN16" s="139">
        <f t="shared" si="9"/>
        <v>1680.1528066559997</v>
      </c>
      <c r="AO16" s="139">
        <f t="shared" si="10"/>
        <v>1657.6176340480001</v>
      </c>
      <c r="AP16" s="140">
        <v>9.0399999999999991</v>
      </c>
      <c r="AQ16" s="141">
        <v>9.01</v>
      </c>
      <c r="AR16" s="141">
        <v>8.83</v>
      </c>
      <c r="AS16" s="138">
        <f t="shared" si="11"/>
        <v>22.494412799999996</v>
      </c>
      <c r="AT16" s="139">
        <f t="shared" si="12"/>
        <v>22.419763199999995</v>
      </c>
      <c r="AU16" s="139">
        <f t="shared" si="13"/>
        <v>21.971865599999997</v>
      </c>
    </row>
    <row r="17" spans="1:47" ht="14.25" customHeight="1" x14ac:dyDescent="0.25">
      <c r="A17" s="35" t="s">
        <v>63</v>
      </c>
      <c r="B17" s="120" t="s">
        <v>332</v>
      </c>
      <c r="C17" s="121" t="s">
        <v>208</v>
      </c>
      <c r="D17" s="135" t="str">
        <f>IF(ISNUMBER(MATCH(Table19[[#This Row],[General]],COVENANTS!$A$2:$A$100,0)), "Y","N")</f>
        <v>Y</v>
      </c>
      <c r="E17" s="135" t="str">
        <f>IF(ISNUMBER(MATCH(Table19[[#This Row],[General]],COVENANTS!$B$2:$B$100,0)), "Y","N")</f>
        <v>Y</v>
      </c>
      <c r="F17" s="135" t="str">
        <f>IF(ISNUMBER(MATCH(Table19[[#This Row],[General]],COVENANTS!$C$2:$C$100,0)), "Y","N")</f>
        <v>Y</v>
      </c>
      <c r="G17" s="135" t="str">
        <f>IF(ISNUMBER(MATCH(Table19[[#This Row],[General]],COVENANTS!$D$2:$D$100,0)), "Y","N")</f>
        <v>N</v>
      </c>
      <c r="H17" s="122">
        <v>25</v>
      </c>
      <c r="I17" s="123">
        <v>25</v>
      </c>
      <c r="J17" s="123">
        <v>25</v>
      </c>
      <c r="K17" s="123">
        <v>12</v>
      </c>
      <c r="L17" s="122">
        <v>50</v>
      </c>
      <c r="M17" s="123">
        <v>50</v>
      </c>
      <c r="N17" s="123">
        <v>40</v>
      </c>
      <c r="O17" s="123">
        <v>0</v>
      </c>
      <c r="P17" s="122">
        <v>140</v>
      </c>
      <c r="Q17" s="123">
        <v>110</v>
      </c>
      <c r="R17" s="123">
        <v>105</v>
      </c>
      <c r="S17" s="123">
        <v>0</v>
      </c>
      <c r="T17" s="122">
        <v>85</v>
      </c>
      <c r="U17" s="123">
        <v>55</v>
      </c>
      <c r="V17" s="123">
        <v>55</v>
      </c>
      <c r="W17" s="123">
        <v>0</v>
      </c>
      <c r="X17" s="122">
        <v>25</v>
      </c>
      <c r="Y17" s="123">
        <v>10</v>
      </c>
      <c r="Z17" s="123">
        <v>10</v>
      </c>
      <c r="AA17" s="123">
        <v>5</v>
      </c>
      <c r="AB17" s="136">
        <f t="shared" si="0"/>
        <v>246.27653831680001</v>
      </c>
      <c r="AC17" s="137">
        <f t="shared" si="1"/>
        <v>242.55385630719994</v>
      </c>
      <c r="AD17" s="137">
        <f t="shared" si="2"/>
        <v>237.83482178559993</v>
      </c>
      <c r="AE17" s="122">
        <f t="shared" si="3"/>
        <v>496.27653831680004</v>
      </c>
      <c r="AF17" s="123">
        <f t="shared" si="4"/>
        <v>417.55385630719991</v>
      </c>
      <c r="AG17" s="123">
        <f t="shared" si="5"/>
        <v>407.83482178559996</v>
      </c>
      <c r="AH17" s="123">
        <f t="shared" si="6"/>
        <v>5</v>
      </c>
      <c r="AI17" s="298">
        <f t="shared" si="7"/>
        <v>128690586020.7887</v>
      </c>
      <c r="AJ17" s="122">
        <v>135</v>
      </c>
      <c r="AK17" s="123">
        <v>126</v>
      </c>
      <c r="AL17" s="123">
        <v>123</v>
      </c>
      <c r="AM17" s="138">
        <f t="shared" si="8"/>
        <v>1681.382691584</v>
      </c>
      <c r="AN17" s="139">
        <f t="shared" si="9"/>
        <v>1662.7692815359997</v>
      </c>
      <c r="AO17" s="139">
        <f t="shared" si="10"/>
        <v>1639.1741089279997</v>
      </c>
      <c r="AP17" s="140">
        <v>8.89</v>
      </c>
      <c r="AQ17" s="141">
        <v>8.81</v>
      </c>
      <c r="AR17" s="141">
        <v>8.6300000000000008</v>
      </c>
      <c r="AS17" s="138">
        <f t="shared" si="11"/>
        <v>22.121164799999995</v>
      </c>
      <c r="AT17" s="139">
        <f t="shared" si="12"/>
        <v>21.922099199999998</v>
      </c>
      <c r="AU17" s="139">
        <f t="shared" si="13"/>
        <v>21.474201599999997</v>
      </c>
    </row>
    <row r="18" spans="1:47" ht="14.25" customHeight="1" x14ac:dyDescent="0.25">
      <c r="A18" s="35" t="s">
        <v>64</v>
      </c>
      <c r="B18" s="120" t="s">
        <v>333</v>
      </c>
      <c r="C18" s="121" t="s">
        <v>117</v>
      </c>
      <c r="D18" s="135" t="str">
        <f>IF(ISNUMBER(MATCH(Table19[[#This Row],[General]],COVENANTS!$A$2:$A$100,0)), "Y","N")</f>
        <v>Y</v>
      </c>
      <c r="E18" s="135" t="str">
        <f>IF(ISNUMBER(MATCH(Table19[[#This Row],[General]],COVENANTS!$B$2:$B$100,0)), "Y","N")</f>
        <v>Y</v>
      </c>
      <c r="F18" s="135" t="str">
        <f>IF(ISNUMBER(MATCH(Table19[[#This Row],[General]],COVENANTS!$C$2:$C$100,0)), "Y","N")</f>
        <v>Y</v>
      </c>
      <c r="G18" s="135" t="str">
        <f>IF(ISNUMBER(MATCH(Table19[[#This Row],[General]],COVENANTS!$D$2:$D$100,0)), "Y","N")</f>
        <v>N</v>
      </c>
      <c r="H18" s="122">
        <v>0</v>
      </c>
      <c r="I18" s="123">
        <v>25</v>
      </c>
      <c r="J18" s="123">
        <v>25</v>
      </c>
      <c r="K18" s="123">
        <v>12</v>
      </c>
      <c r="L18" s="122">
        <v>45</v>
      </c>
      <c r="M18" s="123">
        <v>0</v>
      </c>
      <c r="N18" s="123">
        <v>0</v>
      </c>
      <c r="O18" s="123">
        <v>12</v>
      </c>
      <c r="P18" s="122">
        <v>95</v>
      </c>
      <c r="Q18" s="123">
        <v>80</v>
      </c>
      <c r="R18" s="123">
        <v>15</v>
      </c>
      <c r="S18" s="123">
        <v>12</v>
      </c>
      <c r="T18" s="122">
        <v>75</v>
      </c>
      <c r="U18" s="123">
        <v>55</v>
      </c>
      <c r="V18" s="123">
        <v>20</v>
      </c>
      <c r="W18" s="123">
        <v>6</v>
      </c>
      <c r="X18" s="122">
        <v>10</v>
      </c>
      <c r="Y18" s="123">
        <v>0</v>
      </c>
      <c r="Z18" s="123">
        <v>0</v>
      </c>
      <c r="AA18" s="123">
        <v>0</v>
      </c>
      <c r="AB18" s="136">
        <f t="shared" si="0"/>
        <v>246.49906708479995</v>
      </c>
      <c r="AC18" s="137">
        <f t="shared" si="1"/>
        <v>243.39754982399995</v>
      </c>
      <c r="AD18" s="137">
        <f t="shared" si="2"/>
        <v>239.28484479999997</v>
      </c>
      <c r="AE18" s="122">
        <f t="shared" si="3"/>
        <v>426.49906708479995</v>
      </c>
      <c r="AF18" s="123">
        <f t="shared" si="4"/>
        <v>378.39754982399995</v>
      </c>
      <c r="AG18" s="123">
        <f t="shared" si="5"/>
        <v>274.28484479999997</v>
      </c>
      <c r="AH18" s="123">
        <f t="shared" si="6"/>
        <v>18</v>
      </c>
      <c r="AI18" s="298">
        <f t="shared" si="7"/>
        <v>125705139378.87085</v>
      </c>
      <c r="AJ18" s="122">
        <v>120</v>
      </c>
      <c r="AK18" s="123">
        <v>115</v>
      </c>
      <c r="AL18" s="123">
        <v>117</v>
      </c>
      <c r="AM18" s="138">
        <f t="shared" si="8"/>
        <v>1682.4953354239997</v>
      </c>
      <c r="AN18" s="139">
        <f t="shared" si="9"/>
        <v>1666.9877491199998</v>
      </c>
      <c r="AO18" s="139">
        <f t="shared" si="10"/>
        <v>1646.4242239999999</v>
      </c>
      <c r="AP18" s="140">
        <v>9.0399999999999991</v>
      </c>
      <c r="AQ18" s="141">
        <v>8.9499999999999993</v>
      </c>
      <c r="AR18" s="141">
        <v>8.75</v>
      </c>
      <c r="AS18" s="138">
        <f t="shared" si="11"/>
        <v>22.494412799999996</v>
      </c>
      <c r="AT18" s="139">
        <f t="shared" si="12"/>
        <v>22.270463999999993</v>
      </c>
      <c r="AU18" s="139">
        <f t="shared" si="13"/>
        <v>21.772799999999997</v>
      </c>
    </row>
    <row r="19" spans="1:47" ht="14.25" customHeight="1" x14ac:dyDescent="0.25">
      <c r="A19" s="35" t="s">
        <v>65</v>
      </c>
      <c r="B19" s="120" t="s">
        <v>332</v>
      </c>
      <c r="C19" s="121" t="s">
        <v>118</v>
      </c>
      <c r="D19" s="135" t="str">
        <f>IF(ISNUMBER(MATCH(Table19[[#This Row],[General]],COVENANTS!$A$2:$A$100,0)), "Y","N")</f>
        <v>Y</v>
      </c>
      <c r="E19" s="135" t="str">
        <f>IF(ISNUMBER(MATCH(Table19[[#This Row],[General]],COVENANTS!$B$2:$B$100,0)), "Y","N")</f>
        <v>N</v>
      </c>
      <c r="F19" s="135" t="str">
        <f>IF(ISNUMBER(MATCH(Table19[[#This Row],[General]],COVENANTS!$C$2:$C$100,0)), "Y","N")</f>
        <v>N</v>
      </c>
      <c r="G19" s="135" t="str">
        <f>IF(ISNUMBER(MATCH(Table19[[#This Row],[General]],COVENANTS!$D$2:$D$100,0)), "Y","N")</f>
        <v>Y</v>
      </c>
      <c r="H19" s="122">
        <v>25</v>
      </c>
      <c r="I19" s="123">
        <v>25</v>
      </c>
      <c r="J19" s="123">
        <v>25</v>
      </c>
      <c r="K19" s="123">
        <v>12</v>
      </c>
      <c r="L19" s="122">
        <v>45</v>
      </c>
      <c r="M19" s="123">
        <v>45</v>
      </c>
      <c r="N19" s="123">
        <v>40</v>
      </c>
      <c r="O19" s="123">
        <v>0</v>
      </c>
      <c r="P19" s="122">
        <v>95</v>
      </c>
      <c r="Q19" s="123">
        <v>105</v>
      </c>
      <c r="R19" s="123">
        <v>50</v>
      </c>
      <c r="S19" s="123">
        <v>10</v>
      </c>
      <c r="T19" s="122">
        <v>80</v>
      </c>
      <c r="U19" s="123">
        <v>45</v>
      </c>
      <c r="V19" s="123">
        <v>35</v>
      </c>
      <c r="W19" s="123">
        <v>0</v>
      </c>
      <c r="X19" s="122">
        <v>10</v>
      </c>
      <c r="Y19" s="123">
        <v>10</v>
      </c>
      <c r="Z19" s="123">
        <v>10</v>
      </c>
      <c r="AA19" s="123">
        <v>0</v>
      </c>
      <c r="AB19" s="136">
        <f t="shared" si="0"/>
        <v>246.55228240895991</v>
      </c>
      <c r="AC19" s="137">
        <f t="shared" si="1"/>
        <v>239.81269155840002</v>
      </c>
      <c r="AD19" s="137">
        <f t="shared" si="2"/>
        <v>249.10240808959995</v>
      </c>
      <c r="AE19" s="122">
        <f t="shared" si="3"/>
        <v>431.55228240895991</v>
      </c>
      <c r="AF19" s="123">
        <f t="shared" si="4"/>
        <v>399.81269155840005</v>
      </c>
      <c r="AG19" s="123">
        <f t="shared" si="5"/>
        <v>344.10240808959998</v>
      </c>
      <c r="AH19" s="123">
        <f t="shared" si="6"/>
        <v>10</v>
      </c>
      <c r="AI19" s="298">
        <f t="shared" si="7"/>
        <v>118081833745.60181</v>
      </c>
      <c r="AJ19" s="122">
        <v>121</v>
      </c>
      <c r="AK19" s="123">
        <v>112</v>
      </c>
      <c r="AL19" s="123">
        <v>128</v>
      </c>
      <c r="AM19" s="138">
        <f t="shared" si="8"/>
        <v>1682.7614120447995</v>
      </c>
      <c r="AN19" s="139">
        <f t="shared" si="9"/>
        <v>1649.063457792</v>
      </c>
      <c r="AO19" s="139">
        <f t="shared" si="10"/>
        <v>1695.5120404479997</v>
      </c>
      <c r="AP19" s="140">
        <v>9.0329999999999995</v>
      </c>
      <c r="AQ19" s="141">
        <v>8.82</v>
      </c>
      <c r="AR19" s="141">
        <v>9.08</v>
      </c>
      <c r="AS19" s="138">
        <f t="shared" si="11"/>
        <v>22.476994559999991</v>
      </c>
      <c r="AT19" s="139">
        <f t="shared" si="12"/>
        <v>21.946982399999996</v>
      </c>
      <c r="AU19" s="139">
        <f t="shared" si="13"/>
        <v>22.593945599999994</v>
      </c>
    </row>
    <row r="20" spans="1:47" ht="14.25" customHeight="1" x14ac:dyDescent="0.25">
      <c r="A20" s="35" t="s">
        <v>66</v>
      </c>
      <c r="B20" s="120" t="s">
        <v>332</v>
      </c>
      <c r="C20" s="121" t="s">
        <v>119</v>
      </c>
      <c r="D20" s="135" t="str">
        <f>IF(ISNUMBER(MATCH(Table19[[#This Row],[General]],COVENANTS!$A$2:$A$100,0)), "Y","N")</f>
        <v>N</v>
      </c>
      <c r="E20" s="135" t="str">
        <f>IF(ISNUMBER(MATCH(Table19[[#This Row],[General]],COVENANTS!$B$2:$B$100,0)), "Y","N")</f>
        <v>Y</v>
      </c>
      <c r="F20" s="135" t="str">
        <f>IF(ISNUMBER(MATCH(Table19[[#This Row],[General]],COVENANTS!$C$2:$C$100,0)), "Y","N")</f>
        <v>Y</v>
      </c>
      <c r="G20" s="135" t="str">
        <f>IF(ISNUMBER(MATCH(Table19[[#This Row],[General]],COVENANTS!$D$2:$D$100,0)), "Y","N")</f>
        <v>N</v>
      </c>
      <c r="H20" s="122">
        <v>25</v>
      </c>
      <c r="I20" s="123">
        <v>25</v>
      </c>
      <c r="J20" s="123">
        <v>25</v>
      </c>
      <c r="K20" s="123">
        <v>12</v>
      </c>
      <c r="L20" s="122">
        <v>40</v>
      </c>
      <c r="M20" s="123">
        <v>0</v>
      </c>
      <c r="N20" s="123">
        <v>0</v>
      </c>
      <c r="O20" s="123">
        <v>0</v>
      </c>
      <c r="P20" s="122">
        <v>80</v>
      </c>
      <c r="Q20" s="123">
        <v>35</v>
      </c>
      <c r="R20" s="123">
        <v>35</v>
      </c>
      <c r="S20" s="123">
        <v>14</v>
      </c>
      <c r="T20" s="122">
        <v>56</v>
      </c>
      <c r="U20" s="123">
        <v>0</v>
      </c>
      <c r="V20" s="123">
        <v>30</v>
      </c>
      <c r="W20" s="123">
        <v>6</v>
      </c>
      <c r="X20" s="122">
        <v>0</v>
      </c>
      <c r="Y20" s="123">
        <v>0</v>
      </c>
      <c r="Z20" s="123">
        <v>0</v>
      </c>
      <c r="AA20" s="123">
        <v>0</v>
      </c>
      <c r="AB20" s="136">
        <f t="shared" si="0"/>
        <v>240.67552680960003</v>
      </c>
      <c r="AC20" s="137">
        <f t="shared" si="1"/>
        <v>244.56139658239996</v>
      </c>
      <c r="AD20" s="137">
        <f t="shared" si="2"/>
        <v>248.82676060160003</v>
      </c>
      <c r="AE20" s="122">
        <f t="shared" si="3"/>
        <v>376.6755268096</v>
      </c>
      <c r="AF20" s="123">
        <f t="shared" si="4"/>
        <v>279.56139658239999</v>
      </c>
      <c r="AG20" s="123">
        <f t="shared" si="5"/>
        <v>313.82676060160003</v>
      </c>
      <c r="AH20" s="123">
        <f t="shared" si="6"/>
        <v>20</v>
      </c>
      <c r="AI20" s="298">
        <f t="shared" si="7"/>
        <v>115144771559.92053</v>
      </c>
      <c r="AJ20" s="122">
        <v>115</v>
      </c>
      <c r="AK20" s="123">
        <v>113</v>
      </c>
      <c r="AL20" s="123">
        <v>116</v>
      </c>
      <c r="AM20" s="138">
        <f t="shared" si="8"/>
        <v>1653.3776340480001</v>
      </c>
      <c r="AN20" s="139">
        <f t="shared" si="9"/>
        <v>1672.8069829119997</v>
      </c>
      <c r="AO20" s="139">
        <f t="shared" si="10"/>
        <v>1694.1338030080001</v>
      </c>
      <c r="AP20" s="140">
        <v>8.83</v>
      </c>
      <c r="AQ20" s="141">
        <v>9.02</v>
      </c>
      <c r="AR20" s="141">
        <v>9.18</v>
      </c>
      <c r="AS20" s="138">
        <f t="shared" si="11"/>
        <v>21.971865599999997</v>
      </c>
      <c r="AT20" s="139">
        <f t="shared" si="12"/>
        <v>22.444646399999996</v>
      </c>
      <c r="AU20" s="139">
        <f t="shared" si="13"/>
        <v>22.842777599999998</v>
      </c>
    </row>
    <row r="21" spans="1:47" ht="14.25" customHeight="1" x14ac:dyDescent="0.25">
      <c r="A21" s="35" t="s">
        <v>67</v>
      </c>
      <c r="B21" s="120" t="s">
        <v>333</v>
      </c>
      <c r="C21" s="121" t="s">
        <v>120</v>
      </c>
      <c r="D21" s="135" t="str">
        <f>IF(ISNUMBER(MATCH(Table19[[#This Row],[General]],COVENANTS!$A$2:$A$100,0)), "Y","N")</f>
        <v>N</v>
      </c>
      <c r="E21" s="135" t="str">
        <f>IF(ISNUMBER(MATCH(Table19[[#This Row],[General]],COVENANTS!$B$2:$B$100,0)), "Y","N")</f>
        <v>N</v>
      </c>
      <c r="F21" s="135" t="str">
        <f>IF(ISNUMBER(MATCH(Table19[[#This Row],[General]],COVENANTS!$C$2:$C$100,0)), "Y","N")</f>
        <v>Y</v>
      </c>
      <c r="G21" s="135" t="str">
        <f>IF(ISNUMBER(MATCH(Table19[[#This Row],[General]],COVENANTS!$D$2:$D$100,0)), "Y","N")</f>
        <v>N</v>
      </c>
      <c r="H21" s="122">
        <v>0</v>
      </c>
      <c r="I21" s="123">
        <v>25</v>
      </c>
      <c r="J21" s="123">
        <v>25</v>
      </c>
      <c r="K21" s="123">
        <v>12</v>
      </c>
      <c r="L21" s="122">
        <v>40</v>
      </c>
      <c r="M21" s="123">
        <v>15</v>
      </c>
      <c r="N21" s="123">
        <v>15</v>
      </c>
      <c r="O21" s="123">
        <v>0</v>
      </c>
      <c r="P21" s="122">
        <v>80</v>
      </c>
      <c r="Q21" s="123">
        <v>45</v>
      </c>
      <c r="R21" s="123">
        <v>25</v>
      </c>
      <c r="S21" s="123">
        <v>14</v>
      </c>
      <c r="T21" s="122">
        <v>65</v>
      </c>
      <c r="U21" s="123">
        <v>45</v>
      </c>
      <c r="V21" s="123">
        <v>35</v>
      </c>
      <c r="W21" s="123">
        <v>0</v>
      </c>
      <c r="X21" s="122">
        <v>0</v>
      </c>
      <c r="Y21" s="123">
        <v>0</v>
      </c>
      <c r="Z21" s="123">
        <v>0</v>
      </c>
      <c r="AA21" s="123">
        <v>0</v>
      </c>
      <c r="AB21" s="136">
        <f t="shared" si="0"/>
        <v>247.88974909439995</v>
      </c>
      <c r="AC21" s="137">
        <f t="shared" si="1"/>
        <v>238.66368005119995</v>
      </c>
      <c r="AD21" s="137">
        <f t="shared" si="2"/>
        <v>240.87269155839999</v>
      </c>
      <c r="AE21" s="122">
        <f t="shared" si="3"/>
        <v>392.88974909439992</v>
      </c>
      <c r="AF21" s="123">
        <f t="shared" si="4"/>
        <v>328.66368005119995</v>
      </c>
      <c r="AG21" s="123">
        <f t="shared" si="5"/>
        <v>300.87269155839999</v>
      </c>
      <c r="AH21" s="123">
        <f t="shared" si="6"/>
        <v>14</v>
      </c>
      <c r="AI21" s="298">
        <f t="shared" si="7"/>
        <v>112720846902.45105</v>
      </c>
      <c r="AJ21" s="122">
        <v>118</v>
      </c>
      <c r="AK21" s="123">
        <v>113</v>
      </c>
      <c r="AL21" s="123">
        <v>117</v>
      </c>
      <c r="AM21" s="138">
        <f t="shared" si="8"/>
        <v>1689.4487454719997</v>
      </c>
      <c r="AN21" s="139">
        <f t="shared" si="9"/>
        <v>1643.3184002559997</v>
      </c>
      <c r="AO21" s="139">
        <f t="shared" si="10"/>
        <v>1654.363457792</v>
      </c>
      <c r="AP21" s="140">
        <v>9.1199999999999992</v>
      </c>
      <c r="AQ21" s="141">
        <v>8.76</v>
      </c>
      <c r="AR21" s="141">
        <v>8.82</v>
      </c>
      <c r="AS21" s="138">
        <f t="shared" si="11"/>
        <v>22.693478399999993</v>
      </c>
      <c r="AT21" s="139">
        <f t="shared" si="12"/>
        <v>21.797683199999991</v>
      </c>
      <c r="AU21" s="139">
        <f t="shared" si="13"/>
        <v>21.946982399999996</v>
      </c>
    </row>
    <row r="22" spans="1:47" ht="14.25" customHeight="1" x14ac:dyDescent="0.25">
      <c r="A22" s="35" t="s">
        <v>68</v>
      </c>
      <c r="B22" s="120" t="s">
        <v>332</v>
      </c>
      <c r="C22" s="142" t="s">
        <v>121</v>
      </c>
      <c r="D22" s="135" t="str">
        <f>IF(ISNUMBER(MATCH(Table19[[#This Row],[General]],COVENANTS!$A$2:$A$100,0)), "Y","N")</f>
        <v>N</v>
      </c>
      <c r="E22" s="135" t="str">
        <f>IF(ISNUMBER(MATCH(Table19[[#This Row],[General]],COVENANTS!$B$2:$B$100,0)), "Y","N")</f>
        <v>N</v>
      </c>
      <c r="F22" s="135" t="str">
        <f>IF(ISNUMBER(MATCH(Table19[[#This Row],[General]],COVENANTS!$C$2:$C$100,0)), "Y","N")</f>
        <v>N</v>
      </c>
      <c r="G22" s="135" t="str">
        <f>IF(ISNUMBER(MATCH(Table19[[#This Row],[General]],COVENANTS!$D$2:$D$100,0)), "Y","N")</f>
        <v>Y</v>
      </c>
      <c r="H22" s="122">
        <v>25</v>
      </c>
      <c r="I22" s="123">
        <v>25</v>
      </c>
      <c r="J22" s="123">
        <v>25</v>
      </c>
      <c r="K22" s="123">
        <v>12</v>
      </c>
      <c r="L22" s="122">
        <v>40</v>
      </c>
      <c r="M22" s="123">
        <v>25</v>
      </c>
      <c r="N22" s="123">
        <v>25</v>
      </c>
      <c r="O22" s="123">
        <v>0</v>
      </c>
      <c r="P22" s="122">
        <v>80</v>
      </c>
      <c r="Q22" s="123">
        <v>75</v>
      </c>
      <c r="R22" s="123">
        <v>75</v>
      </c>
      <c r="S22" s="123">
        <v>10</v>
      </c>
      <c r="T22" s="122">
        <v>76</v>
      </c>
      <c r="U22" s="123">
        <v>35</v>
      </c>
      <c r="V22" s="123">
        <v>10</v>
      </c>
      <c r="W22" s="123">
        <v>0</v>
      </c>
      <c r="X22" s="122">
        <v>0</v>
      </c>
      <c r="Y22" s="123">
        <v>0</v>
      </c>
      <c r="Z22" s="123">
        <v>0</v>
      </c>
      <c r="AA22" s="123">
        <v>0</v>
      </c>
      <c r="AB22" s="136">
        <f t="shared" si="0"/>
        <v>246.71106708479999</v>
      </c>
      <c r="AC22" s="137">
        <f t="shared" si="1"/>
        <v>239.25517429759998</v>
      </c>
      <c r="AD22" s="137">
        <f t="shared" si="2"/>
        <v>243.00322032640003</v>
      </c>
      <c r="AE22" s="122">
        <f t="shared" si="3"/>
        <v>402.71106708479999</v>
      </c>
      <c r="AF22" s="123">
        <f t="shared" si="4"/>
        <v>349.25517429759998</v>
      </c>
      <c r="AG22" s="123">
        <f t="shared" si="5"/>
        <v>328.00322032640003</v>
      </c>
      <c r="AH22" s="123">
        <f t="shared" si="6"/>
        <v>10</v>
      </c>
      <c r="AI22" s="298">
        <f t="shared" si="7"/>
        <v>110808097410.81421</v>
      </c>
      <c r="AJ22" s="122">
        <v>121</v>
      </c>
      <c r="AK22" s="123">
        <v>119</v>
      </c>
      <c r="AL22" s="123">
        <v>111</v>
      </c>
      <c r="AM22" s="138">
        <f t="shared" si="8"/>
        <v>1683.5553354239998</v>
      </c>
      <c r="AN22" s="139">
        <f t="shared" si="9"/>
        <v>1646.2758714879999</v>
      </c>
      <c r="AO22" s="139">
        <f t="shared" si="10"/>
        <v>1665.0161016320001</v>
      </c>
      <c r="AP22" s="140">
        <v>9.0399999999999991</v>
      </c>
      <c r="AQ22" s="141">
        <v>8.73</v>
      </c>
      <c r="AR22" s="141">
        <v>8.9700000000000006</v>
      </c>
      <c r="AS22" s="138">
        <f t="shared" si="11"/>
        <v>22.494412799999996</v>
      </c>
      <c r="AT22" s="139">
        <f t="shared" si="12"/>
        <v>21.723033599999997</v>
      </c>
      <c r="AU22" s="139">
        <f t="shared" si="13"/>
        <v>22.3202304</v>
      </c>
    </row>
    <row r="23" spans="1:47" ht="14.25" customHeight="1" x14ac:dyDescent="0.25">
      <c r="A23" s="35" t="s">
        <v>69</v>
      </c>
      <c r="B23" s="120" t="s">
        <v>332</v>
      </c>
      <c r="C23" s="121" t="s">
        <v>516</v>
      </c>
      <c r="D23" s="135" t="str">
        <f>IF(ISNUMBER(MATCH(Table19[[#This Row],[General]],COVENANTS!$A$2:$A$100,0)), "Y","N")</f>
        <v>Y</v>
      </c>
      <c r="E23" s="135" t="str">
        <f>IF(ISNUMBER(MATCH(Table19[[#This Row],[General]],COVENANTS!$B$2:$B$100,0)), "Y","N")</f>
        <v>N</v>
      </c>
      <c r="F23" s="135" t="str">
        <f>IF(ISNUMBER(MATCH(Table19[[#This Row],[General]],COVENANTS!$C$2:$C$100,0)), "Y","N")</f>
        <v>N</v>
      </c>
      <c r="G23" s="135" t="str">
        <f>IF(ISNUMBER(MATCH(Table19[[#This Row],[General]],COVENANTS!$D$2:$D$100,0)), "Y","N")</f>
        <v>N</v>
      </c>
      <c r="H23" s="122">
        <v>25</v>
      </c>
      <c r="I23" s="123">
        <v>25</v>
      </c>
      <c r="J23" s="123">
        <v>25</v>
      </c>
      <c r="K23" s="123">
        <v>12</v>
      </c>
      <c r="L23" s="122">
        <v>45</v>
      </c>
      <c r="M23" s="123">
        <v>25</v>
      </c>
      <c r="N23" s="123">
        <v>25</v>
      </c>
      <c r="O23" s="123">
        <v>0</v>
      </c>
      <c r="P23" s="122">
        <v>83</v>
      </c>
      <c r="Q23" s="123">
        <v>60</v>
      </c>
      <c r="R23" s="123">
        <v>90</v>
      </c>
      <c r="S23" s="123">
        <v>0</v>
      </c>
      <c r="T23" s="122">
        <v>70</v>
      </c>
      <c r="U23" s="123">
        <v>40</v>
      </c>
      <c r="V23" s="123">
        <v>30</v>
      </c>
      <c r="W23" s="123">
        <v>0</v>
      </c>
      <c r="X23" s="122">
        <v>25</v>
      </c>
      <c r="Y23" s="123">
        <v>0</v>
      </c>
      <c r="Z23" s="123">
        <v>10</v>
      </c>
      <c r="AA23" s="123">
        <v>5</v>
      </c>
      <c r="AB23" s="136">
        <f t="shared" si="0"/>
        <v>242.97354982399995</v>
      </c>
      <c r="AC23" s="137">
        <f t="shared" si="1"/>
        <v>240.22185630719997</v>
      </c>
      <c r="AD23" s="137">
        <f t="shared" si="2"/>
        <v>246.75557283839998</v>
      </c>
      <c r="AE23" s="122">
        <f t="shared" si="3"/>
        <v>420.97354982399997</v>
      </c>
      <c r="AF23" s="123">
        <f t="shared" si="4"/>
        <v>340.22185630719997</v>
      </c>
      <c r="AG23" s="123">
        <f t="shared" si="5"/>
        <v>376.75557283839998</v>
      </c>
      <c r="AH23" s="123">
        <f t="shared" si="6"/>
        <v>5</v>
      </c>
      <c r="AI23" s="298">
        <f t="shared" si="7"/>
        <v>109864969171.75879</v>
      </c>
      <c r="AJ23" s="122">
        <v>113</v>
      </c>
      <c r="AK23" s="123">
        <v>115</v>
      </c>
      <c r="AL23" s="123">
        <v>118</v>
      </c>
      <c r="AM23" s="138">
        <f t="shared" si="8"/>
        <v>1664.8677491199996</v>
      </c>
      <c r="AN23" s="139">
        <f t="shared" si="9"/>
        <v>1651.1092815359998</v>
      </c>
      <c r="AO23" s="139">
        <f t="shared" si="10"/>
        <v>1683.7778641919999</v>
      </c>
      <c r="AP23" s="140">
        <v>8.9499999999999993</v>
      </c>
      <c r="AQ23" s="141">
        <v>8.81</v>
      </c>
      <c r="AR23" s="141">
        <v>9.07</v>
      </c>
      <c r="AS23" s="138">
        <f t="shared" si="11"/>
        <v>22.270463999999993</v>
      </c>
      <c r="AT23" s="139">
        <f t="shared" si="12"/>
        <v>21.922099199999998</v>
      </c>
      <c r="AU23" s="139">
        <f t="shared" si="13"/>
        <v>22.569062399999996</v>
      </c>
    </row>
    <row r="24" spans="1:47" ht="14.25" customHeight="1" x14ac:dyDescent="0.25">
      <c r="A24" s="35" t="s">
        <v>70</v>
      </c>
      <c r="B24" s="120" t="s">
        <v>333</v>
      </c>
      <c r="C24" s="121" t="s">
        <v>123</v>
      </c>
      <c r="D24" s="135" t="str">
        <f>IF(ISNUMBER(MATCH(Table19[[#This Row],[General]],COVENANTS!$A$2:$A$100,0)), "Y","N")</f>
        <v>N</v>
      </c>
      <c r="E24" s="135" t="str">
        <f>IF(ISNUMBER(MATCH(Table19[[#This Row],[General]],COVENANTS!$B$2:$B$100,0)), "Y","N")</f>
        <v>N</v>
      </c>
      <c r="F24" s="135" t="str">
        <f>IF(ISNUMBER(MATCH(Table19[[#This Row],[General]],COVENANTS!$C$2:$C$100,0)), "Y","N")</f>
        <v>Y</v>
      </c>
      <c r="G24" s="135" t="str">
        <f>IF(ISNUMBER(MATCH(Table19[[#This Row],[General]],COVENANTS!$D$2:$D$100,0)), "Y","N")</f>
        <v>Y</v>
      </c>
      <c r="H24" s="122">
        <v>0</v>
      </c>
      <c r="I24" s="123">
        <v>25</v>
      </c>
      <c r="J24" s="123">
        <v>25</v>
      </c>
      <c r="K24" s="123">
        <v>12</v>
      </c>
      <c r="L24" s="122">
        <v>35</v>
      </c>
      <c r="M24" s="123">
        <v>0</v>
      </c>
      <c r="N24" s="123">
        <v>10</v>
      </c>
      <c r="O24" s="123">
        <v>0</v>
      </c>
      <c r="P24" s="122">
        <v>65</v>
      </c>
      <c r="Q24" s="123">
        <v>20</v>
      </c>
      <c r="R24" s="123">
        <v>30</v>
      </c>
      <c r="S24" s="123">
        <v>12</v>
      </c>
      <c r="T24" s="122">
        <v>55</v>
      </c>
      <c r="U24" s="123">
        <v>35</v>
      </c>
      <c r="V24" s="123">
        <v>25</v>
      </c>
      <c r="W24" s="123">
        <v>6</v>
      </c>
      <c r="X24" s="122">
        <v>0</v>
      </c>
      <c r="Y24" s="123">
        <v>0</v>
      </c>
      <c r="Z24" s="123">
        <v>0</v>
      </c>
      <c r="AA24" s="123">
        <v>0</v>
      </c>
      <c r="AB24" s="136">
        <f t="shared" si="0"/>
        <v>241.99203256319998</v>
      </c>
      <c r="AC24" s="137">
        <f t="shared" si="1"/>
        <v>239.73851530239995</v>
      </c>
      <c r="AD24" s="137">
        <f t="shared" si="2"/>
        <v>248.99425484800005</v>
      </c>
      <c r="AE24" s="122">
        <f t="shared" si="3"/>
        <v>361.99203256319998</v>
      </c>
      <c r="AF24" s="123">
        <f t="shared" si="4"/>
        <v>294.73851530239995</v>
      </c>
      <c r="AG24" s="123">
        <f t="shared" si="5"/>
        <v>303.99425484800008</v>
      </c>
      <c r="AH24" s="123">
        <f t="shared" si="6"/>
        <v>18</v>
      </c>
      <c r="AI24" s="298">
        <f t="shared" si="7"/>
        <v>109209327618.05823</v>
      </c>
      <c r="AJ24" s="122">
        <v>118</v>
      </c>
      <c r="AK24" s="123">
        <v>117</v>
      </c>
      <c r="AL24" s="123">
        <v>120</v>
      </c>
      <c r="AM24" s="138">
        <f t="shared" si="8"/>
        <v>1659.9601628159999</v>
      </c>
      <c r="AN24" s="139">
        <f t="shared" si="9"/>
        <v>1648.6925765119997</v>
      </c>
      <c r="AO24" s="139">
        <f t="shared" si="10"/>
        <v>1694.9712742400002</v>
      </c>
      <c r="AP24" s="140">
        <v>8.86</v>
      </c>
      <c r="AQ24" s="141">
        <v>8.77</v>
      </c>
      <c r="AR24" s="141">
        <v>9.15</v>
      </c>
      <c r="AS24" s="138">
        <f t="shared" si="11"/>
        <v>22.046515199999998</v>
      </c>
      <c r="AT24" s="139">
        <f t="shared" si="12"/>
        <v>21.822566399999992</v>
      </c>
      <c r="AU24" s="139">
        <f t="shared" si="13"/>
        <v>22.768128000000001</v>
      </c>
    </row>
    <row r="25" spans="1:47" ht="14.25" customHeight="1" x14ac:dyDescent="0.25">
      <c r="A25" s="35" t="s">
        <v>71</v>
      </c>
      <c r="B25" s="120" t="s">
        <v>332</v>
      </c>
      <c r="C25" s="142" t="s">
        <v>125</v>
      </c>
      <c r="D25" s="135" t="str">
        <f>IF(ISNUMBER(MATCH(Table19[[#This Row],[General]],COVENANTS!$A$2:$A$100,0)), "Y","N")</f>
        <v>N</v>
      </c>
      <c r="E25" s="135" t="str">
        <f>IF(ISNUMBER(MATCH(Table19[[#This Row],[General]],COVENANTS!$B$2:$B$100,0)), "Y","N")</f>
        <v>Y</v>
      </c>
      <c r="F25" s="135" t="str">
        <f>IF(ISNUMBER(MATCH(Table19[[#This Row],[General]],COVENANTS!$C$2:$C$100,0)), "Y","N")</f>
        <v>Y</v>
      </c>
      <c r="G25" s="135" t="str">
        <f>IF(ISNUMBER(MATCH(Table19[[#This Row],[General]],COVENANTS!$D$2:$D$100,0)), "Y","N")</f>
        <v>N</v>
      </c>
      <c r="H25" s="122">
        <v>25</v>
      </c>
      <c r="I25" s="123">
        <v>25</v>
      </c>
      <c r="J25" s="123">
        <v>25</v>
      </c>
      <c r="K25" s="123">
        <v>12</v>
      </c>
      <c r="L25" s="122">
        <v>30</v>
      </c>
      <c r="M25" s="123">
        <v>15</v>
      </c>
      <c r="N25" s="123">
        <v>15</v>
      </c>
      <c r="O25" s="123">
        <v>0</v>
      </c>
      <c r="P25" s="122">
        <v>60</v>
      </c>
      <c r="Q25" s="123">
        <v>55</v>
      </c>
      <c r="R25" s="123">
        <v>55</v>
      </c>
      <c r="S25" s="123">
        <v>10</v>
      </c>
      <c r="T25" s="122">
        <v>55</v>
      </c>
      <c r="U25" s="123">
        <v>20</v>
      </c>
      <c r="V25" s="123">
        <v>10</v>
      </c>
      <c r="W25" s="123">
        <v>6</v>
      </c>
      <c r="X25" s="122">
        <v>0</v>
      </c>
      <c r="Y25" s="123">
        <v>0</v>
      </c>
      <c r="Z25" s="123">
        <v>0</v>
      </c>
      <c r="AA25" s="123">
        <v>0</v>
      </c>
      <c r="AB25" s="136">
        <f t="shared" si="0"/>
        <v>243.12620881919995</v>
      </c>
      <c r="AC25" s="137">
        <f t="shared" si="1"/>
        <v>246.08990233599999</v>
      </c>
      <c r="AD25" s="137">
        <f t="shared" si="2"/>
        <v>232.20413977599992</v>
      </c>
      <c r="AE25" s="122">
        <f t="shared" si="3"/>
        <v>358.12620881919997</v>
      </c>
      <c r="AF25" s="123">
        <f t="shared" si="4"/>
        <v>321.08990233600002</v>
      </c>
      <c r="AG25" s="123">
        <f t="shared" si="5"/>
        <v>297.20413977599992</v>
      </c>
      <c r="AH25" s="123">
        <f t="shared" si="6"/>
        <v>16</v>
      </c>
      <c r="AI25" s="298">
        <f t="shared" si="7"/>
        <v>106056522162.56897</v>
      </c>
      <c r="AJ25" s="122">
        <v>118</v>
      </c>
      <c r="AK25" s="123">
        <v>117</v>
      </c>
      <c r="AL25" s="123">
        <v>105</v>
      </c>
      <c r="AM25" s="138">
        <f t="shared" si="8"/>
        <v>1665.6310440959996</v>
      </c>
      <c r="AN25" s="139">
        <f t="shared" si="9"/>
        <v>1680.4495116799999</v>
      </c>
      <c r="AO25" s="139">
        <f t="shared" si="10"/>
        <v>1611.0206988799996</v>
      </c>
      <c r="AP25" s="140">
        <v>8.91</v>
      </c>
      <c r="AQ25" s="141">
        <v>9.0500000000000007</v>
      </c>
      <c r="AR25" s="141">
        <v>8.5500000000000007</v>
      </c>
      <c r="AS25" s="138">
        <f t="shared" si="11"/>
        <v>22.170931199999995</v>
      </c>
      <c r="AT25" s="139">
        <f t="shared" si="12"/>
        <v>22.519295999999997</v>
      </c>
      <c r="AU25" s="139">
        <f t="shared" si="13"/>
        <v>21.275135999999993</v>
      </c>
    </row>
    <row r="26" spans="1:47" ht="14.25" customHeight="1" x14ac:dyDescent="0.25">
      <c r="A26" s="35" t="s">
        <v>72</v>
      </c>
      <c r="B26" s="120" t="s">
        <v>332</v>
      </c>
      <c r="C26" s="121" t="s">
        <v>124</v>
      </c>
      <c r="D26" s="135" t="str">
        <f>IF(ISNUMBER(MATCH(Table19[[#This Row],[General]],COVENANTS!$A$2:$A$100,0)), "Y","N")</f>
        <v>N</v>
      </c>
      <c r="E26" s="135" t="str">
        <f>IF(ISNUMBER(MATCH(Table19[[#This Row],[General]],COVENANTS!$B$2:$B$100,0)), "Y","N")</f>
        <v>N</v>
      </c>
      <c r="F26" s="135" t="str">
        <f>IF(ISNUMBER(MATCH(Table19[[#This Row],[General]],COVENANTS!$C$2:$C$100,0)), "Y","N")</f>
        <v>N</v>
      </c>
      <c r="G26" s="135" t="str">
        <f>IF(ISNUMBER(MATCH(Table19[[#This Row],[General]],COVENANTS!$D$2:$D$100,0)), "Y","N")</f>
        <v>N</v>
      </c>
      <c r="H26" s="122">
        <v>25</v>
      </c>
      <c r="I26" s="123">
        <v>25</v>
      </c>
      <c r="J26" s="123">
        <v>25</v>
      </c>
      <c r="K26" s="123">
        <v>12</v>
      </c>
      <c r="L26" s="122">
        <v>25</v>
      </c>
      <c r="M26" s="123">
        <v>0</v>
      </c>
      <c r="N26" s="123">
        <v>0</v>
      </c>
      <c r="O26" s="123">
        <v>0</v>
      </c>
      <c r="P26" s="122">
        <v>65</v>
      </c>
      <c r="Q26" s="123">
        <v>40</v>
      </c>
      <c r="R26" s="123">
        <v>20</v>
      </c>
      <c r="S26" s="123">
        <v>14</v>
      </c>
      <c r="T26" s="122">
        <v>60</v>
      </c>
      <c r="U26" s="123">
        <v>10</v>
      </c>
      <c r="V26" s="123">
        <v>20</v>
      </c>
      <c r="W26" s="123">
        <v>0</v>
      </c>
      <c r="X26" s="122">
        <v>0</v>
      </c>
      <c r="Y26" s="123">
        <v>0</v>
      </c>
      <c r="Z26" s="123">
        <v>0</v>
      </c>
      <c r="AA26" s="123">
        <v>0</v>
      </c>
      <c r="AB26" s="136">
        <f t="shared" si="0"/>
        <v>241.12919731199995</v>
      </c>
      <c r="AC26" s="137">
        <f t="shared" si="1"/>
        <v>244.27522032640002</v>
      </c>
      <c r="AD26" s="137">
        <f t="shared" si="2"/>
        <v>242.70220881919997</v>
      </c>
      <c r="AE26" s="122">
        <f t="shared" si="3"/>
        <v>366.12919731199997</v>
      </c>
      <c r="AF26" s="123">
        <f t="shared" si="4"/>
        <v>294.27522032640002</v>
      </c>
      <c r="AG26" s="123">
        <f t="shared" si="5"/>
        <v>282.7022088192</v>
      </c>
      <c r="AH26" s="123">
        <f t="shared" si="6"/>
        <v>14</v>
      </c>
      <c r="AI26" s="298">
        <f t="shared" si="7"/>
        <v>105924730481.65479</v>
      </c>
      <c r="AJ26" s="122">
        <v>115</v>
      </c>
      <c r="AK26" s="123">
        <v>117</v>
      </c>
      <c r="AL26" s="123">
        <v>116</v>
      </c>
      <c r="AM26" s="138">
        <f t="shared" si="8"/>
        <v>1655.6459865599998</v>
      </c>
      <c r="AN26" s="139">
        <f t="shared" si="9"/>
        <v>1671.376101632</v>
      </c>
      <c r="AO26" s="139">
        <f t="shared" si="10"/>
        <v>1663.5110440959998</v>
      </c>
      <c r="AP26" s="140">
        <v>8.85</v>
      </c>
      <c r="AQ26" s="141">
        <v>8.9700000000000006</v>
      </c>
      <c r="AR26" s="141">
        <v>8.91</v>
      </c>
      <c r="AS26" s="138">
        <f t="shared" si="11"/>
        <v>22.021631999999993</v>
      </c>
      <c r="AT26" s="139">
        <f t="shared" si="12"/>
        <v>22.3202304</v>
      </c>
      <c r="AU26" s="139">
        <f t="shared" si="13"/>
        <v>22.170931199999995</v>
      </c>
    </row>
    <row r="27" spans="1:47" ht="14.25" customHeight="1" x14ac:dyDescent="0.25">
      <c r="A27" s="35" t="s">
        <v>73</v>
      </c>
      <c r="B27" s="120" t="s">
        <v>332</v>
      </c>
      <c r="C27" s="121" t="s">
        <v>126</v>
      </c>
      <c r="D27" s="135" t="str">
        <f>IF(ISNUMBER(MATCH(Table19[[#This Row],[General]],COVENANTS!$A$2:$A$100,0)), "Y","N")</f>
        <v>N</v>
      </c>
      <c r="E27" s="135" t="str">
        <f>IF(ISNUMBER(MATCH(Table19[[#This Row],[General]],COVENANTS!$B$2:$B$100,0)), "Y","N")</f>
        <v>N</v>
      </c>
      <c r="F27" s="135" t="str">
        <f>IF(ISNUMBER(MATCH(Table19[[#This Row],[General]],COVENANTS!$C$2:$C$100,0)), "Y","N")</f>
        <v>N</v>
      </c>
      <c r="G27" s="135" t="str">
        <f>IF(ISNUMBER(MATCH(Table19[[#This Row],[General]],COVENANTS!$D$2:$D$100,0)), "Y","N")</f>
        <v>Y</v>
      </c>
      <c r="H27" s="122">
        <v>25</v>
      </c>
      <c r="I27" s="123">
        <v>25</v>
      </c>
      <c r="J27" s="123">
        <v>25</v>
      </c>
      <c r="K27" s="123">
        <v>12</v>
      </c>
      <c r="L27" s="122">
        <v>30</v>
      </c>
      <c r="M27" s="123">
        <v>0</v>
      </c>
      <c r="N27" s="123">
        <v>30</v>
      </c>
      <c r="O27" s="123">
        <v>0</v>
      </c>
      <c r="P27" s="122">
        <v>70</v>
      </c>
      <c r="Q27" s="123">
        <v>45</v>
      </c>
      <c r="R27" s="123">
        <v>45</v>
      </c>
      <c r="S27" s="123">
        <v>0</v>
      </c>
      <c r="T27" s="122">
        <v>75</v>
      </c>
      <c r="U27" s="123">
        <v>20</v>
      </c>
      <c r="V27" s="123">
        <v>10</v>
      </c>
      <c r="W27" s="123">
        <v>6</v>
      </c>
      <c r="X27" s="122">
        <v>0</v>
      </c>
      <c r="Y27" s="123">
        <v>0</v>
      </c>
      <c r="Z27" s="123">
        <v>0</v>
      </c>
      <c r="AA27" s="123">
        <v>0</v>
      </c>
      <c r="AB27" s="136">
        <f t="shared" si="0"/>
        <v>245.60656133119994</v>
      </c>
      <c r="AC27" s="137">
        <f t="shared" si="1"/>
        <v>246.30190233599998</v>
      </c>
      <c r="AD27" s="137">
        <f t="shared" si="2"/>
        <v>242.97354982399995</v>
      </c>
      <c r="AE27" s="122">
        <f t="shared" si="3"/>
        <v>390.60656133119994</v>
      </c>
      <c r="AF27" s="123">
        <f t="shared" si="4"/>
        <v>311.30190233600001</v>
      </c>
      <c r="AG27" s="123">
        <f t="shared" si="5"/>
        <v>297.97354982399997</v>
      </c>
      <c r="AH27" s="123">
        <f t="shared" si="6"/>
        <v>6</v>
      </c>
      <c r="AI27" s="298">
        <f t="shared" si="7"/>
        <v>103369689403.87805</v>
      </c>
      <c r="AJ27" s="122">
        <v>119</v>
      </c>
      <c r="AK27" s="123">
        <v>118</v>
      </c>
      <c r="AL27" s="123">
        <v>113</v>
      </c>
      <c r="AM27" s="138">
        <f t="shared" si="8"/>
        <v>1678.0328066559996</v>
      </c>
      <c r="AN27" s="139">
        <f t="shared" si="9"/>
        <v>1681.5095116799998</v>
      </c>
      <c r="AO27" s="139">
        <f t="shared" si="10"/>
        <v>1664.8677491199996</v>
      </c>
      <c r="AP27" s="140">
        <v>9.01</v>
      </c>
      <c r="AQ27" s="141">
        <v>9.0500000000000007</v>
      </c>
      <c r="AR27" s="141">
        <v>8.9499999999999993</v>
      </c>
      <c r="AS27" s="138">
        <f t="shared" si="11"/>
        <v>22.419763199999995</v>
      </c>
      <c r="AT27" s="139">
        <f t="shared" si="12"/>
        <v>22.519295999999997</v>
      </c>
      <c r="AU27" s="139">
        <f t="shared" si="13"/>
        <v>22.270463999999993</v>
      </c>
    </row>
    <row r="28" spans="1:47" ht="14.25" customHeight="1" x14ac:dyDescent="0.25">
      <c r="A28" s="35" t="s">
        <v>74</v>
      </c>
      <c r="B28" s="120" t="s">
        <v>332</v>
      </c>
      <c r="C28" s="142" t="s">
        <v>94</v>
      </c>
      <c r="D28" s="135" t="str">
        <f>IF(ISNUMBER(MATCH(Table19[[#This Row],[General]],COVENANTS!$A$2:$A$100,0)), "Y","N")</f>
        <v>N</v>
      </c>
      <c r="E28" s="135" t="str">
        <f>IF(ISNUMBER(MATCH(Table19[[#This Row],[General]],COVENANTS!$B$2:$B$100,0)), "Y","N")</f>
        <v>N</v>
      </c>
      <c r="F28" s="135" t="str">
        <f>IF(ISNUMBER(MATCH(Table19[[#This Row],[General]],COVENANTS!$C$2:$C$100,0)), "Y","N")</f>
        <v>Y</v>
      </c>
      <c r="G28" s="135" t="str">
        <f>IF(ISNUMBER(MATCH(Table19[[#This Row],[General]],COVENANTS!$D$2:$D$100,0)), "Y","N")</f>
        <v>N</v>
      </c>
      <c r="H28" s="122">
        <v>25</v>
      </c>
      <c r="I28" s="123">
        <v>25</v>
      </c>
      <c r="J28" s="123">
        <v>25</v>
      </c>
      <c r="K28" s="123">
        <v>12</v>
      </c>
      <c r="L28" s="122">
        <v>25</v>
      </c>
      <c r="M28" s="123">
        <v>0</v>
      </c>
      <c r="N28" s="123">
        <v>10</v>
      </c>
      <c r="O28" s="123">
        <v>0</v>
      </c>
      <c r="P28" s="122">
        <v>50</v>
      </c>
      <c r="Q28" s="123">
        <v>25</v>
      </c>
      <c r="R28" s="123">
        <v>30</v>
      </c>
      <c r="S28" s="123">
        <v>14</v>
      </c>
      <c r="T28" s="122">
        <v>41</v>
      </c>
      <c r="U28" s="123">
        <v>26</v>
      </c>
      <c r="V28" s="123">
        <v>36</v>
      </c>
      <c r="W28" s="123">
        <v>6</v>
      </c>
      <c r="X28" s="122">
        <v>0</v>
      </c>
      <c r="Y28" s="123">
        <v>0</v>
      </c>
      <c r="Z28" s="123">
        <v>0</v>
      </c>
      <c r="AA28" s="123">
        <v>0</v>
      </c>
      <c r="AB28" s="136">
        <f t="shared" si="0"/>
        <v>238.21000954879997</v>
      </c>
      <c r="AC28" s="137">
        <f t="shared" si="1"/>
        <v>245.21223183359999</v>
      </c>
      <c r="AD28" s="137">
        <f t="shared" si="2"/>
        <v>246.98240808959991</v>
      </c>
      <c r="AE28" s="122">
        <f t="shared" si="3"/>
        <v>329.21000954879997</v>
      </c>
      <c r="AF28" s="123">
        <f t="shared" si="4"/>
        <v>296.21223183359996</v>
      </c>
      <c r="AG28" s="123">
        <f t="shared" si="5"/>
        <v>312.98240808959991</v>
      </c>
      <c r="AH28" s="123">
        <f t="shared" si="6"/>
        <v>20</v>
      </c>
      <c r="AI28" s="298">
        <f t="shared" si="7"/>
        <v>102965045309.93713</v>
      </c>
      <c r="AJ28" s="122">
        <v>113</v>
      </c>
      <c r="AK28" s="123">
        <v>115</v>
      </c>
      <c r="AL28" s="123">
        <v>118</v>
      </c>
      <c r="AM28" s="138">
        <f t="shared" si="8"/>
        <v>1641.0500477439998</v>
      </c>
      <c r="AN28" s="139">
        <f t="shared" si="9"/>
        <v>1676.0611591679999</v>
      </c>
      <c r="AO28" s="139">
        <f t="shared" si="10"/>
        <v>1684.9120404479995</v>
      </c>
      <c r="AP28" s="140">
        <v>8.74</v>
      </c>
      <c r="AQ28" s="141">
        <v>9.0299999999999994</v>
      </c>
      <c r="AR28" s="141">
        <v>9.08</v>
      </c>
      <c r="AS28" s="138">
        <f t="shared" si="11"/>
        <v>21.747916799999995</v>
      </c>
      <c r="AT28" s="139">
        <f t="shared" si="12"/>
        <v>22.469529599999994</v>
      </c>
      <c r="AU28" s="139">
        <f t="shared" si="13"/>
        <v>22.593945599999994</v>
      </c>
    </row>
    <row r="29" spans="1:47" ht="14.25" customHeight="1" x14ac:dyDescent="0.25">
      <c r="A29" s="35" t="s">
        <v>75</v>
      </c>
      <c r="B29" s="120" t="s">
        <v>332</v>
      </c>
      <c r="C29" s="142" t="s">
        <v>304</v>
      </c>
      <c r="D29" s="135" t="str">
        <f>IF(ISNUMBER(MATCH(Table19[[#This Row],[General]],COVENANTS!$A$2:$A$100,0)), "Y","N")</f>
        <v>N</v>
      </c>
      <c r="E29" s="135" t="str">
        <f>IF(ISNUMBER(MATCH(Table19[[#This Row],[General]],COVENANTS!$B$2:$B$100,0)), "Y","N")</f>
        <v>N</v>
      </c>
      <c r="F29" s="135" t="str">
        <f>IF(ISNUMBER(MATCH(Table19[[#This Row],[General]],COVENANTS!$C$2:$C$100,0)), "Y","N")</f>
        <v>N</v>
      </c>
      <c r="G29" s="135" t="str">
        <f>IF(ISNUMBER(MATCH(Table19[[#This Row],[General]],COVENANTS!$D$2:$D$100,0)), "Y","N")</f>
        <v>N</v>
      </c>
      <c r="H29" s="122">
        <v>25</v>
      </c>
      <c r="I29" s="123">
        <v>25</v>
      </c>
      <c r="J29" s="123">
        <v>25</v>
      </c>
      <c r="K29" s="123">
        <v>12</v>
      </c>
      <c r="L29" s="122">
        <v>40</v>
      </c>
      <c r="M29" s="123">
        <v>0</v>
      </c>
      <c r="N29" s="123">
        <v>0</v>
      </c>
      <c r="O29" s="123">
        <v>10</v>
      </c>
      <c r="P29" s="122">
        <v>65</v>
      </c>
      <c r="Q29" s="123">
        <v>30</v>
      </c>
      <c r="R29" s="123">
        <v>25</v>
      </c>
      <c r="S29" s="123">
        <v>10</v>
      </c>
      <c r="T29" s="122">
        <v>60</v>
      </c>
      <c r="U29" s="123">
        <v>20</v>
      </c>
      <c r="V29" s="123">
        <v>40</v>
      </c>
      <c r="W29" s="123">
        <v>0</v>
      </c>
      <c r="X29" s="122">
        <v>0</v>
      </c>
      <c r="Y29" s="123">
        <v>0</v>
      </c>
      <c r="Z29" s="123">
        <v>0</v>
      </c>
      <c r="AA29" s="123">
        <v>0</v>
      </c>
      <c r="AB29" s="136">
        <f t="shared" si="0"/>
        <v>246.27223183359999</v>
      </c>
      <c r="AC29" s="137">
        <f t="shared" si="1"/>
        <v>238.63400954879995</v>
      </c>
      <c r="AD29" s="137">
        <f t="shared" si="2"/>
        <v>245.39456133119995</v>
      </c>
      <c r="AE29" s="122">
        <f t="shared" si="3"/>
        <v>371.27223183360002</v>
      </c>
      <c r="AF29" s="123">
        <f t="shared" si="4"/>
        <v>288.63400954879995</v>
      </c>
      <c r="AG29" s="123">
        <f t="shared" si="5"/>
        <v>310.39456133119995</v>
      </c>
      <c r="AH29" s="123">
        <f t="shared" si="6"/>
        <v>10</v>
      </c>
      <c r="AI29" s="298">
        <f t="shared" si="7"/>
        <v>102879242966.92786</v>
      </c>
      <c r="AJ29" s="122">
        <v>120</v>
      </c>
      <c r="AK29" s="123">
        <v>115</v>
      </c>
      <c r="AL29" s="123">
        <v>118</v>
      </c>
      <c r="AM29" s="138">
        <f t="shared" si="8"/>
        <v>1681.3611591679999</v>
      </c>
      <c r="AN29" s="139">
        <f t="shared" si="9"/>
        <v>1643.1700477439997</v>
      </c>
      <c r="AO29" s="139">
        <f t="shared" si="10"/>
        <v>1676.9728066559996</v>
      </c>
      <c r="AP29" s="140">
        <v>9.0299999999999994</v>
      </c>
      <c r="AQ29" s="141">
        <v>8.74</v>
      </c>
      <c r="AR29" s="141">
        <v>9.01</v>
      </c>
      <c r="AS29" s="138">
        <f t="shared" si="11"/>
        <v>22.469529599999994</v>
      </c>
      <c r="AT29" s="139">
        <f t="shared" si="12"/>
        <v>21.747916799999995</v>
      </c>
      <c r="AU29" s="139">
        <f t="shared" si="13"/>
        <v>22.419763199999995</v>
      </c>
    </row>
    <row r="30" spans="1:47" ht="14.25" customHeight="1" x14ac:dyDescent="0.25">
      <c r="A30" s="35" t="s">
        <v>76</v>
      </c>
      <c r="B30" s="120" t="s">
        <v>333</v>
      </c>
      <c r="C30" s="142" t="s">
        <v>128</v>
      </c>
      <c r="D30" s="135" t="str">
        <f>IF(ISNUMBER(MATCH(Table19[[#This Row],[General]],COVENANTS!$A$2:$A$100,0)), "Y","N")</f>
        <v>N</v>
      </c>
      <c r="E30" s="135" t="str">
        <f>IF(ISNUMBER(MATCH(Table19[[#This Row],[General]],COVENANTS!$B$2:$B$100,0)), "Y","N")</f>
        <v>Y</v>
      </c>
      <c r="F30" s="135" t="str">
        <f>IF(ISNUMBER(MATCH(Table19[[#This Row],[General]],COVENANTS!$C$2:$C$100,0)), "Y","N")</f>
        <v>N</v>
      </c>
      <c r="G30" s="135" t="str">
        <f>IF(ISNUMBER(MATCH(Table19[[#This Row],[General]],COVENANTS!$D$2:$D$100,0)), "Y","N")</f>
        <v>Y</v>
      </c>
      <c r="H30" s="122">
        <v>0</v>
      </c>
      <c r="I30" s="123">
        <v>25</v>
      </c>
      <c r="J30" s="123">
        <v>25</v>
      </c>
      <c r="K30" s="123">
        <v>12</v>
      </c>
      <c r="L30" s="122">
        <v>40</v>
      </c>
      <c r="M30" s="123">
        <v>0</v>
      </c>
      <c r="N30" s="123">
        <v>0</v>
      </c>
      <c r="O30" s="123">
        <v>0</v>
      </c>
      <c r="P30" s="122">
        <v>75</v>
      </c>
      <c r="Q30" s="123">
        <v>0</v>
      </c>
      <c r="R30" s="123">
        <v>35</v>
      </c>
      <c r="S30" s="123">
        <v>0</v>
      </c>
      <c r="T30" s="122">
        <v>86</v>
      </c>
      <c r="U30" s="123">
        <v>10</v>
      </c>
      <c r="V30" s="123">
        <v>20</v>
      </c>
      <c r="W30" s="123">
        <v>0</v>
      </c>
      <c r="X30" s="122">
        <v>10</v>
      </c>
      <c r="Y30" s="123">
        <v>15</v>
      </c>
      <c r="Z30" s="123">
        <v>0</v>
      </c>
      <c r="AA30" s="123">
        <v>0</v>
      </c>
      <c r="AB30" s="136">
        <f t="shared" si="0"/>
        <v>242.189197312</v>
      </c>
      <c r="AC30" s="137">
        <f t="shared" si="1"/>
        <v>236.59249228799999</v>
      </c>
      <c r="AD30" s="137">
        <f t="shared" si="2"/>
        <v>249.76377210879991</v>
      </c>
      <c r="AE30" s="122">
        <f t="shared" si="3"/>
        <v>413.18919731200003</v>
      </c>
      <c r="AF30" s="123">
        <f t="shared" si="4"/>
        <v>261.59249228800002</v>
      </c>
      <c r="AG30" s="123">
        <f t="shared" si="5"/>
        <v>304.76377210879991</v>
      </c>
      <c r="AH30" s="123">
        <f t="shared" si="6"/>
        <v>0</v>
      </c>
      <c r="AI30" s="298">
        <f t="shared" si="7"/>
        <v>102387113768.48523</v>
      </c>
      <c r="AJ30" s="122">
        <v>120</v>
      </c>
      <c r="AK30" s="123">
        <v>115</v>
      </c>
      <c r="AL30" s="123">
        <v>114</v>
      </c>
      <c r="AM30" s="138">
        <f t="shared" si="8"/>
        <v>1660.9459865599999</v>
      </c>
      <c r="AN30" s="139">
        <f t="shared" si="9"/>
        <v>1632.96246144</v>
      </c>
      <c r="AO30" s="139">
        <f t="shared" si="10"/>
        <v>1698.8188605439996</v>
      </c>
      <c r="AP30" s="140">
        <v>8.85</v>
      </c>
      <c r="AQ30" s="141">
        <v>8.65</v>
      </c>
      <c r="AR30" s="141">
        <v>9.24</v>
      </c>
      <c r="AS30" s="138">
        <f t="shared" si="11"/>
        <v>22.021631999999993</v>
      </c>
      <c r="AT30" s="139">
        <f t="shared" si="12"/>
        <v>21.523968</v>
      </c>
      <c r="AU30" s="139">
        <f t="shared" si="13"/>
        <v>22.992076799999992</v>
      </c>
    </row>
    <row r="31" spans="1:47" ht="14.25" customHeight="1" x14ac:dyDescent="0.25">
      <c r="A31" s="35" t="s">
        <v>77</v>
      </c>
      <c r="B31" s="120" t="s">
        <v>332</v>
      </c>
      <c r="C31" s="142" t="s">
        <v>127</v>
      </c>
      <c r="D31" s="135" t="str">
        <f>IF(ISNUMBER(MATCH(Table19[[#This Row],[General]],COVENANTS!$A$2:$A$100,0)), "Y","N")</f>
        <v>N</v>
      </c>
      <c r="E31" s="135" t="str">
        <f>IF(ISNUMBER(MATCH(Table19[[#This Row],[General]],COVENANTS!$B$2:$B$100,0)), "Y","N")</f>
        <v>Y</v>
      </c>
      <c r="F31" s="135" t="str">
        <f>IF(ISNUMBER(MATCH(Table19[[#This Row],[General]],COVENANTS!$C$2:$C$100,0)), "Y","N")</f>
        <v>N</v>
      </c>
      <c r="G31" s="135" t="str">
        <f>IF(ISNUMBER(MATCH(Table19[[#This Row],[General]],COVENANTS!$D$2:$D$100,0)), "Y","N")</f>
        <v>N</v>
      </c>
      <c r="H31" s="122">
        <v>25</v>
      </c>
      <c r="I31" s="123">
        <v>25</v>
      </c>
      <c r="J31" s="123">
        <v>25</v>
      </c>
      <c r="K31" s="123">
        <v>0</v>
      </c>
      <c r="L31" s="122">
        <v>35</v>
      </c>
      <c r="M31" s="123">
        <v>35</v>
      </c>
      <c r="N31" s="123">
        <v>0</v>
      </c>
      <c r="O31" s="123">
        <v>15</v>
      </c>
      <c r="P31" s="122">
        <v>70</v>
      </c>
      <c r="Q31" s="123">
        <v>55</v>
      </c>
      <c r="R31" s="123">
        <v>20</v>
      </c>
      <c r="S31" s="123">
        <v>15</v>
      </c>
      <c r="T31" s="122">
        <v>10</v>
      </c>
      <c r="U31" s="123">
        <v>10</v>
      </c>
      <c r="V31" s="123">
        <v>0</v>
      </c>
      <c r="W31" s="123">
        <v>10</v>
      </c>
      <c r="X31" s="122">
        <v>0</v>
      </c>
      <c r="Y31" s="123">
        <v>0</v>
      </c>
      <c r="Z31" s="123">
        <v>0</v>
      </c>
      <c r="AA31" s="123">
        <v>0</v>
      </c>
      <c r="AB31" s="136">
        <f t="shared" si="0"/>
        <v>223.75189447679995</v>
      </c>
      <c r="AC31" s="137">
        <f t="shared" si="1"/>
        <v>225.39908223999996</v>
      </c>
      <c r="AD31" s="137">
        <f t="shared" si="2"/>
        <v>246.34640808959995</v>
      </c>
      <c r="AE31" s="122">
        <f t="shared" si="3"/>
        <v>303.75189447679998</v>
      </c>
      <c r="AF31" s="123">
        <f t="shared" si="4"/>
        <v>290.39908223999998</v>
      </c>
      <c r="AG31" s="123">
        <f t="shared" si="5"/>
        <v>266.34640808959995</v>
      </c>
      <c r="AH31" s="123">
        <f t="shared" si="6"/>
        <v>25</v>
      </c>
      <c r="AI31" s="298">
        <f t="shared" si="7"/>
        <v>101723351308.15417</v>
      </c>
      <c r="AJ31" s="122">
        <v>109</v>
      </c>
      <c r="AK31" s="123">
        <v>105</v>
      </c>
      <c r="AL31" s="123">
        <v>115</v>
      </c>
      <c r="AM31" s="138">
        <f t="shared" si="8"/>
        <v>1568.7594723839998</v>
      </c>
      <c r="AN31" s="139">
        <f t="shared" si="9"/>
        <v>1576.9954111999998</v>
      </c>
      <c r="AO31" s="139">
        <f t="shared" si="10"/>
        <v>1681.7320404479997</v>
      </c>
      <c r="AP31" s="140">
        <v>8.14</v>
      </c>
      <c r="AQ31" s="141">
        <v>8.25</v>
      </c>
      <c r="AR31" s="141">
        <v>9.08</v>
      </c>
      <c r="AS31" s="138">
        <f t="shared" si="11"/>
        <v>20.254924799999998</v>
      </c>
      <c r="AT31" s="139">
        <f t="shared" si="12"/>
        <v>20.528639999999999</v>
      </c>
      <c r="AU31" s="139">
        <f t="shared" si="13"/>
        <v>22.593945599999994</v>
      </c>
    </row>
    <row r="32" spans="1:47" ht="14.25" customHeight="1" x14ac:dyDescent="0.25">
      <c r="A32" s="35" t="s">
        <v>78</v>
      </c>
      <c r="B32" s="120" t="s">
        <v>332</v>
      </c>
      <c r="C32" s="121" t="s">
        <v>286</v>
      </c>
      <c r="D32" s="135" t="str">
        <f>IF(ISNUMBER(MATCH(Table19[[#This Row],[General]],COVENANTS!$A$2:$A$100,0)), "Y","N")</f>
        <v>N</v>
      </c>
      <c r="E32" s="135" t="str">
        <f>IF(ISNUMBER(MATCH(Table19[[#This Row],[General]],COVENANTS!$B$2:$B$100,0)), "Y","N")</f>
        <v>N</v>
      </c>
      <c r="F32" s="135" t="str">
        <f>IF(ISNUMBER(MATCH(Table19[[#This Row],[General]],COVENANTS!$C$2:$C$100,0)), "Y","N")</f>
        <v>N</v>
      </c>
      <c r="G32" s="135" t="str">
        <f>IF(ISNUMBER(MATCH(Table19[[#This Row],[General]],COVENANTS!$D$2:$D$100,0)), "Y","N")</f>
        <v>N</v>
      </c>
      <c r="H32" s="122">
        <v>25</v>
      </c>
      <c r="I32" s="123">
        <v>25</v>
      </c>
      <c r="J32" s="123">
        <v>25</v>
      </c>
      <c r="K32" s="123">
        <v>12</v>
      </c>
      <c r="L32" s="122">
        <v>35</v>
      </c>
      <c r="M32" s="123">
        <v>20</v>
      </c>
      <c r="N32" s="123">
        <v>0</v>
      </c>
      <c r="O32" s="123">
        <v>0</v>
      </c>
      <c r="P32" s="122">
        <v>60</v>
      </c>
      <c r="Q32" s="123">
        <v>40</v>
      </c>
      <c r="R32" s="123">
        <v>30</v>
      </c>
      <c r="S32" s="123">
        <v>14</v>
      </c>
      <c r="T32" s="122">
        <v>45</v>
      </c>
      <c r="U32" s="123">
        <v>10</v>
      </c>
      <c r="V32" s="123">
        <v>40</v>
      </c>
      <c r="W32" s="123">
        <v>0</v>
      </c>
      <c r="X32" s="122">
        <v>0</v>
      </c>
      <c r="Y32" s="123">
        <v>0</v>
      </c>
      <c r="Z32" s="123">
        <v>0</v>
      </c>
      <c r="AA32" s="123">
        <v>0</v>
      </c>
      <c r="AB32" s="136">
        <f t="shared" si="0"/>
        <v>243.12620881919995</v>
      </c>
      <c r="AC32" s="137">
        <f t="shared" si="1"/>
        <v>241.37086781439993</v>
      </c>
      <c r="AD32" s="137">
        <f t="shared" si="2"/>
        <v>242.91420881919996</v>
      </c>
      <c r="AE32" s="122">
        <f t="shared" si="3"/>
        <v>348.12620881919997</v>
      </c>
      <c r="AF32" s="123">
        <f t="shared" si="4"/>
        <v>291.37086781439996</v>
      </c>
      <c r="AG32" s="123">
        <f t="shared" si="5"/>
        <v>312.91420881919998</v>
      </c>
      <c r="AH32" s="123">
        <f t="shared" si="6"/>
        <v>14</v>
      </c>
      <c r="AI32" s="298">
        <f t="shared" si="7"/>
        <v>101352687023.27625</v>
      </c>
      <c r="AJ32" s="122">
        <v>118</v>
      </c>
      <c r="AK32" s="123">
        <v>114</v>
      </c>
      <c r="AL32" s="123">
        <v>117</v>
      </c>
      <c r="AM32" s="138">
        <f t="shared" si="8"/>
        <v>1665.6310440959996</v>
      </c>
      <c r="AN32" s="139">
        <f t="shared" si="9"/>
        <v>1656.8543390719997</v>
      </c>
      <c r="AO32" s="139">
        <f t="shared" si="10"/>
        <v>1664.5710440959997</v>
      </c>
      <c r="AP32" s="140">
        <v>8.91</v>
      </c>
      <c r="AQ32" s="141">
        <v>8.8699999999999992</v>
      </c>
      <c r="AR32" s="141">
        <v>8.91</v>
      </c>
      <c r="AS32" s="138">
        <f t="shared" si="11"/>
        <v>22.170931199999995</v>
      </c>
      <c r="AT32" s="139">
        <f t="shared" si="12"/>
        <v>22.071398399999993</v>
      </c>
      <c r="AU32" s="139">
        <f t="shared" si="13"/>
        <v>22.170931199999995</v>
      </c>
    </row>
    <row r="33" spans="1:47" ht="14.25" customHeight="1" x14ac:dyDescent="0.25">
      <c r="A33" s="35" t="s">
        <v>79</v>
      </c>
      <c r="B33" s="120" t="s">
        <v>332</v>
      </c>
      <c r="C33" s="121" t="s">
        <v>531</v>
      </c>
      <c r="D33" s="135" t="str">
        <f>IF(ISNUMBER(MATCH(Table19[[#This Row],[General]],COVENANTS!$A$2:$A$100,0)), "Y","N")</f>
        <v>N</v>
      </c>
      <c r="E33" s="135" t="str">
        <f>IF(ISNUMBER(MATCH(Table19[[#This Row],[General]],COVENANTS!$B$2:$B$100,0)), "Y","N")</f>
        <v>N</v>
      </c>
      <c r="F33" s="135" t="str">
        <f>IF(ISNUMBER(MATCH(Table19[[#This Row],[General]],COVENANTS!$C$2:$C$100,0)), "Y","N")</f>
        <v>N</v>
      </c>
      <c r="G33" s="135" t="str">
        <f>IF(ISNUMBER(MATCH(Table19[[#This Row],[General]],COVENANTS!$D$2:$D$100,0)), "Y","N")</f>
        <v>Y</v>
      </c>
      <c r="H33" s="122">
        <v>25</v>
      </c>
      <c r="I33" s="123">
        <v>25</v>
      </c>
      <c r="J33" s="123">
        <v>25</v>
      </c>
      <c r="K33" s="123">
        <v>12</v>
      </c>
      <c r="L33" s="122">
        <v>30</v>
      </c>
      <c r="M33" s="123">
        <v>30</v>
      </c>
      <c r="N33" s="123">
        <v>0</v>
      </c>
      <c r="O33" s="123">
        <v>0</v>
      </c>
      <c r="P33" s="122">
        <v>60</v>
      </c>
      <c r="Q33" s="123">
        <v>55</v>
      </c>
      <c r="R33" s="123">
        <v>35</v>
      </c>
      <c r="S33" s="123">
        <v>14</v>
      </c>
      <c r="T33" s="122">
        <v>46</v>
      </c>
      <c r="U33" s="123">
        <v>30</v>
      </c>
      <c r="V33" s="123">
        <v>10</v>
      </c>
      <c r="W33" s="123">
        <v>0</v>
      </c>
      <c r="X33" s="122">
        <v>0</v>
      </c>
      <c r="Y33" s="123">
        <v>0</v>
      </c>
      <c r="Z33" s="123">
        <v>0</v>
      </c>
      <c r="AA33" s="123">
        <v>0</v>
      </c>
      <c r="AB33" s="136">
        <f t="shared" si="0"/>
        <v>240.00985630719998</v>
      </c>
      <c r="AC33" s="137">
        <f t="shared" si="1"/>
        <v>253.53095987199995</v>
      </c>
      <c r="AD33" s="137">
        <f t="shared" si="2"/>
        <v>239.11735055359995</v>
      </c>
      <c r="AE33" s="122">
        <f t="shared" si="3"/>
        <v>346.00985630719998</v>
      </c>
      <c r="AF33" s="123">
        <f t="shared" si="4"/>
        <v>338.53095987199993</v>
      </c>
      <c r="AG33" s="123">
        <f t="shared" si="5"/>
        <v>284.11735055359998</v>
      </c>
      <c r="AH33" s="123">
        <f t="shared" si="6"/>
        <v>14</v>
      </c>
      <c r="AI33" s="298">
        <f t="shared" si="7"/>
        <v>100815217610.2406</v>
      </c>
      <c r="AJ33" s="122">
        <v>114</v>
      </c>
      <c r="AK33" s="123">
        <v>120</v>
      </c>
      <c r="AL33" s="123">
        <v>113</v>
      </c>
      <c r="AM33" s="138">
        <f t="shared" si="8"/>
        <v>1650.0492815359999</v>
      </c>
      <c r="AN33" s="139">
        <f t="shared" si="9"/>
        <v>1717.6547993599997</v>
      </c>
      <c r="AO33" s="139">
        <f t="shared" si="10"/>
        <v>1645.5867527679998</v>
      </c>
      <c r="AP33" s="140">
        <v>8.81</v>
      </c>
      <c r="AQ33" s="141">
        <v>9.35</v>
      </c>
      <c r="AR33" s="141">
        <v>8.7799999999999994</v>
      </c>
      <c r="AS33" s="138">
        <f t="shared" si="11"/>
        <v>21.922099199999998</v>
      </c>
      <c r="AT33" s="139">
        <f t="shared" si="12"/>
        <v>23.265791999999994</v>
      </c>
      <c r="AU33" s="139">
        <f t="shared" si="13"/>
        <v>21.847449599999994</v>
      </c>
    </row>
    <row r="34" spans="1:47" ht="14.25" customHeight="1" x14ac:dyDescent="0.25">
      <c r="A34" s="35" t="s">
        <v>80</v>
      </c>
      <c r="B34" s="120" t="s">
        <v>332</v>
      </c>
      <c r="C34" s="121" t="s">
        <v>130</v>
      </c>
      <c r="D34" s="135" t="str">
        <f>IF(ISNUMBER(MATCH(Table19[[#This Row],[General]],COVENANTS!$A$2:$A$100,0)), "Y","N")</f>
        <v>Y</v>
      </c>
      <c r="E34" s="135" t="str">
        <f>IF(ISNUMBER(MATCH(Table19[[#This Row],[General]],COVENANTS!$B$2:$B$100,0)), "Y","N")</f>
        <v>N</v>
      </c>
      <c r="F34" s="135" t="str">
        <f>IF(ISNUMBER(MATCH(Table19[[#This Row],[General]],COVENANTS!$C$2:$C$100,0)), "Y","N")</f>
        <v>N</v>
      </c>
      <c r="G34" s="135" t="str">
        <f>IF(ISNUMBER(MATCH(Table19[[#This Row],[General]],COVENANTS!$D$2:$D$100,0)), "Y","N")</f>
        <v>Y</v>
      </c>
      <c r="H34" s="122">
        <v>25</v>
      </c>
      <c r="I34" s="123">
        <v>25</v>
      </c>
      <c r="J34" s="123">
        <v>25</v>
      </c>
      <c r="K34" s="123">
        <v>12</v>
      </c>
      <c r="L34" s="122">
        <v>35</v>
      </c>
      <c r="M34" s="123">
        <v>35</v>
      </c>
      <c r="N34" s="123">
        <v>30</v>
      </c>
      <c r="O34" s="123">
        <v>0</v>
      </c>
      <c r="P34" s="122">
        <v>65</v>
      </c>
      <c r="Q34" s="123">
        <v>70</v>
      </c>
      <c r="R34" s="123">
        <v>55</v>
      </c>
      <c r="S34" s="123">
        <v>0</v>
      </c>
      <c r="T34" s="122">
        <v>35</v>
      </c>
      <c r="U34" s="123">
        <v>20</v>
      </c>
      <c r="V34" s="123">
        <v>10</v>
      </c>
      <c r="W34" s="123">
        <v>6</v>
      </c>
      <c r="X34" s="122">
        <v>5</v>
      </c>
      <c r="Y34" s="123">
        <v>0</v>
      </c>
      <c r="Z34" s="123">
        <v>15</v>
      </c>
      <c r="AA34" s="123">
        <v>8</v>
      </c>
      <c r="AB34" s="136">
        <f t="shared" si="0"/>
        <v>237.87502105599998</v>
      </c>
      <c r="AC34" s="137">
        <f t="shared" si="1"/>
        <v>239.20636206079993</v>
      </c>
      <c r="AD34" s="137">
        <f t="shared" si="2"/>
        <v>249.68959585279995</v>
      </c>
      <c r="AE34" s="122">
        <f t="shared" si="3"/>
        <v>342.87502105599998</v>
      </c>
      <c r="AF34" s="123">
        <f t="shared" si="4"/>
        <v>329.20636206079996</v>
      </c>
      <c r="AG34" s="123">
        <f t="shared" si="5"/>
        <v>329.68959585279993</v>
      </c>
      <c r="AH34" s="123">
        <f t="shared" si="6"/>
        <v>14</v>
      </c>
      <c r="AI34" s="298">
        <f t="shared" si="7"/>
        <v>100019094066.13708</v>
      </c>
      <c r="AJ34" s="122">
        <v>105</v>
      </c>
      <c r="AK34" s="123">
        <v>107</v>
      </c>
      <c r="AL34" s="123">
        <v>119</v>
      </c>
      <c r="AM34" s="138">
        <f t="shared" si="8"/>
        <v>1639.3751052799998</v>
      </c>
      <c r="AN34" s="139">
        <f t="shared" si="9"/>
        <v>1646.0318103039997</v>
      </c>
      <c r="AO34" s="139">
        <f t="shared" si="10"/>
        <v>1698.4479792639997</v>
      </c>
      <c r="AP34" s="140">
        <v>8.8000000000000007</v>
      </c>
      <c r="AQ34" s="141">
        <v>8.84</v>
      </c>
      <c r="AR34" s="141">
        <v>9.19</v>
      </c>
      <c r="AS34" s="138">
        <f t="shared" si="11"/>
        <v>21.897215999999997</v>
      </c>
      <c r="AT34" s="139">
        <f t="shared" si="12"/>
        <v>21.996748799999995</v>
      </c>
      <c r="AU34" s="139">
        <f t="shared" si="13"/>
        <v>22.867660799999992</v>
      </c>
    </row>
    <row r="35" spans="1:47" ht="14.25" customHeight="1" x14ac:dyDescent="0.25">
      <c r="A35" s="35" t="s">
        <v>81</v>
      </c>
      <c r="B35" s="120" t="s">
        <v>333</v>
      </c>
      <c r="C35" s="121" t="s">
        <v>131</v>
      </c>
      <c r="D35" s="135" t="str">
        <f>IF(ISNUMBER(MATCH(Table19[[#This Row],[General]],COVENANTS!$A$2:$A$100,0)), "Y","N")</f>
        <v>N</v>
      </c>
      <c r="E35" s="135" t="str">
        <f>IF(ISNUMBER(MATCH(Table19[[#This Row],[General]],COVENANTS!$B$2:$B$100,0)), "Y","N")</f>
        <v>Y</v>
      </c>
      <c r="F35" s="135" t="str">
        <f>IF(ISNUMBER(MATCH(Table19[[#This Row],[General]],COVENANTS!$C$2:$C$100,0)), "Y","N")</f>
        <v>N</v>
      </c>
      <c r="G35" s="135" t="str">
        <f>IF(ISNUMBER(MATCH(Table19[[#This Row],[General]],COVENANTS!$D$2:$D$100,0)), "Y","N")</f>
        <v>Y</v>
      </c>
      <c r="H35" s="122">
        <v>25</v>
      </c>
      <c r="I35" s="123">
        <v>25</v>
      </c>
      <c r="J35" s="123">
        <v>25</v>
      </c>
      <c r="K35" s="123">
        <v>12</v>
      </c>
      <c r="L35" s="122">
        <v>35</v>
      </c>
      <c r="M35" s="123">
        <v>0</v>
      </c>
      <c r="N35" s="123">
        <v>0</v>
      </c>
      <c r="O35" s="123">
        <v>0</v>
      </c>
      <c r="P35" s="122">
        <v>70</v>
      </c>
      <c r="Q35" s="123">
        <v>45</v>
      </c>
      <c r="R35" s="123">
        <v>10</v>
      </c>
      <c r="S35" s="123">
        <v>0</v>
      </c>
      <c r="T35" s="122">
        <v>60</v>
      </c>
      <c r="U35" s="123">
        <v>40</v>
      </c>
      <c r="V35" s="123">
        <v>10</v>
      </c>
      <c r="W35" s="123">
        <v>6</v>
      </c>
      <c r="X35" s="122">
        <v>0</v>
      </c>
      <c r="Y35" s="123">
        <v>0</v>
      </c>
      <c r="Z35" s="123">
        <v>0</v>
      </c>
      <c r="AA35" s="123">
        <v>0</v>
      </c>
      <c r="AB35" s="136">
        <f t="shared" ref="AB35:AB56" si="14">900*0.1+(AM35-900)*0.2</f>
        <v>246.27223183359999</v>
      </c>
      <c r="AC35" s="137">
        <f t="shared" ref="AC35:AC56" si="15">900*0.1+(AN35-900)*0.2</f>
        <v>245.42423183359998</v>
      </c>
      <c r="AD35" s="137">
        <f t="shared" ref="AD35:AD56" si="16">900*0.1+(AO35-900)*0.2</f>
        <v>238.87568005119994</v>
      </c>
      <c r="AE35" s="122">
        <f t="shared" ref="AE35:AE56" si="17">P35+T35+X35+AB35</f>
        <v>376.27223183360002</v>
      </c>
      <c r="AF35" s="123">
        <f t="shared" ref="AF35:AF56" si="18">Q35+U35+Y35+AC35</f>
        <v>330.42423183359995</v>
      </c>
      <c r="AG35" s="123">
        <f t="shared" ref="AG35:AG56" si="19">R35+V35+Z35+AD35</f>
        <v>258.87568005119994</v>
      </c>
      <c r="AH35" s="123">
        <f t="shared" ref="AH35:AH56" si="20">S35+W35+AA35</f>
        <v>6</v>
      </c>
      <c r="AI35" s="298">
        <f t="shared" ref="AI35:AI56" si="21">(AW$2*(AH35/100)+AW$2+AW$3)*(AX$2*(AE35/100)+AX$2+AX$3)-AY$2</f>
        <v>99779821569.33667</v>
      </c>
      <c r="AJ35" s="122">
        <v>120</v>
      </c>
      <c r="AK35" s="123">
        <v>116</v>
      </c>
      <c r="AL35" s="123">
        <v>114</v>
      </c>
      <c r="AM35" s="138">
        <f t="shared" ref="AM35:AM56" si="22">(AJ35+AS35*(AX$9-1))+500+((AJ35+AS35*(AX$9-1))+500)*$AY$10</f>
        <v>1681.3611591679999</v>
      </c>
      <c r="AN35" s="139">
        <f t="shared" ref="AN35:AN56" si="23">(AK35+AT35*(AX$9-1))+500+((AK35+AT35*(AX$9-1))+500)*$AY$10</f>
        <v>1677.1211591679998</v>
      </c>
      <c r="AO35" s="139">
        <f t="shared" ref="AO35:AO56" si="24">(AL35+AU35*(AX$9-1))+500+((AL35+AU35*(AX$9-1))+500)*$AY$10</f>
        <v>1644.3784002559996</v>
      </c>
      <c r="AP35" s="140">
        <v>9.0299999999999994</v>
      </c>
      <c r="AQ35" s="141">
        <v>9.0299999999999994</v>
      </c>
      <c r="AR35" s="141">
        <v>8.76</v>
      </c>
      <c r="AS35" s="138">
        <f t="shared" ref="AS35:AS56" si="25">(((((1+20/100)*$AP35)*(1+20/100)))*(1+20/100))*(1+20/100)*(1+20/100)</f>
        <v>22.469529599999994</v>
      </c>
      <c r="AT35" s="139">
        <f t="shared" ref="AT35:AT56" si="26">(((((1+20/100)*$AQ35)*(1+20/100)))*(1+20/100))*(1+20/100)*(1+20/100)</f>
        <v>22.469529599999994</v>
      </c>
      <c r="AU35" s="139">
        <f t="shared" ref="AU35:AU56" si="27">(((((1+20/100)*$AR35)*(1+20/100)))*(1+20/100))*(1+20/100)*(1+20/100)</f>
        <v>21.797683199999991</v>
      </c>
    </row>
    <row r="36" spans="1:47" ht="14.25" customHeight="1" x14ac:dyDescent="0.25">
      <c r="A36" s="35" t="s">
        <v>207</v>
      </c>
      <c r="B36" s="120" t="s">
        <v>332</v>
      </c>
      <c r="C36" s="142" t="s">
        <v>132</v>
      </c>
      <c r="D36" s="135" t="str">
        <f>IF(ISNUMBER(MATCH(Table19[[#This Row],[General]],COVENANTS!$A$2:$A$100,0)), "Y","N")</f>
        <v>N</v>
      </c>
      <c r="E36" s="135" t="str">
        <f>IF(ISNUMBER(MATCH(Table19[[#This Row],[General]],COVENANTS!$B$2:$B$100,0)), "Y","N")</f>
        <v>N</v>
      </c>
      <c r="F36" s="135" t="str">
        <f>IF(ISNUMBER(MATCH(Table19[[#This Row],[General]],COVENANTS!$C$2:$C$100,0)), "Y","N")</f>
        <v>N</v>
      </c>
      <c r="G36" s="135" t="str">
        <f>IF(ISNUMBER(MATCH(Table19[[#This Row],[General]],COVENANTS!$D$2:$D$100,0)), "Y","N")</f>
        <v>N</v>
      </c>
      <c r="H36" s="122">
        <v>25</v>
      </c>
      <c r="I36" s="123">
        <v>25</v>
      </c>
      <c r="J36" s="123">
        <v>25</v>
      </c>
      <c r="K36" s="123">
        <v>12</v>
      </c>
      <c r="L36" s="122">
        <v>15</v>
      </c>
      <c r="M36" s="123">
        <v>0</v>
      </c>
      <c r="N36" s="123">
        <v>0</v>
      </c>
      <c r="O36" s="123">
        <v>10</v>
      </c>
      <c r="P36" s="122">
        <v>50</v>
      </c>
      <c r="Q36" s="123">
        <v>35</v>
      </c>
      <c r="R36" s="123">
        <v>35</v>
      </c>
      <c r="S36" s="123">
        <v>10</v>
      </c>
      <c r="T36" s="122">
        <v>46</v>
      </c>
      <c r="U36" s="123">
        <v>26</v>
      </c>
      <c r="V36" s="123">
        <v>36</v>
      </c>
      <c r="W36" s="123">
        <v>6</v>
      </c>
      <c r="X36" s="122">
        <v>0</v>
      </c>
      <c r="Y36" s="123">
        <v>0</v>
      </c>
      <c r="Z36" s="123">
        <v>0</v>
      </c>
      <c r="AA36" s="123">
        <v>0</v>
      </c>
      <c r="AB36" s="136">
        <f t="shared" si="14"/>
        <v>229.90611676159998</v>
      </c>
      <c r="AC36" s="137">
        <f t="shared" si="15"/>
        <v>231.23745776639998</v>
      </c>
      <c r="AD36" s="137">
        <f t="shared" si="16"/>
        <v>247.93425484800002</v>
      </c>
      <c r="AE36" s="122">
        <f t="shared" si="17"/>
        <v>325.90611676159995</v>
      </c>
      <c r="AF36" s="123">
        <f t="shared" si="18"/>
        <v>292.23745776639998</v>
      </c>
      <c r="AG36" s="123">
        <f t="shared" si="19"/>
        <v>318.93425484800002</v>
      </c>
      <c r="AH36" s="123">
        <f t="shared" si="20"/>
        <v>16</v>
      </c>
      <c r="AI36" s="298">
        <f t="shared" si="21"/>
        <v>97845531670.746704</v>
      </c>
      <c r="AJ36" s="122">
        <v>107</v>
      </c>
      <c r="AK36" s="123">
        <v>109</v>
      </c>
      <c r="AL36" s="123">
        <v>115</v>
      </c>
      <c r="AM36" s="138">
        <f t="shared" si="22"/>
        <v>1599.5305838079998</v>
      </c>
      <c r="AN36" s="139">
        <f t="shared" si="23"/>
        <v>1606.1872888319999</v>
      </c>
      <c r="AO36" s="139">
        <f t="shared" si="24"/>
        <v>1689.67127424</v>
      </c>
      <c r="AP36" s="140">
        <v>8.43</v>
      </c>
      <c r="AQ36" s="141">
        <v>8.4700000000000006</v>
      </c>
      <c r="AR36" s="141">
        <v>9.15</v>
      </c>
      <c r="AS36" s="138">
        <f t="shared" si="25"/>
        <v>20.976537599999997</v>
      </c>
      <c r="AT36" s="139">
        <f t="shared" si="26"/>
        <v>21.076070399999995</v>
      </c>
      <c r="AU36" s="139">
        <f t="shared" si="27"/>
        <v>22.768128000000001</v>
      </c>
    </row>
    <row r="37" spans="1:47" ht="14.25" customHeight="1" x14ac:dyDescent="0.25">
      <c r="A37" s="35" t="s">
        <v>210</v>
      </c>
      <c r="B37" s="120" t="s">
        <v>333</v>
      </c>
      <c r="C37" s="142" t="s">
        <v>133</v>
      </c>
      <c r="D37" s="135" t="str">
        <f>IF(ISNUMBER(MATCH(Table19[[#This Row],[General]],COVENANTS!$A$2:$A$100,0)), "Y","N")</f>
        <v>N</v>
      </c>
      <c r="E37" s="135" t="str">
        <f>IF(ISNUMBER(MATCH(Table19[[#This Row],[General]],COVENANTS!$B$2:$B$100,0)), "Y","N")</f>
        <v>Y</v>
      </c>
      <c r="F37" s="135" t="str">
        <f>IF(ISNUMBER(MATCH(Table19[[#This Row],[General]],COVENANTS!$C$2:$C$100,0)), "Y","N")</f>
        <v>N</v>
      </c>
      <c r="G37" s="135" t="str">
        <f>IF(ISNUMBER(MATCH(Table19[[#This Row],[General]],COVENANTS!$D$2:$D$100,0)), "Y","N")</f>
        <v>N</v>
      </c>
      <c r="H37" s="122">
        <v>0</v>
      </c>
      <c r="I37" s="123">
        <v>25</v>
      </c>
      <c r="J37" s="123">
        <v>25</v>
      </c>
      <c r="K37" s="123">
        <v>12</v>
      </c>
      <c r="L37" s="122">
        <v>25</v>
      </c>
      <c r="M37" s="123">
        <v>0</v>
      </c>
      <c r="N37" s="123">
        <v>0</v>
      </c>
      <c r="O37" s="123">
        <v>0</v>
      </c>
      <c r="P37" s="122">
        <v>45</v>
      </c>
      <c r="Q37" s="123">
        <v>15</v>
      </c>
      <c r="R37" s="123">
        <v>15</v>
      </c>
      <c r="S37" s="123">
        <v>10</v>
      </c>
      <c r="T37" s="122">
        <v>30</v>
      </c>
      <c r="U37" s="123">
        <v>20</v>
      </c>
      <c r="V37" s="123">
        <v>30</v>
      </c>
      <c r="W37" s="123">
        <v>6</v>
      </c>
      <c r="X37" s="122">
        <v>0</v>
      </c>
      <c r="Y37" s="123">
        <v>0</v>
      </c>
      <c r="Z37" s="123">
        <v>0</v>
      </c>
      <c r="AA37" s="123">
        <v>0</v>
      </c>
      <c r="AB37" s="136">
        <f t="shared" si="14"/>
        <v>239.17669155839999</v>
      </c>
      <c r="AC37" s="137">
        <f t="shared" si="15"/>
        <v>236.01583329279993</v>
      </c>
      <c r="AD37" s="137">
        <f t="shared" si="16"/>
        <v>244.57623183359999</v>
      </c>
      <c r="AE37" s="122">
        <f t="shared" si="17"/>
        <v>314.17669155839997</v>
      </c>
      <c r="AF37" s="123">
        <f t="shared" si="18"/>
        <v>271.01583329279993</v>
      </c>
      <c r="AG37" s="123">
        <f t="shared" si="19"/>
        <v>289.57623183359999</v>
      </c>
      <c r="AH37" s="123">
        <f t="shared" si="20"/>
        <v>16</v>
      </c>
      <c r="AI37" s="298">
        <f t="shared" si="21"/>
        <v>94856396858.659912</v>
      </c>
      <c r="AJ37" s="122">
        <v>109</v>
      </c>
      <c r="AK37" s="123">
        <v>108</v>
      </c>
      <c r="AL37" s="123">
        <v>112</v>
      </c>
      <c r="AM37" s="138">
        <f t="shared" si="22"/>
        <v>1645.8834577919999</v>
      </c>
      <c r="AN37" s="139">
        <f t="shared" si="23"/>
        <v>1630.0791664639996</v>
      </c>
      <c r="AO37" s="139">
        <f t="shared" si="24"/>
        <v>1672.8811591679998</v>
      </c>
      <c r="AP37" s="140">
        <v>8.82</v>
      </c>
      <c r="AQ37" s="141">
        <v>8.69</v>
      </c>
      <c r="AR37" s="141">
        <v>9.0299999999999994</v>
      </c>
      <c r="AS37" s="138">
        <f t="shared" si="25"/>
        <v>21.946982399999996</v>
      </c>
      <c r="AT37" s="139">
        <f t="shared" si="26"/>
        <v>21.623500799999992</v>
      </c>
      <c r="AU37" s="139">
        <f t="shared" si="27"/>
        <v>22.469529599999994</v>
      </c>
    </row>
    <row r="38" spans="1:47" ht="14.25" customHeight="1" x14ac:dyDescent="0.25">
      <c r="A38" s="35" t="s">
        <v>211</v>
      </c>
      <c r="B38" s="120" t="s">
        <v>332</v>
      </c>
      <c r="C38" s="142" t="s">
        <v>134</v>
      </c>
      <c r="D38" s="135" t="str">
        <f>IF(ISNUMBER(MATCH(Table19[[#This Row],[General]],COVENANTS!$A$2:$A$100,0)), "Y","N")</f>
        <v>N</v>
      </c>
      <c r="E38" s="135" t="str">
        <f>IF(ISNUMBER(MATCH(Table19[[#This Row],[General]],COVENANTS!$B$2:$B$100,0)), "Y","N")</f>
        <v>N</v>
      </c>
      <c r="F38" s="135" t="str">
        <f>IF(ISNUMBER(MATCH(Table19[[#This Row],[General]],COVENANTS!$C$2:$C$100,0)), "Y","N")</f>
        <v>N</v>
      </c>
      <c r="G38" s="135" t="str">
        <f>IF(ISNUMBER(MATCH(Table19[[#This Row],[General]],COVENANTS!$D$2:$D$100,0)), "Y","N")</f>
        <v>Y</v>
      </c>
      <c r="H38" s="122">
        <v>25</v>
      </c>
      <c r="I38" s="123">
        <v>25</v>
      </c>
      <c r="J38" s="123">
        <v>25</v>
      </c>
      <c r="K38" s="123">
        <v>12</v>
      </c>
      <c r="L38" s="122">
        <v>40</v>
      </c>
      <c r="M38" s="123">
        <v>30</v>
      </c>
      <c r="N38" s="123">
        <v>0</v>
      </c>
      <c r="O38" s="123">
        <v>0</v>
      </c>
      <c r="P38" s="122">
        <v>65</v>
      </c>
      <c r="Q38" s="123">
        <v>40</v>
      </c>
      <c r="R38" s="123">
        <v>30</v>
      </c>
      <c r="S38" s="123">
        <v>0</v>
      </c>
      <c r="T38" s="122">
        <v>70</v>
      </c>
      <c r="U38" s="123">
        <v>20</v>
      </c>
      <c r="V38" s="123">
        <v>30</v>
      </c>
      <c r="W38" s="123">
        <v>0</v>
      </c>
      <c r="X38" s="122">
        <v>0</v>
      </c>
      <c r="Y38" s="123">
        <v>0</v>
      </c>
      <c r="Z38" s="123">
        <v>0</v>
      </c>
      <c r="AA38" s="123">
        <v>0</v>
      </c>
      <c r="AB38" s="136">
        <f t="shared" si="14"/>
        <v>241.99203256319998</v>
      </c>
      <c r="AC38" s="137">
        <f t="shared" si="15"/>
        <v>246.1344080895999</v>
      </c>
      <c r="AD38" s="137">
        <f t="shared" si="16"/>
        <v>243.33820881919993</v>
      </c>
      <c r="AE38" s="122">
        <f t="shared" si="17"/>
        <v>376.99203256319998</v>
      </c>
      <c r="AF38" s="123">
        <f t="shared" si="18"/>
        <v>306.1344080895999</v>
      </c>
      <c r="AG38" s="123">
        <f t="shared" si="19"/>
        <v>303.33820881919996</v>
      </c>
      <c r="AH38" s="123">
        <f t="shared" si="20"/>
        <v>0</v>
      </c>
      <c r="AI38" s="298">
        <f t="shared" si="21"/>
        <v>93417558781.70874</v>
      </c>
      <c r="AJ38" s="122">
        <v>118</v>
      </c>
      <c r="AK38" s="123">
        <v>114</v>
      </c>
      <c r="AL38" s="123">
        <v>119</v>
      </c>
      <c r="AM38" s="138">
        <f t="shared" si="22"/>
        <v>1659.9601628159999</v>
      </c>
      <c r="AN38" s="139">
        <f t="shared" si="23"/>
        <v>1680.6720404479995</v>
      </c>
      <c r="AO38" s="139">
        <f t="shared" si="24"/>
        <v>1666.6910440959996</v>
      </c>
      <c r="AP38" s="140">
        <v>8.86</v>
      </c>
      <c r="AQ38" s="141">
        <v>9.08</v>
      </c>
      <c r="AR38" s="141">
        <v>8.91</v>
      </c>
      <c r="AS38" s="138">
        <f t="shared" si="25"/>
        <v>22.046515199999998</v>
      </c>
      <c r="AT38" s="139">
        <f t="shared" si="26"/>
        <v>22.593945599999994</v>
      </c>
      <c r="AU38" s="139">
        <f t="shared" si="27"/>
        <v>22.170931199999995</v>
      </c>
    </row>
    <row r="39" spans="1:47" ht="14.25" customHeight="1" x14ac:dyDescent="0.25">
      <c r="A39" s="35" t="s">
        <v>212</v>
      </c>
      <c r="B39" s="120" t="s">
        <v>332</v>
      </c>
      <c r="C39" s="142" t="s">
        <v>135</v>
      </c>
      <c r="D39" s="135" t="str">
        <f>IF(ISNUMBER(MATCH(Table19[[#This Row],[General]],COVENANTS!$A$2:$A$100,0)), "Y","N")</f>
        <v>N</v>
      </c>
      <c r="E39" s="135" t="str">
        <f>IF(ISNUMBER(MATCH(Table19[[#This Row],[General]],COVENANTS!$B$2:$B$100,0)), "Y","N")</f>
        <v>N</v>
      </c>
      <c r="F39" s="135" t="str">
        <f>IF(ISNUMBER(MATCH(Table19[[#This Row],[General]],COVENANTS!$C$2:$C$100,0)), "Y","N")</f>
        <v>N</v>
      </c>
      <c r="G39" s="135" t="str">
        <f>IF(ISNUMBER(MATCH(Table19[[#This Row],[General]],COVENANTS!$D$2:$D$100,0)), "Y","N")</f>
        <v>N</v>
      </c>
      <c r="H39" s="122">
        <v>25</v>
      </c>
      <c r="I39" s="123">
        <v>25</v>
      </c>
      <c r="J39" s="123">
        <v>25</v>
      </c>
      <c r="K39" s="123">
        <v>12</v>
      </c>
      <c r="L39" s="122">
        <v>35</v>
      </c>
      <c r="M39" s="123">
        <v>0</v>
      </c>
      <c r="N39" s="123">
        <v>0</v>
      </c>
      <c r="O39" s="123">
        <v>0</v>
      </c>
      <c r="P39" s="122">
        <v>70</v>
      </c>
      <c r="Q39" s="123">
        <v>30</v>
      </c>
      <c r="R39" s="123">
        <v>30</v>
      </c>
      <c r="S39" s="123">
        <v>0</v>
      </c>
      <c r="T39" s="122">
        <v>66</v>
      </c>
      <c r="U39" s="123">
        <v>10</v>
      </c>
      <c r="V39" s="123">
        <v>56</v>
      </c>
      <c r="W39" s="123">
        <v>0</v>
      </c>
      <c r="X39" s="122">
        <v>0</v>
      </c>
      <c r="Y39" s="123">
        <v>0</v>
      </c>
      <c r="Z39" s="123">
        <v>0</v>
      </c>
      <c r="AA39" s="123">
        <v>0</v>
      </c>
      <c r="AB39" s="136">
        <f t="shared" si="14"/>
        <v>238.8608448</v>
      </c>
      <c r="AC39" s="137">
        <f t="shared" si="15"/>
        <v>233.74748078079998</v>
      </c>
      <c r="AD39" s="137">
        <f t="shared" si="16"/>
        <v>248.99425484800005</v>
      </c>
      <c r="AE39" s="122">
        <f t="shared" si="17"/>
        <v>374.8608448</v>
      </c>
      <c r="AF39" s="123">
        <f t="shared" si="18"/>
        <v>273.74748078079995</v>
      </c>
      <c r="AG39" s="123">
        <f t="shared" si="19"/>
        <v>334.99425484800008</v>
      </c>
      <c r="AH39" s="123">
        <f t="shared" si="20"/>
        <v>0</v>
      </c>
      <c r="AI39" s="298">
        <f t="shared" si="21"/>
        <v>92889456485.249268</v>
      </c>
      <c r="AJ39" s="122">
        <v>115</v>
      </c>
      <c r="AK39" s="123">
        <v>108</v>
      </c>
      <c r="AL39" s="123">
        <v>120</v>
      </c>
      <c r="AM39" s="138">
        <f t="shared" si="22"/>
        <v>1644.304224</v>
      </c>
      <c r="AN39" s="139">
        <f t="shared" si="23"/>
        <v>1618.7374039039998</v>
      </c>
      <c r="AO39" s="139">
        <f t="shared" si="24"/>
        <v>1694.9712742400002</v>
      </c>
      <c r="AP39" s="140">
        <v>8.75</v>
      </c>
      <c r="AQ39" s="141">
        <v>8.59</v>
      </c>
      <c r="AR39" s="141">
        <v>9.15</v>
      </c>
      <c r="AS39" s="138">
        <f t="shared" si="25"/>
        <v>21.772799999999997</v>
      </c>
      <c r="AT39" s="139">
        <f t="shared" si="26"/>
        <v>21.374668799999998</v>
      </c>
      <c r="AU39" s="139">
        <f t="shared" si="27"/>
        <v>22.768128000000001</v>
      </c>
    </row>
    <row r="40" spans="1:47" ht="14.25" customHeight="1" x14ac:dyDescent="0.25">
      <c r="A40" s="35" t="s">
        <v>213</v>
      </c>
      <c r="B40" s="120" t="s">
        <v>332</v>
      </c>
      <c r="C40" s="142" t="s">
        <v>166</v>
      </c>
      <c r="D40" s="135" t="str">
        <f>IF(ISNUMBER(MATCH(Table19[[#This Row],[General]],COVENANTS!$A$2:$A$100,0)), "Y","N")</f>
        <v>N</v>
      </c>
      <c r="E40" s="135" t="str">
        <f>IF(ISNUMBER(MATCH(Table19[[#This Row],[General]],COVENANTS!$B$2:$B$100,0)), "Y","N")</f>
        <v>Y</v>
      </c>
      <c r="F40" s="135" t="str">
        <f>IF(ISNUMBER(MATCH(Table19[[#This Row],[General]],COVENANTS!$C$2:$C$100,0)), "Y","N")</f>
        <v>N</v>
      </c>
      <c r="G40" s="135" t="str">
        <f>IF(ISNUMBER(MATCH(Table19[[#This Row],[General]],COVENANTS!$D$2:$D$100,0)), "Y","N")</f>
        <v>N</v>
      </c>
      <c r="H40" s="122">
        <v>25</v>
      </c>
      <c r="I40" s="123">
        <v>25</v>
      </c>
      <c r="J40" s="123">
        <v>25</v>
      </c>
      <c r="K40" s="123">
        <v>0</v>
      </c>
      <c r="L40" s="122">
        <v>0</v>
      </c>
      <c r="M40" s="123">
        <v>0</v>
      </c>
      <c r="N40" s="123">
        <v>0</v>
      </c>
      <c r="O40" s="123">
        <v>15</v>
      </c>
      <c r="P40" s="122">
        <v>15</v>
      </c>
      <c r="Q40" s="123">
        <v>0</v>
      </c>
      <c r="R40" s="123">
        <v>10</v>
      </c>
      <c r="S40" s="123">
        <v>15</v>
      </c>
      <c r="T40" s="122">
        <v>10</v>
      </c>
      <c r="U40" s="123"/>
      <c r="V40" s="123">
        <v>10</v>
      </c>
      <c r="W40" s="123">
        <v>16</v>
      </c>
      <c r="X40" s="122">
        <v>0</v>
      </c>
      <c r="Y40" s="123">
        <v>0</v>
      </c>
      <c r="Z40" s="123">
        <v>0</v>
      </c>
      <c r="AA40" s="123">
        <v>0</v>
      </c>
      <c r="AB40" s="136">
        <f t="shared" si="14"/>
        <v>217.68668369920002</v>
      </c>
      <c r="AC40" s="137">
        <f t="shared" si="15"/>
        <v>235.75932753919992</v>
      </c>
      <c r="AD40" s="137">
        <f t="shared" si="16"/>
        <v>245.84823183360001</v>
      </c>
      <c r="AE40" s="122">
        <f t="shared" si="17"/>
        <v>242.68668369920002</v>
      </c>
      <c r="AF40" s="123">
        <f t="shared" si="18"/>
        <v>235.75932753919992</v>
      </c>
      <c r="AG40" s="123">
        <f t="shared" si="19"/>
        <v>265.84823183360004</v>
      </c>
      <c r="AH40" s="123">
        <f t="shared" si="20"/>
        <v>31</v>
      </c>
      <c r="AI40" s="298">
        <f t="shared" si="21"/>
        <v>92107296906.186768</v>
      </c>
      <c r="AJ40" s="122">
        <v>105</v>
      </c>
      <c r="AK40" s="123">
        <v>110</v>
      </c>
      <c r="AL40" s="123">
        <v>118</v>
      </c>
      <c r="AM40" s="138">
        <f t="shared" si="22"/>
        <v>1538.4334184960001</v>
      </c>
      <c r="AN40" s="139">
        <f t="shared" si="23"/>
        <v>1628.7966376959996</v>
      </c>
      <c r="AO40" s="139">
        <f t="shared" si="24"/>
        <v>1679.241159168</v>
      </c>
      <c r="AP40" s="140">
        <v>7.91</v>
      </c>
      <c r="AQ40" s="141">
        <v>8.66</v>
      </c>
      <c r="AR40" s="141">
        <v>9.0299999999999994</v>
      </c>
      <c r="AS40" s="138">
        <f t="shared" si="25"/>
        <v>19.682611199999997</v>
      </c>
      <c r="AT40" s="139">
        <f t="shared" si="26"/>
        <v>21.548851199999994</v>
      </c>
      <c r="AU40" s="139">
        <f t="shared" si="27"/>
        <v>22.469529599999994</v>
      </c>
    </row>
    <row r="41" spans="1:47" ht="14.25" customHeight="1" x14ac:dyDescent="0.25">
      <c r="A41" s="35" t="s">
        <v>214</v>
      </c>
      <c r="B41" s="120" t="s">
        <v>333</v>
      </c>
      <c r="C41" s="142" t="s">
        <v>137</v>
      </c>
      <c r="D41" s="135" t="str">
        <f>IF(ISNUMBER(MATCH(Table19[[#This Row],[General]],COVENANTS!$A$2:$A$100,0)), "Y","N")</f>
        <v>N</v>
      </c>
      <c r="E41" s="135" t="str">
        <f>IF(ISNUMBER(MATCH(Table19[[#This Row],[General]],COVENANTS!$B$2:$B$100,0)), "Y","N")</f>
        <v>Y</v>
      </c>
      <c r="F41" s="135" t="str">
        <f>IF(ISNUMBER(MATCH(Table19[[#This Row],[General]],COVENANTS!$C$2:$C$100,0)), "Y","N")</f>
        <v>N</v>
      </c>
      <c r="G41" s="135" t="str">
        <f>IF(ISNUMBER(MATCH(Table19[[#This Row],[General]],COVENANTS!$D$2:$D$100,0)), "Y","N")</f>
        <v>N</v>
      </c>
      <c r="H41" s="122">
        <v>0</v>
      </c>
      <c r="I41" s="123">
        <v>25</v>
      </c>
      <c r="J41" s="123">
        <v>25</v>
      </c>
      <c r="K41" s="123">
        <v>12</v>
      </c>
      <c r="L41" s="122">
        <v>35</v>
      </c>
      <c r="M41" s="123">
        <v>0</v>
      </c>
      <c r="N41" s="123">
        <v>0</v>
      </c>
      <c r="O41" s="123">
        <v>0</v>
      </c>
      <c r="P41" s="122">
        <v>60</v>
      </c>
      <c r="Q41" s="123">
        <v>10</v>
      </c>
      <c r="R41" s="123">
        <v>30</v>
      </c>
      <c r="S41" s="123">
        <v>0</v>
      </c>
      <c r="T41" s="122">
        <v>70</v>
      </c>
      <c r="U41" s="123">
        <v>20</v>
      </c>
      <c r="V41" s="123">
        <v>10</v>
      </c>
      <c r="W41" s="123">
        <v>0</v>
      </c>
      <c r="X41" s="122">
        <v>0</v>
      </c>
      <c r="Y41" s="123">
        <v>0</v>
      </c>
      <c r="Z41" s="123">
        <v>0</v>
      </c>
      <c r="AA41" s="123">
        <v>0</v>
      </c>
      <c r="AB41" s="136">
        <f t="shared" si="14"/>
        <v>237.01649228800002</v>
      </c>
      <c r="AC41" s="137">
        <f t="shared" si="15"/>
        <v>233.30864552959994</v>
      </c>
      <c r="AD41" s="137">
        <f t="shared" si="16"/>
        <v>242.80605557759995</v>
      </c>
      <c r="AE41" s="122">
        <f t="shared" si="17"/>
        <v>367.01649228799999</v>
      </c>
      <c r="AF41" s="123">
        <f t="shared" si="18"/>
        <v>263.30864552959997</v>
      </c>
      <c r="AG41" s="123">
        <f t="shared" si="19"/>
        <v>282.80605557759998</v>
      </c>
      <c r="AH41" s="123">
        <f t="shared" si="20"/>
        <v>0</v>
      </c>
      <c r="AI41" s="298">
        <f t="shared" si="21"/>
        <v>90945648132.293213</v>
      </c>
      <c r="AJ41" s="122">
        <v>117</v>
      </c>
      <c r="AK41" s="123">
        <v>107</v>
      </c>
      <c r="AL41" s="123">
        <v>109</v>
      </c>
      <c r="AM41" s="138">
        <f t="shared" si="22"/>
        <v>1635.0824614400001</v>
      </c>
      <c r="AN41" s="139">
        <f t="shared" si="23"/>
        <v>1616.5432276479996</v>
      </c>
      <c r="AO41" s="139">
        <f t="shared" si="24"/>
        <v>1664.0302778879998</v>
      </c>
      <c r="AP41" s="140">
        <v>8.65</v>
      </c>
      <c r="AQ41" s="141">
        <v>8.58</v>
      </c>
      <c r="AR41" s="141">
        <v>8.98</v>
      </c>
      <c r="AS41" s="138">
        <f t="shared" si="25"/>
        <v>21.523968</v>
      </c>
      <c r="AT41" s="139">
        <f t="shared" si="26"/>
        <v>21.349785599999993</v>
      </c>
      <c r="AU41" s="139">
        <f t="shared" si="27"/>
        <v>22.345113599999994</v>
      </c>
    </row>
    <row r="42" spans="1:47" ht="14.25" customHeight="1" x14ac:dyDescent="0.25">
      <c r="A42" s="35" t="s">
        <v>215</v>
      </c>
      <c r="B42" s="120" t="s">
        <v>333</v>
      </c>
      <c r="C42" s="142" t="s">
        <v>334</v>
      </c>
      <c r="D42" s="135" t="str">
        <f>IF(ISNUMBER(MATCH(Table19[[#This Row],[General]],COVENANTS!$A$2:$A$100,0)), "Y","N")</f>
        <v>N</v>
      </c>
      <c r="E42" s="135" t="str">
        <f>IF(ISNUMBER(MATCH(Table19[[#This Row],[General]],COVENANTS!$B$2:$B$100,0)), "Y","N")</f>
        <v>N</v>
      </c>
      <c r="F42" s="135" t="str">
        <f>IF(ISNUMBER(MATCH(Table19[[#This Row],[General]],COVENANTS!$C$2:$C$100,0)), "Y","N")</f>
        <v>N</v>
      </c>
      <c r="G42" s="135" t="str">
        <f>IF(ISNUMBER(MATCH(Table19[[#This Row],[General]],COVENANTS!$D$2:$D$100,0)), "Y","N")</f>
        <v>Y</v>
      </c>
      <c r="H42" s="122">
        <v>0</v>
      </c>
      <c r="I42" s="123">
        <v>25</v>
      </c>
      <c r="J42" s="123">
        <v>25</v>
      </c>
      <c r="K42" s="123">
        <v>12</v>
      </c>
      <c r="L42" s="122">
        <v>25</v>
      </c>
      <c r="M42" s="123">
        <v>0</v>
      </c>
      <c r="N42" s="123">
        <v>40</v>
      </c>
      <c r="O42" s="123">
        <v>0</v>
      </c>
      <c r="P42" s="122">
        <v>60</v>
      </c>
      <c r="Q42" s="123">
        <v>0</v>
      </c>
      <c r="R42" s="123">
        <v>90</v>
      </c>
      <c r="S42" s="123">
        <v>6</v>
      </c>
      <c r="T42" s="122">
        <v>35</v>
      </c>
      <c r="U42" s="123">
        <v>20</v>
      </c>
      <c r="V42" s="123">
        <v>55</v>
      </c>
      <c r="W42" s="123">
        <v>0</v>
      </c>
      <c r="X42" s="122">
        <v>0</v>
      </c>
      <c r="Y42" s="123">
        <v>0</v>
      </c>
      <c r="Z42" s="123">
        <v>0</v>
      </c>
      <c r="AA42" s="123">
        <v>0</v>
      </c>
      <c r="AB42" s="136">
        <f t="shared" si="14"/>
        <v>244.44271457279993</v>
      </c>
      <c r="AC42" s="137">
        <f t="shared" si="15"/>
        <v>242.91420881919996</v>
      </c>
      <c r="AD42" s="137">
        <f t="shared" si="16"/>
        <v>245.59172608</v>
      </c>
      <c r="AE42" s="122">
        <f t="shared" si="17"/>
        <v>339.4427145727999</v>
      </c>
      <c r="AF42" s="123">
        <f t="shared" si="18"/>
        <v>262.91420881919998</v>
      </c>
      <c r="AG42" s="123">
        <f t="shared" si="19"/>
        <v>390.59172608</v>
      </c>
      <c r="AH42" s="123">
        <f t="shared" si="20"/>
        <v>6</v>
      </c>
      <c r="AI42" s="298">
        <f t="shared" si="21"/>
        <v>90556292879.112915</v>
      </c>
      <c r="AJ42" s="122">
        <v>121</v>
      </c>
      <c r="AK42" s="123">
        <v>117</v>
      </c>
      <c r="AL42" s="123">
        <v>120</v>
      </c>
      <c r="AM42" s="138">
        <f t="shared" si="22"/>
        <v>1672.2135728639996</v>
      </c>
      <c r="AN42" s="139">
        <f t="shared" si="23"/>
        <v>1664.5710440959997</v>
      </c>
      <c r="AO42" s="139">
        <f t="shared" si="24"/>
        <v>1677.9586303999999</v>
      </c>
      <c r="AP42" s="140">
        <v>8.94</v>
      </c>
      <c r="AQ42" s="141">
        <v>8.91</v>
      </c>
      <c r="AR42" s="141">
        <v>9</v>
      </c>
      <c r="AS42" s="138">
        <f t="shared" si="25"/>
        <v>22.245580799999995</v>
      </c>
      <c r="AT42" s="139">
        <f t="shared" si="26"/>
        <v>22.170931199999995</v>
      </c>
      <c r="AU42" s="139">
        <f t="shared" si="27"/>
        <v>22.394879999999997</v>
      </c>
    </row>
    <row r="43" spans="1:47" ht="14.25" customHeight="1" x14ac:dyDescent="0.25">
      <c r="A43" s="35" t="s">
        <v>216</v>
      </c>
      <c r="B43" s="120" t="s">
        <v>333</v>
      </c>
      <c r="C43" s="142" t="s">
        <v>136</v>
      </c>
      <c r="D43" s="135" t="str">
        <f>IF(ISNUMBER(MATCH(Table19[[#This Row],[General]],COVENANTS!$A$2:$A$100,0)), "Y","N")</f>
        <v>N</v>
      </c>
      <c r="E43" s="135" t="str">
        <f>IF(ISNUMBER(MATCH(Table19[[#This Row],[General]],COVENANTS!$B$2:$B$100,0)), "Y","N")</f>
        <v>Y</v>
      </c>
      <c r="F43" s="135" t="str">
        <f>IF(ISNUMBER(MATCH(Table19[[#This Row],[General]],COVENANTS!$C$2:$C$100,0)), "Y","N")</f>
        <v>N</v>
      </c>
      <c r="G43" s="135" t="str">
        <f>IF(ISNUMBER(MATCH(Table19[[#This Row],[General]],COVENANTS!$D$2:$D$100,0)), "Y","N")</f>
        <v>Y</v>
      </c>
      <c r="H43" s="122">
        <v>0</v>
      </c>
      <c r="I43" s="123">
        <v>25</v>
      </c>
      <c r="J43" s="123">
        <v>25</v>
      </c>
      <c r="K43" s="123">
        <v>12</v>
      </c>
      <c r="L43" s="122">
        <v>35</v>
      </c>
      <c r="M43" s="123">
        <v>0</v>
      </c>
      <c r="N43" s="123">
        <v>0</v>
      </c>
      <c r="O43" s="123">
        <v>0</v>
      </c>
      <c r="P43" s="122">
        <v>60</v>
      </c>
      <c r="Q43" s="123">
        <v>25</v>
      </c>
      <c r="R43" s="123">
        <v>25</v>
      </c>
      <c r="S43" s="123">
        <v>10</v>
      </c>
      <c r="T43" s="122">
        <v>46</v>
      </c>
      <c r="U43" s="123">
        <v>36</v>
      </c>
      <c r="V43" s="123">
        <v>10</v>
      </c>
      <c r="W43" s="123">
        <v>0</v>
      </c>
      <c r="X43" s="122">
        <v>0</v>
      </c>
      <c r="Y43" s="123">
        <v>0</v>
      </c>
      <c r="Z43" s="123">
        <v>0</v>
      </c>
      <c r="AA43" s="123">
        <v>0</v>
      </c>
      <c r="AB43" s="136">
        <f t="shared" si="14"/>
        <v>210.21595566080001</v>
      </c>
      <c r="AC43" s="137">
        <f t="shared" si="15"/>
        <v>212.27230817279997</v>
      </c>
      <c r="AD43" s="137">
        <f t="shared" si="16"/>
        <v>229.02844625920002</v>
      </c>
      <c r="AE43" s="122">
        <f t="shared" si="17"/>
        <v>316.21595566079998</v>
      </c>
      <c r="AF43" s="123">
        <f t="shared" si="18"/>
        <v>273.27230817279997</v>
      </c>
      <c r="AG43" s="123">
        <f t="shared" si="19"/>
        <v>264.0284462592</v>
      </c>
      <c r="AH43" s="123">
        <f t="shared" si="20"/>
        <v>10</v>
      </c>
      <c r="AI43" s="298">
        <f t="shared" si="21"/>
        <v>88994084801.601685</v>
      </c>
      <c r="AJ43" s="122">
        <v>104</v>
      </c>
      <c r="AK43" s="123">
        <v>103</v>
      </c>
      <c r="AL43" s="123">
        <v>105</v>
      </c>
      <c r="AM43" s="138">
        <f t="shared" si="22"/>
        <v>1501.079778304</v>
      </c>
      <c r="AN43" s="139">
        <f t="shared" si="23"/>
        <v>1511.3615408639998</v>
      </c>
      <c r="AO43" s="139">
        <f t="shared" si="24"/>
        <v>1595.1422312960001</v>
      </c>
      <c r="AP43" s="140">
        <v>7.59</v>
      </c>
      <c r="AQ43" s="141">
        <v>7.69</v>
      </c>
      <c r="AR43" s="141">
        <v>8.41</v>
      </c>
      <c r="AS43" s="138">
        <f t="shared" si="25"/>
        <v>18.886348799999997</v>
      </c>
      <c r="AT43" s="139">
        <f t="shared" si="26"/>
        <v>19.135180799999997</v>
      </c>
      <c r="AU43" s="139">
        <f t="shared" si="27"/>
        <v>20.926771200000001</v>
      </c>
    </row>
    <row r="44" spans="1:47" ht="14.25" customHeight="1" x14ac:dyDescent="0.25">
      <c r="A44" s="35" t="s">
        <v>217</v>
      </c>
      <c r="B44" s="209" t="s">
        <v>332</v>
      </c>
      <c r="C44" s="121" t="s">
        <v>627</v>
      </c>
      <c r="D44" s="135" t="str">
        <f>IF(ISNUMBER(MATCH(Table19[[#This Row],[General]],COVENANTS!$A$2:$A$100,0)), "Y","N")</f>
        <v>N</v>
      </c>
      <c r="E44" s="135" t="str">
        <f>IF(ISNUMBER(MATCH(Table19[[#This Row],[General]],COVENANTS!$B$2:$B$100,0)), "Y","N")</f>
        <v>Y</v>
      </c>
      <c r="F44" s="135" t="str">
        <f>IF(ISNUMBER(MATCH(Table19[[#This Row],[General]],COVENANTS!$C$2:$C$100,0)), "Y","N")</f>
        <v>N</v>
      </c>
      <c r="G44" s="135" t="str">
        <f>IF(ISNUMBER(MATCH(Table19[[#This Row],[General]],COVENANTS!$D$2:$D$100,0)), "Y","N")</f>
        <v>N</v>
      </c>
      <c r="H44" s="122">
        <v>25</v>
      </c>
      <c r="I44" s="211">
        <v>25</v>
      </c>
      <c r="J44" s="211">
        <v>25</v>
      </c>
      <c r="K44" s="211">
        <v>12</v>
      </c>
      <c r="L44" s="213">
        <v>0</v>
      </c>
      <c r="M44" s="211">
        <v>0</v>
      </c>
      <c r="N44" s="211">
        <v>0</v>
      </c>
      <c r="O44" s="211">
        <v>0</v>
      </c>
      <c r="P44" s="213">
        <v>30</v>
      </c>
      <c r="Q44" s="211">
        <v>15</v>
      </c>
      <c r="R44" s="211">
        <v>15</v>
      </c>
      <c r="S44" s="211">
        <v>10</v>
      </c>
      <c r="T44" s="213">
        <v>46</v>
      </c>
      <c r="U44" s="211">
        <v>0</v>
      </c>
      <c r="V44" s="211">
        <v>0</v>
      </c>
      <c r="W44" s="211">
        <v>0</v>
      </c>
      <c r="X44" s="213">
        <v>0</v>
      </c>
      <c r="Y44" s="211">
        <v>0</v>
      </c>
      <c r="Z44" s="211">
        <v>0</v>
      </c>
      <c r="AA44" s="211">
        <v>0</v>
      </c>
      <c r="AB44" s="215">
        <f t="shared" si="14"/>
        <v>217.65701319679999</v>
      </c>
      <c r="AC44" s="217">
        <f t="shared" si="15"/>
        <v>222.93356497919999</v>
      </c>
      <c r="AD44" s="217">
        <f t="shared" si="16"/>
        <v>253.83197137919998</v>
      </c>
      <c r="AE44" s="213">
        <f t="shared" si="17"/>
        <v>293.65701319679999</v>
      </c>
      <c r="AF44" s="211">
        <f t="shared" si="18"/>
        <v>237.93356497919999</v>
      </c>
      <c r="AG44" s="211">
        <f t="shared" si="19"/>
        <v>268.83197137920001</v>
      </c>
      <c r="AH44" s="211">
        <f t="shared" si="20"/>
        <v>10</v>
      </c>
      <c r="AI44" s="299">
        <f t="shared" si="21"/>
        <v>83304733724.314697</v>
      </c>
      <c r="AJ44" s="213">
        <v>107</v>
      </c>
      <c r="AK44" s="211">
        <v>103</v>
      </c>
      <c r="AL44" s="211">
        <v>115</v>
      </c>
      <c r="AM44" s="219">
        <f t="shared" si="22"/>
        <v>1538.2850659839999</v>
      </c>
      <c r="AN44" s="221">
        <f t="shared" si="23"/>
        <v>1564.667824896</v>
      </c>
      <c r="AO44" s="221">
        <f t="shared" si="24"/>
        <v>1719.1598568959998</v>
      </c>
      <c r="AP44" s="223">
        <v>7.89</v>
      </c>
      <c r="AQ44" s="225">
        <v>8.16</v>
      </c>
      <c r="AR44" s="225">
        <v>9.41</v>
      </c>
      <c r="AS44" s="219">
        <f t="shared" si="25"/>
        <v>19.632844799999997</v>
      </c>
      <c r="AT44" s="221">
        <f t="shared" si="26"/>
        <v>20.304691199999997</v>
      </c>
      <c r="AU44" s="221">
        <f t="shared" si="27"/>
        <v>23.415091199999996</v>
      </c>
    </row>
    <row r="45" spans="1:47" ht="14.25" customHeight="1" x14ac:dyDescent="0.25">
      <c r="A45" s="35" t="s">
        <v>218</v>
      </c>
      <c r="B45" s="209" t="s">
        <v>332</v>
      </c>
      <c r="C45" s="121" t="s">
        <v>108</v>
      </c>
      <c r="D45" s="135" t="str">
        <f>IF(ISNUMBER(MATCH(Table19[[#This Row],[General]],COVENANTS!$A$2:$A$100,0)), "Y","N")</f>
        <v>N</v>
      </c>
      <c r="E45" s="135" t="str">
        <f>IF(ISNUMBER(MATCH(Table19[[#This Row],[General]],COVENANTS!$B$2:$B$100,0)), "Y","N")</f>
        <v>N</v>
      </c>
      <c r="F45" s="135" t="str">
        <f>IF(ISNUMBER(MATCH(Table19[[#This Row],[General]],COVENANTS!$C$2:$C$100,0)), "Y","N")</f>
        <v>Y</v>
      </c>
      <c r="G45" s="135" t="str">
        <f>IF(ISNUMBER(MATCH(Table19[[#This Row],[General]],COVENANTS!$D$2:$D$100,0)), "Y","N")</f>
        <v>N</v>
      </c>
      <c r="H45" s="122">
        <v>25</v>
      </c>
      <c r="I45" s="211">
        <v>25</v>
      </c>
      <c r="J45" s="211">
        <v>25</v>
      </c>
      <c r="K45" s="211">
        <v>12</v>
      </c>
      <c r="L45" s="213">
        <v>30</v>
      </c>
      <c r="M45" s="211">
        <v>15</v>
      </c>
      <c r="N45" s="211">
        <v>0</v>
      </c>
      <c r="O45" s="211">
        <v>0</v>
      </c>
      <c r="P45" s="213">
        <v>60</v>
      </c>
      <c r="Q45" s="211">
        <v>35</v>
      </c>
      <c r="R45" s="211">
        <v>20</v>
      </c>
      <c r="S45" s="211">
        <v>0</v>
      </c>
      <c r="T45" s="213">
        <v>26</v>
      </c>
      <c r="U45" s="211">
        <v>0</v>
      </c>
      <c r="V45" s="211">
        <v>10</v>
      </c>
      <c r="W45" s="211">
        <v>0</v>
      </c>
      <c r="X45" s="213">
        <v>0</v>
      </c>
      <c r="Y45" s="211">
        <v>0</v>
      </c>
      <c r="Z45" s="211">
        <v>0</v>
      </c>
      <c r="AA45" s="211">
        <v>0</v>
      </c>
      <c r="AB45" s="215">
        <f t="shared" si="14"/>
        <v>246.5287375872</v>
      </c>
      <c r="AC45" s="217">
        <f t="shared" si="15"/>
        <v>241.34119731199999</v>
      </c>
      <c r="AD45" s="217">
        <f t="shared" si="16"/>
        <v>243.62438507519997</v>
      </c>
      <c r="AE45" s="213">
        <f t="shared" si="17"/>
        <v>332.5287375872</v>
      </c>
      <c r="AF45" s="211">
        <f t="shared" si="18"/>
        <v>276.34119731199996</v>
      </c>
      <c r="AG45" s="211">
        <f t="shared" si="19"/>
        <v>273.62438507519994</v>
      </c>
      <c r="AH45" s="211">
        <f t="shared" si="20"/>
        <v>0</v>
      </c>
      <c r="AI45" s="299">
        <f t="shared" si="21"/>
        <v>82399680117.780884</v>
      </c>
      <c r="AJ45" s="213">
        <v>118</v>
      </c>
      <c r="AK45" s="211">
        <v>116</v>
      </c>
      <c r="AL45" s="211">
        <v>115</v>
      </c>
      <c r="AM45" s="219">
        <f t="shared" si="22"/>
        <v>1682.6436879359999</v>
      </c>
      <c r="AN45" s="221">
        <f t="shared" si="23"/>
        <v>1656.7059865599999</v>
      </c>
      <c r="AO45" s="221">
        <f t="shared" si="24"/>
        <v>1668.1219253759998</v>
      </c>
      <c r="AP45" s="223">
        <v>9.06</v>
      </c>
      <c r="AQ45" s="225">
        <v>8.85</v>
      </c>
      <c r="AR45" s="225">
        <v>8.9600000000000009</v>
      </c>
      <c r="AS45" s="219">
        <f t="shared" si="25"/>
        <v>22.544179199999999</v>
      </c>
      <c r="AT45" s="221">
        <f t="shared" si="26"/>
        <v>22.021631999999993</v>
      </c>
      <c r="AU45" s="221">
        <f t="shared" si="27"/>
        <v>22.295347199999998</v>
      </c>
    </row>
    <row r="46" spans="1:47" ht="14.25" customHeight="1" x14ac:dyDescent="0.25">
      <c r="A46" s="35" t="s">
        <v>434</v>
      </c>
      <c r="C46" s="184"/>
      <c r="D46" s="185" t="str">
        <f>IF(ISNUMBER(MATCH(Table19[[#This Row],[General]],COVENANTS!$A$2:$A$100,0)), "Y","N")</f>
        <v>N</v>
      </c>
      <c r="E46" s="185" t="str">
        <f>IF(ISNUMBER(MATCH(Table19[[#This Row],[General]],COVENANTS!$B$2:$B$100,0)), "Y","N")</f>
        <v>N</v>
      </c>
      <c r="F46" s="185" t="str">
        <f>IF(ISNUMBER(MATCH(Table19[[#This Row],[General]],COVENANTS!$C$2:$C$100,0)), "Y","N")</f>
        <v>N</v>
      </c>
      <c r="G46" s="135" t="str">
        <f>IF(ISNUMBER(MATCH(Table19[[#This Row],[General]],COVENANTS!$D$2:$D$100,0)), "Y","N")</f>
        <v>N</v>
      </c>
      <c r="H46" s="122">
        <v>0</v>
      </c>
      <c r="I46" s="113">
        <v>0</v>
      </c>
      <c r="J46" s="113">
        <v>0</v>
      </c>
      <c r="K46" s="113">
        <v>0</v>
      </c>
      <c r="L46" s="97">
        <v>0</v>
      </c>
      <c r="M46" s="113">
        <v>0</v>
      </c>
      <c r="N46" s="113">
        <v>0</v>
      </c>
      <c r="O46" s="113">
        <v>0</v>
      </c>
      <c r="P46" s="97">
        <v>0</v>
      </c>
      <c r="Q46" s="113">
        <v>0</v>
      </c>
      <c r="R46" s="113">
        <v>0</v>
      </c>
      <c r="S46" s="113">
        <v>0</v>
      </c>
      <c r="T46" s="97">
        <v>0</v>
      </c>
      <c r="U46" s="113">
        <v>0</v>
      </c>
      <c r="V46" s="113">
        <v>0</v>
      </c>
      <c r="W46" s="113">
        <v>0</v>
      </c>
      <c r="X46" s="97">
        <v>0</v>
      </c>
      <c r="Y46" s="113">
        <v>0</v>
      </c>
      <c r="Z46" s="113">
        <v>0</v>
      </c>
      <c r="AA46" s="113">
        <v>0</v>
      </c>
      <c r="AB46" s="114">
        <f t="shared" si="14"/>
        <v>16</v>
      </c>
      <c r="AC46" s="115">
        <f t="shared" si="15"/>
        <v>16</v>
      </c>
      <c r="AD46" s="115">
        <f t="shared" si="16"/>
        <v>16</v>
      </c>
      <c r="AE46" s="97">
        <f t="shared" si="17"/>
        <v>16</v>
      </c>
      <c r="AF46" s="113">
        <f t="shared" si="18"/>
        <v>16</v>
      </c>
      <c r="AG46" s="113">
        <f t="shared" si="19"/>
        <v>16</v>
      </c>
      <c r="AH46" s="113">
        <f t="shared" si="20"/>
        <v>0</v>
      </c>
      <c r="AI46" s="300">
        <f t="shared" si="21"/>
        <v>3964754720.000061</v>
      </c>
      <c r="AJ46" s="97">
        <v>0</v>
      </c>
      <c r="AK46" s="113">
        <v>0</v>
      </c>
      <c r="AL46" s="113">
        <v>0</v>
      </c>
      <c r="AM46" s="116">
        <f t="shared" si="22"/>
        <v>530</v>
      </c>
      <c r="AN46" s="117">
        <f t="shared" si="23"/>
        <v>530</v>
      </c>
      <c r="AO46" s="117">
        <f t="shared" si="24"/>
        <v>530</v>
      </c>
      <c r="AP46" s="118">
        <v>0</v>
      </c>
      <c r="AQ46" s="119">
        <v>0</v>
      </c>
      <c r="AR46" s="119">
        <v>0</v>
      </c>
      <c r="AS46" s="116">
        <f t="shared" si="25"/>
        <v>0</v>
      </c>
      <c r="AT46" s="117">
        <f t="shared" si="26"/>
        <v>0</v>
      </c>
      <c r="AU46" s="117">
        <f t="shared" si="27"/>
        <v>0</v>
      </c>
    </row>
    <row r="47" spans="1:47" ht="14.25" customHeight="1" x14ac:dyDescent="0.25">
      <c r="A47" s="35" t="s">
        <v>435</v>
      </c>
      <c r="B47" s="104"/>
      <c r="C47" s="184"/>
      <c r="D47" s="185" t="str">
        <f>IF(ISNUMBER(MATCH(Table19[[#This Row],[General]],COVENANTS!$A$2:$A$100,0)), "Y","N")</f>
        <v>N</v>
      </c>
      <c r="E47" s="185" t="str">
        <f>IF(ISNUMBER(MATCH(Table19[[#This Row],[General]],COVENANTS!$B$2:$B$100,0)), "Y","N")</f>
        <v>N</v>
      </c>
      <c r="F47" s="185" t="str">
        <f>IF(ISNUMBER(MATCH(Table19[[#This Row],[General]],COVENANTS!$C$2:$C$100,0)), "Y","N")</f>
        <v>N</v>
      </c>
      <c r="G47" s="135" t="str">
        <f>IF(ISNUMBER(MATCH(Table19[[#This Row],[General]],COVENANTS!$D$2:$D$100,0)), "Y","N")</f>
        <v>N</v>
      </c>
      <c r="H47" s="122">
        <v>0</v>
      </c>
      <c r="I47" s="113">
        <v>0</v>
      </c>
      <c r="J47" s="113">
        <v>0</v>
      </c>
      <c r="K47" s="113">
        <v>0</v>
      </c>
      <c r="L47" s="106">
        <v>0</v>
      </c>
      <c r="M47" s="105">
        <v>0</v>
      </c>
      <c r="N47" s="105">
        <v>0</v>
      </c>
      <c r="O47" s="105">
        <v>0</v>
      </c>
      <c r="P47" s="106">
        <v>0</v>
      </c>
      <c r="Q47" s="105">
        <v>0</v>
      </c>
      <c r="R47" s="105">
        <v>0</v>
      </c>
      <c r="S47" s="105">
        <v>0</v>
      </c>
      <c r="T47" s="106">
        <v>0</v>
      </c>
      <c r="U47" s="105">
        <v>0</v>
      </c>
      <c r="V47" s="105">
        <v>0</v>
      </c>
      <c r="W47" s="105">
        <v>0</v>
      </c>
      <c r="X47" s="106">
        <v>0</v>
      </c>
      <c r="Y47" s="105">
        <v>0</v>
      </c>
      <c r="Z47" s="105">
        <v>0</v>
      </c>
      <c r="AA47" s="105">
        <v>0</v>
      </c>
      <c r="AB47" s="107">
        <f t="shared" si="14"/>
        <v>16</v>
      </c>
      <c r="AC47" s="108">
        <f t="shared" si="15"/>
        <v>16</v>
      </c>
      <c r="AD47" s="108">
        <f t="shared" si="16"/>
        <v>16</v>
      </c>
      <c r="AE47" s="106">
        <f t="shared" si="17"/>
        <v>16</v>
      </c>
      <c r="AF47" s="105">
        <f t="shared" si="18"/>
        <v>16</v>
      </c>
      <c r="AG47" s="105">
        <f t="shared" si="19"/>
        <v>16</v>
      </c>
      <c r="AH47" s="105">
        <f t="shared" si="20"/>
        <v>0</v>
      </c>
      <c r="AI47" s="297">
        <f t="shared" si="21"/>
        <v>3964754720.000061</v>
      </c>
      <c r="AJ47" s="97">
        <v>0</v>
      </c>
      <c r="AK47" s="113">
        <v>0</v>
      </c>
      <c r="AL47" s="113">
        <v>0</v>
      </c>
      <c r="AM47" s="109">
        <f t="shared" si="22"/>
        <v>530</v>
      </c>
      <c r="AN47" s="110">
        <f t="shared" si="23"/>
        <v>530</v>
      </c>
      <c r="AO47" s="110">
        <f t="shared" si="24"/>
        <v>530</v>
      </c>
      <c r="AP47" s="118">
        <v>0</v>
      </c>
      <c r="AQ47" s="119">
        <v>0</v>
      </c>
      <c r="AR47" s="119">
        <v>0</v>
      </c>
      <c r="AS47" s="109">
        <f t="shared" si="25"/>
        <v>0</v>
      </c>
      <c r="AT47" s="110">
        <f t="shared" si="26"/>
        <v>0</v>
      </c>
      <c r="AU47" s="110">
        <f t="shared" si="27"/>
        <v>0</v>
      </c>
    </row>
    <row r="48" spans="1:47" ht="14.25" customHeight="1" x14ac:dyDescent="0.25">
      <c r="A48" s="35" t="s">
        <v>436</v>
      </c>
      <c r="B48" s="104"/>
      <c r="C48" s="184"/>
      <c r="D48" s="185" t="str">
        <f>IF(ISNUMBER(MATCH(Table19[[#This Row],[General]],COVENANTS!$A$2:$A$100,0)), "Y","N")</f>
        <v>N</v>
      </c>
      <c r="E48" s="185" t="str">
        <f>IF(ISNUMBER(MATCH(Table19[[#This Row],[General]],COVENANTS!$B$2:$B$100,0)), "Y","N")</f>
        <v>N</v>
      </c>
      <c r="F48" s="185" t="str">
        <f>IF(ISNUMBER(MATCH(Table19[[#This Row],[General]],COVENANTS!$C$2:$C$100,0)), "Y","N")</f>
        <v>N</v>
      </c>
      <c r="G48" s="135" t="str">
        <f>IF(ISNUMBER(MATCH(Table19[[#This Row],[General]],COVENANTS!$D$2:$D$100,0)), "Y","N")</f>
        <v>N</v>
      </c>
      <c r="H48" s="122">
        <v>0</v>
      </c>
      <c r="I48" s="113">
        <v>0</v>
      </c>
      <c r="J48" s="113">
        <v>0</v>
      </c>
      <c r="K48" s="113">
        <v>0</v>
      </c>
      <c r="L48" s="106">
        <v>0</v>
      </c>
      <c r="M48" s="105">
        <v>0</v>
      </c>
      <c r="N48" s="105">
        <v>0</v>
      </c>
      <c r="O48" s="105">
        <v>0</v>
      </c>
      <c r="P48" s="106">
        <v>0</v>
      </c>
      <c r="Q48" s="105">
        <v>0</v>
      </c>
      <c r="R48" s="105">
        <v>0</v>
      </c>
      <c r="S48" s="105">
        <v>0</v>
      </c>
      <c r="T48" s="106">
        <v>0</v>
      </c>
      <c r="U48" s="105">
        <v>0</v>
      </c>
      <c r="V48" s="105">
        <v>0</v>
      </c>
      <c r="W48" s="105">
        <v>0</v>
      </c>
      <c r="X48" s="106">
        <v>0</v>
      </c>
      <c r="Y48" s="105">
        <v>0</v>
      </c>
      <c r="Z48" s="105">
        <v>0</v>
      </c>
      <c r="AA48" s="105">
        <v>0</v>
      </c>
      <c r="AB48" s="107">
        <f t="shared" si="14"/>
        <v>16</v>
      </c>
      <c r="AC48" s="108">
        <f t="shared" si="15"/>
        <v>16</v>
      </c>
      <c r="AD48" s="108">
        <f t="shared" si="16"/>
        <v>16</v>
      </c>
      <c r="AE48" s="106">
        <f t="shared" si="17"/>
        <v>16</v>
      </c>
      <c r="AF48" s="105">
        <f t="shared" si="18"/>
        <v>16</v>
      </c>
      <c r="AG48" s="105">
        <f t="shared" si="19"/>
        <v>16</v>
      </c>
      <c r="AH48" s="105">
        <f t="shared" si="20"/>
        <v>0</v>
      </c>
      <c r="AI48" s="297">
        <f t="shared" si="21"/>
        <v>3964754720.000061</v>
      </c>
      <c r="AJ48" s="97">
        <v>0</v>
      </c>
      <c r="AK48" s="113">
        <v>0</v>
      </c>
      <c r="AL48" s="113">
        <v>0</v>
      </c>
      <c r="AM48" s="109">
        <f t="shared" si="22"/>
        <v>530</v>
      </c>
      <c r="AN48" s="110">
        <f t="shared" si="23"/>
        <v>530</v>
      </c>
      <c r="AO48" s="110">
        <f t="shared" si="24"/>
        <v>530</v>
      </c>
      <c r="AP48" s="118">
        <v>0</v>
      </c>
      <c r="AQ48" s="119">
        <v>0</v>
      </c>
      <c r="AR48" s="119">
        <v>0</v>
      </c>
      <c r="AS48" s="109">
        <f t="shared" si="25"/>
        <v>0</v>
      </c>
      <c r="AT48" s="110">
        <f t="shared" si="26"/>
        <v>0</v>
      </c>
      <c r="AU48" s="110">
        <f t="shared" si="27"/>
        <v>0</v>
      </c>
    </row>
    <row r="49" spans="1:47" ht="14.25" customHeight="1" x14ac:dyDescent="0.25">
      <c r="A49" s="35" t="s">
        <v>437</v>
      </c>
      <c r="B49" s="104"/>
      <c r="C49" s="184"/>
      <c r="D49" s="185" t="str">
        <f>IF(ISNUMBER(MATCH(Table19[[#This Row],[General]],COVENANTS!$A$2:$A$100,0)), "Y","N")</f>
        <v>N</v>
      </c>
      <c r="E49" s="185" t="str">
        <f>IF(ISNUMBER(MATCH(Table19[[#This Row],[General]],COVENANTS!$B$2:$B$100,0)), "Y","N")</f>
        <v>N</v>
      </c>
      <c r="F49" s="185" t="str">
        <f>IF(ISNUMBER(MATCH(Table19[[#This Row],[General]],COVENANTS!$C$2:$C$100,0)), "Y","N")</f>
        <v>N</v>
      </c>
      <c r="G49" s="135" t="str">
        <f>IF(ISNUMBER(MATCH(Table19[[#This Row],[General]],COVENANTS!$D$2:$D$100,0)), "Y","N")</f>
        <v>N</v>
      </c>
      <c r="H49" s="122">
        <v>0</v>
      </c>
      <c r="I49" s="113">
        <v>0</v>
      </c>
      <c r="J49" s="113">
        <v>0</v>
      </c>
      <c r="K49" s="113">
        <v>0</v>
      </c>
      <c r="L49" s="106">
        <v>0</v>
      </c>
      <c r="M49" s="105">
        <v>0</v>
      </c>
      <c r="N49" s="105">
        <v>0</v>
      </c>
      <c r="O49" s="105">
        <v>0</v>
      </c>
      <c r="P49" s="106">
        <v>0</v>
      </c>
      <c r="Q49" s="105">
        <v>0</v>
      </c>
      <c r="R49" s="105">
        <v>0</v>
      </c>
      <c r="S49" s="105">
        <v>0</v>
      </c>
      <c r="T49" s="106">
        <v>0</v>
      </c>
      <c r="U49" s="105">
        <v>0</v>
      </c>
      <c r="V49" s="105">
        <v>0</v>
      </c>
      <c r="W49" s="105">
        <v>0</v>
      </c>
      <c r="X49" s="106">
        <v>0</v>
      </c>
      <c r="Y49" s="105">
        <v>0</v>
      </c>
      <c r="Z49" s="105">
        <v>0</v>
      </c>
      <c r="AA49" s="105">
        <v>0</v>
      </c>
      <c r="AB49" s="107">
        <f t="shared" si="14"/>
        <v>16</v>
      </c>
      <c r="AC49" s="108">
        <f t="shared" si="15"/>
        <v>16</v>
      </c>
      <c r="AD49" s="108">
        <f t="shared" si="16"/>
        <v>16</v>
      </c>
      <c r="AE49" s="106">
        <f t="shared" si="17"/>
        <v>16</v>
      </c>
      <c r="AF49" s="105">
        <f t="shared" si="18"/>
        <v>16</v>
      </c>
      <c r="AG49" s="105">
        <f t="shared" si="19"/>
        <v>16</v>
      </c>
      <c r="AH49" s="105">
        <f t="shared" si="20"/>
        <v>0</v>
      </c>
      <c r="AI49" s="297">
        <f t="shared" si="21"/>
        <v>3964754720.000061</v>
      </c>
      <c r="AJ49" s="97">
        <v>0</v>
      </c>
      <c r="AK49" s="113">
        <v>0</v>
      </c>
      <c r="AL49" s="113">
        <v>0</v>
      </c>
      <c r="AM49" s="109">
        <f t="shared" si="22"/>
        <v>530</v>
      </c>
      <c r="AN49" s="110">
        <f t="shared" si="23"/>
        <v>530</v>
      </c>
      <c r="AO49" s="110">
        <f t="shared" si="24"/>
        <v>530</v>
      </c>
      <c r="AP49" s="118">
        <v>0</v>
      </c>
      <c r="AQ49" s="119">
        <v>0</v>
      </c>
      <c r="AR49" s="119">
        <v>0</v>
      </c>
      <c r="AS49" s="109">
        <f t="shared" si="25"/>
        <v>0</v>
      </c>
      <c r="AT49" s="110">
        <f t="shared" si="26"/>
        <v>0</v>
      </c>
      <c r="AU49" s="110">
        <f t="shared" si="27"/>
        <v>0</v>
      </c>
    </row>
    <row r="50" spans="1:47" ht="14.25" customHeight="1" x14ac:dyDescent="0.25">
      <c r="A50" s="35" t="s">
        <v>438</v>
      </c>
      <c r="B50" s="104"/>
      <c r="C50" s="184"/>
      <c r="D50" s="185" t="str">
        <f>IF(ISNUMBER(MATCH(Table19[[#This Row],[General]],COVENANTS!$A$2:$A$100,0)), "Y","N")</f>
        <v>N</v>
      </c>
      <c r="E50" s="185" t="str">
        <f>IF(ISNUMBER(MATCH(Table19[[#This Row],[General]],COVENANTS!$B$2:$B$100,0)), "Y","N")</f>
        <v>N</v>
      </c>
      <c r="F50" s="185" t="str">
        <f>IF(ISNUMBER(MATCH(Table19[[#This Row],[General]],COVENANTS!$C$2:$C$100,0)), "Y","N")</f>
        <v>N</v>
      </c>
      <c r="G50" s="135" t="str">
        <f>IF(ISNUMBER(MATCH(Table19[[#This Row],[General]],COVENANTS!$D$2:$D$100,0)), "Y","N")</f>
        <v>N</v>
      </c>
      <c r="H50" s="122">
        <v>0</v>
      </c>
      <c r="I50" s="113">
        <v>0</v>
      </c>
      <c r="J50" s="113">
        <v>0</v>
      </c>
      <c r="K50" s="113">
        <v>0</v>
      </c>
      <c r="L50" s="106">
        <v>0</v>
      </c>
      <c r="M50" s="105">
        <v>0</v>
      </c>
      <c r="N50" s="105">
        <v>0</v>
      </c>
      <c r="O50" s="105">
        <v>0</v>
      </c>
      <c r="P50" s="106">
        <v>0</v>
      </c>
      <c r="Q50" s="105">
        <v>0</v>
      </c>
      <c r="R50" s="105">
        <v>0</v>
      </c>
      <c r="S50" s="105">
        <v>0</v>
      </c>
      <c r="T50" s="106">
        <v>0</v>
      </c>
      <c r="U50" s="105">
        <v>0</v>
      </c>
      <c r="V50" s="105">
        <v>0</v>
      </c>
      <c r="W50" s="105">
        <v>0</v>
      </c>
      <c r="X50" s="106">
        <v>0</v>
      </c>
      <c r="Y50" s="105">
        <v>0</v>
      </c>
      <c r="Z50" s="105">
        <v>0</v>
      </c>
      <c r="AA50" s="105">
        <v>0</v>
      </c>
      <c r="AB50" s="107">
        <f t="shared" si="14"/>
        <v>16</v>
      </c>
      <c r="AC50" s="108">
        <f t="shared" si="15"/>
        <v>16</v>
      </c>
      <c r="AD50" s="108">
        <f t="shared" si="16"/>
        <v>16</v>
      </c>
      <c r="AE50" s="106">
        <f t="shared" si="17"/>
        <v>16</v>
      </c>
      <c r="AF50" s="105">
        <f t="shared" si="18"/>
        <v>16</v>
      </c>
      <c r="AG50" s="105">
        <f t="shared" si="19"/>
        <v>16</v>
      </c>
      <c r="AH50" s="105">
        <f t="shared" si="20"/>
        <v>0</v>
      </c>
      <c r="AI50" s="297">
        <f t="shared" si="21"/>
        <v>3964754720.000061</v>
      </c>
      <c r="AJ50" s="97">
        <v>0</v>
      </c>
      <c r="AK50" s="113">
        <v>0</v>
      </c>
      <c r="AL50" s="113">
        <v>0</v>
      </c>
      <c r="AM50" s="109">
        <f t="shared" si="22"/>
        <v>530</v>
      </c>
      <c r="AN50" s="110">
        <f t="shared" si="23"/>
        <v>530</v>
      </c>
      <c r="AO50" s="110">
        <f t="shared" si="24"/>
        <v>530</v>
      </c>
      <c r="AP50" s="118">
        <v>0</v>
      </c>
      <c r="AQ50" s="119">
        <v>0</v>
      </c>
      <c r="AR50" s="119">
        <v>0</v>
      </c>
      <c r="AS50" s="109">
        <f t="shared" si="25"/>
        <v>0</v>
      </c>
      <c r="AT50" s="110">
        <f t="shared" si="26"/>
        <v>0</v>
      </c>
      <c r="AU50" s="110">
        <f t="shared" si="27"/>
        <v>0</v>
      </c>
    </row>
    <row r="51" spans="1:47" ht="14.25" customHeight="1" x14ac:dyDescent="0.25">
      <c r="A51" s="35" t="s">
        <v>439</v>
      </c>
      <c r="B51" s="383"/>
      <c r="C51" s="411"/>
      <c r="D51" s="412" t="str">
        <f>IF(ISNUMBER(MATCH(Table19[[#This Row],[General]],COVENANTS!$A$2:$A$100,0)), "Y","N")</f>
        <v>N</v>
      </c>
      <c r="E51" s="412" t="str">
        <f>IF(ISNUMBER(MATCH(Table19[[#This Row],[General]],COVENANTS!$B$2:$B$100,0)), "Y","N")</f>
        <v>N</v>
      </c>
      <c r="F51" s="412" t="str">
        <f>IF(ISNUMBER(MATCH(Table19[[#This Row],[General]],COVENANTS!$C$2:$C$100,0)), "Y","N")</f>
        <v>N</v>
      </c>
      <c r="G51" s="413" t="str">
        <f>IF(ISNUMBER(MATCH(Table19[[#This Row],[General]],COVENANTS!$D$2:$D$100,0)), "Y","N")</f>
        <v>N</v>
      </c>
      <c r="H51" s="122">
        <v>0</v>
      </c>
      <c r="I51" s="113">
        <v>0</v>
      </c>
      <c r="J51" s="113">
        <v>0</v>
      </c>
      <c r="K51" s="113">
        <v>0</v>
      </c>
      <c r="L51" s="106">
        <v>0</v>
      </c>
      <c r="M51" s="105">
        <v>0</v>
      </c>
      <c r="N51" s="105">
        <v>0</v>
      </c>
      <c r="O51" s="105">
        <v>0</v>
      </c>
      <c r="P51" s="106">
        <v>0</v>
      </c>
      <c r="Q51" s="105">
        <v>0</v>
      </c>
      <c r="R51" s="105">
        <v>0</v>
      </c>
      <c r="S51" s="105">
        <v>0</v>
      </c>
      <c r="T51" s="106">
        <v>0</v>
      </c>
      <c r="U51" s="105">
        <v>0</v>
      </c>
      <c r="V51" s="105">
        <v>0</v>
      </c>
      <c r="W51" s="105">
        <v>0</v>
      </c>
      <c r="X51" s="106">
        <v>0</v>
      </c>
      <c r="Y51" s="105">
        <v>0</v>
      </c>
      <c r="Z51" s="105">
        <v>0</v>
      </c>
      <c r="AA51" s="105">
        <v>0</v>
      </c>
      <c r="AB51" s="107">
        <f t="shared" si="14"/>
        <v>16</v>
      </c>
      <c r="AC51" s="108">
        <f t="shared" si="15"/>
        <v>16</v>
      </c>
      <c r="AD51" s="108">
        <f t="shared" si="16"/>
        <v>16</v>
      </c>
      <c r="AE51" s="106">
        <f t="shared" si="17"/>
        <v>16</v>
      </c>
      <c r="AF51" s="386">
        <f t="shared" si="18"/>
        <v>16</v>
      </c>
      <c r="AG51" s="386">
        <f t="shared" si="19"/>
        <v>16</v>
      </c>
      <c r="AH51" s="386">
        <f t="shared" si="20"/>
        <v>0</v>
      </c>
      <c r="AI51" s="297">
        <f t="shared" si="21"/>
        <v>3964754720.000061</v>
      </c>
      <c r="AJ51" s="97">
        <v>0</v>
      </c>
      <c r="AK51" s="113">
        <v>0</v>
      </c>
      <c r="AL51" s="113">
        <v>0</v>
      </c>
      <c r="AM51" s="109">
        <f t="shared" si="22"/>
        <v>530</v>
      </c>
      <c r="AN51" s="110">
        <f t="shared" si="23"/>
        <v>530</v>
      </c>
      <c r="AO51" s="110">
        <f t="shared" si="24"/>
        <v>530</v>
      </c>
      <c r="AP51" s="118">
        <v>0</v>
      </c>
      <c r="AQ51" s="119">
        <v>0</v>
      </c>
      <c r="AR51" s="119">
        <v>0</v>
      </c>
      <c r="AS51" s="109">
        <f t="shared" si="25"/>
        <v>0</v>
      </c>
      <c r="AT51" s="110">
        <f t="shared" si="26"/>
        <v>0</v>
      </c>
      <c r="AU51" s="110">
        <f t="shared" si="27"/>
        <v>0</v>
      </c>
    </row>
    <row r="52" spans="1:47" ht="14.25" customHeight="1" x14ac:dyDescent="0.25">
      <c r="A52" s="35" t="s">
        <v>440</v>
      </c>
      <c r="B52" s="383"/>
      <c r="C52" s="411"/>
      <c r="D52" s="412" t="str">
        <f>IF(ISNUMBER(MATCH(Table19[[#This Row],[General]],COVENANTS!$A$2:$A$100,0)), "Y","N")</f>
        <v>N</v>
      </c>
      <c r="E52" s="412" t="str">
        <f>IF(ISNUMBER(MATCH(Table19[[#This Row],[General]],COVENANTS!$B$2:$B$100,0)), "Y","N")</f>
        <v>N</v>
      </c>
      <c r="F52" s="412" t="str">
        <f>IF(ISNUMBER(MATCH(Table19[[#This Row],[General]],COVENANTS!$C$2:$C$100,0)), "Y","N")</f>
        <v>N</v>
      </c>
      <c r="G52" s="413" t="str">
        <f>IF(ISNUMBER(MATCH(Table19[[#This Row],[General]],COVENANTS!$D$2:$D$100,0)), "Y","N")</f>
        <v>N</v>
      </c>
      <c r="H52" s="122">
        <v>0</v>
      </c>
      <c r="I52" s="113">
        <v>0</v>
      </c>
      <c r="J52" s="113">
        <v>0</v>
      </c>
      <c r="K52" s="113">
        <v>0</v>
      </c>
      <c r="L52" s="106">
        <v>0</v>
      </c>
      <c r="M52" s="105">
        <v>0</v>
      </c>
      <c r="N52" s="105">
        <v>0</v>
      </c>
      <c r="O52" s="105">
        <v>0</v>
      </c>
      <c r="P52" s="106">
        <v>0</v>
      </c>
      <c r="Q52" s="105">
        <v>0</v>
      </c>
      <c r="R52" s="105">
        <v>0</v>
      </c>
      <c r="S52" s="105">
        <v>0</v>
      </c>
      <c r="T52" s="106">
        <v>0</v>
      </c>
      <c r="U52" s="105">
        <v>0</v>
      </c>
      <c r="V52" s="105">
        <v>0</v>
      </c>
      <c r="W52" s="105">
        <v>0</v>
      </c>
      <c r="X52" s="106">
        <v>0</v>
      </c>
      <c r="Y52" s="105">
        <v>0</v>
      </c>
      <c r="Z52" s="105">
        <v>0</v>
      </c>
      <c r="AA52" s="105">
        <v>0</v>
      </c>
      <c r="AB52" s="107">
        <f t="shared" si="14"/>
        <v>16</v>
      </c>
      <c r="AC52" s="108">
        <f t="shared" si="15"/>
        <v>16</v>
      </c>
      <c r="AD52" s="108">
        <f t="shared" si="16"/>
        <v>16</v>
      </c>
      <c r="AE52" s="106">
        <f t="shared" si="17"/>
        <v>16</v>
      </c>
      <c r="AF52" s="386">
        <f t="shared" si="18"/>
        <v>16</v>
      </c>
      <c r="AG52" s="386">
        <f t="shared" si="19"/>
        <v>16</v>
      </c>
      <c r="AH52" s="386">
        <f t="shared" si="20"/>
        <v>0</v>
      </c>
      <c r="AI52" s="300">
        <f t="shared" si="21"/>
        <v>3964754720.000061</v>
      </c>
      <c r="AJ52" s="97">
        <v>0</v>
      </c>
      <c r="AK52" s="113">
        <v>0</v>
      </c>
      <c r="AL52" s="113">
        <v>0</v>
      </c>
      <c r="AM52" s="116">
        <f t="shared" si="22"/>
        <v>530</v>
      </c>
      <c r="AN52" s="117">
        <f t="shared" si="23"/>
        <v>530</v>
      </c>
      <c r="AO52" s="117">
        <f t="shared" si="24"/>
        <v>530</v>
      </c>
      <c r="AP52" s="118">
        <v>0</v>
      </c>
      <c r="AQ52" s="119">
        <v>0</v>
      </c>
      <c r="AR52" s="119">
        <v>0</v>
      </c>
      <c r="AS52" s="109">
        <f t="shared" si="25"/>
        <v>0</v>
      </c>
      <c r="AT52" s="110">
        <f t="shared" si="26"/>
        <v>0</v>
      </c>
      <c r="AU52" s="110">
        <f t="shared" si="27"/>
        <v>0</v>
      </c>
    </row>
    <row r="53" spans="1:47" ht="14.25" customHeight="1" x14ac:dyDescent="0.25">
      <c r="A53" s="35" t="s">
        <v>441</v>
      </c>
      <c r="B53" s="383"/>
      <c r="C53" s="411"/>
      <c r="D53" s="412" t="str">
        <f>IF(ISNUMBER(MATCH(Table19[[#This Row],[General]],COVENANTS!$A$2:$A$100,0)), "Y","N")</f>
        <v>N</v>
      </c>
      <c r="E53" s="412" t="str">
        <f>IF(ISNUMBER(MATCH(Table19[[#This Row],[General]],COVENANTS!$B$2:$B$100,0)), "Y","N")</f>
        <v>N</v>
      </c>
      <c r="F53" s="412" t="str">
        <f>IF(ISNUMBER(MATCH(Table19[[#This Row],[General]],COVENANTS!$C$2:$C$100,0)), "Y","N")</f>
        <v>N</v>
      </c>
      <c r="G53" s="413" t="str">
        <f>IF(ISNUMBER(MATCH(Table19[[#This Row],[General]],COVENANTS!$D$2:$D$100,0)), "Y","N")</f>
        <v>N</v>
      </c>
      <c r="H53" s="122">
        <v>0</v>
      </c>
      <c r="I53" s="113">
        <v>0</v>
      </c>
      <c r="J53" s="113">
        <v>0</v>
      </c>
      <c r="K53" s="113">
        <v>0</v>
      </c>
      <c r="L53" s="106">
        <v>0</v>
      </c>
      <c r="M53" s="105">
        <v>0</v>
      </c>
      <c r="N53" s="105">
        <v>0</v>
      </c>
      <c r="O53" s="105">
        <v>0</v>
      </c>
      <c r="P53" s="106">
        <v>0</v>
      </c>
      <c r="Q53" s="105">
        <v>0</v>
      </c>
      <c r="R53" s="105">
        <v>0</v>
      </c>
      <c r="S53" s="105">
        <v>0</v>
      </c>
      <c r="T53" s="106">
        <v>0</v>
      </c>
      <c r="U53" s="105">
        <v>0</v>
      </c>
      <c r="V53" s="105">
        <v>0</v>
      </c>
      <c r="W53" s="105">
        <v>0</v>
      </c>
      <c r="X53" s="106">
        <v>0</v>
      </c>
      <c r="Y53" s="105">
        <v>0</v>
      </c>
      <c r="Z53" s="105">
        <v>0</v>
      </c>
      <c r="AA53" s="105">
        <v>0</v>
      </c>
      <c r="AB53" s="107">
        <f t="shared" si="14"/>
        <v>16</v>
      </c>
      <c r="AC53" s="108">
        <f t="shared" si="15"/>
        <v>16</v>
      </c>
      <c r="AD53" s="108">
        <f t="shared" si="16"/>
        <v>16</v>
      </c>
      <c r="AE53" s="106">
        <f t="shared" si="17"/>
        <v>16</v>
      </c>
      <c r="AF53" s="386">
        <f t="shared" si="18"/>
        <v>16</v>
      </c>
      <c r="AG53" s="386">
        <f t="shared" si="19"/>
        <v>16</v>
      </c>
      <c r="AH53" s="386">
        <f t="shared" si="20"/>
        <v>0</v>
      </c>
      <c r="AI53" s="300">
        <f t="shared" si="21"/>
        <v>3964754720.000061</v>
      </c>
      <c r="AJ53" s="97">
        <v>0</v>
      </c>
      <c r="AK53" s="113">
        <v>0</v>
      </c>
      <c r="AL53" s="113">
        <v>0</v>
      </c>
      <c r="AM53" s="116">
        <f t="shared" si="22"/>
        <v>530</v>
      </c>
      <c r="AN53" s="117">
        <f t="shared" si="23"/>
        <v>530</v>
      </c>
      <c r="AO53" s="117">
        <f t="shared" si="24"/>
        <v>530</v>
      </c>
      <c r="AP53" s="118">
        <v>0</v>
      </c>
      <c r="AQ53" s="119">
        <v>0</v>
      </c>
      <c r="AR53" s="119">
        <v>0</v>
      </c>
      <c r="AS53" s="109">
        <f t="shared" si="25"/>
        <v>0</v>
      </c>
      <c r="AT53" s="110">
        <f t="shared" si="26"/>
        <v>0</v>
      </c>
      <c r="AU53" s="110">
        <f t="shared" si="27"/>
        <v>0</v>
      </c>
    </row>
    <row r="54" spans="1:47" ht="14.25" customHeight="1" x14ac:dyDescent="0.25">
      <c r="A54" s="35" t="s">
        <v>442</v>
      </c>
      <c r="B54" s="383"/>
      <c r="C54" s="411"/>
      <c r="D54" s="412" t="str">
        <f>IF(ISNUMBER(MATCH(Table19[[#This Row],[General]],COVENANTS!$A$2:$A$100,0)), "Y","N")</f>
        <v>N</v>
      </c>
      <c r="E54" s="412" t="str">
        <f>IF(ISNUMBER(MATCH(Table19[[#This Row],[General]],COVENANTS!$B$2:$B$100,0)), "Y","N")</f>
        <v>N</v>
      </c>
      <c r="F54" s="412" t="str">
        <f>IF(ISNUMBER(MATCH(Table19[[#This Row],[General]],COVENANTS!$C$2:$C$100,0)), "Y","N")</f>
        <v>N</v>
      </c>
      <c r="G54" s="413" t="str">
        <f>IF(ISNUMBER(MATCH(Table19[[#This Row],[General]],COVENANTS!$D$2:$D$100,0)), "Y","N")</f>
        <v>N</v>
      </c>
      <c r="H54" s="122">
        <v>0</v>
      </c>
      <c r="I54" s="113">
        <v>0</v>
      </c>
      <c r="J54" s="113">
        <v>0</v>
      </c>
      <c r="K54" s="113">
        <v>0</v>
      </c>
      <c r="L54" s="106">
        <v>0</v>
      </c>
      <c r="M54" s="105">
        <v>0</v>
      </c>
      <c r="N54" s="105">
        <v>0</v>
      </c>
      <c r="O54" s="105">
        <v>0</v>
      </c>
      <c r="P54" s="106">
        <v>0</v>
      </c>
      <c r="Q54" s="105">
        <v>0</v>
      </c>
      <c r="R54" s="105">
        <v>0</v>
      </c>
      <c r="S54" s="105">
        <v>0</v>
      </c>
      <c r="T54" s="106">
        <v>0</v>
      </c>
      <c r="U54" s="105">
        <v>0</v>
      </c>
      <c r="V54" s="105">
        <v>0</v>
      </c>
      <c r="W54" s="105">
        <v>0</v>
      </c>
      <c r="X54" s="106">
        <v>0</v>
      </c>
      <c r="Y54" s="105">
        <v>0</v>
      </c>
      <c r="Z54" s="105">
        <v>0</v>
      </c>
      <c r="AA54" s="105">
        <v>0</v>
      </c>
      <c r="AB54" s="107">
        <f t="shared" si="14"/>
        <v>16</v>
      </c>
      <c r="AC54" s="108">
        <f t="shared" si="15"/>
        <v>16</v>
      </c>
      <c r="AD54" s="108">
        <f t="shared" si="16"/>
        <v>16</v>
      </c>
      <c r="AE54" s="106">
        <f t="shared" si="17"/>
        <v>16</v>
      </c>
      <c r="AF54" s="386">
        <f t="shared" si="18"/>
        <v>16</v>
      </c>
      <c r="AG54" s="386">
        <f t="shared" si="19"/>
        <v>16</v>
      </c>
      <c r="AH54" s="386">
        <f t="shared" si="20"/>
        <v>0</v>
      </c>
      <c r="AI54" s="300">
        <f t="shared" si="21"/>
        <v>3964754720.000061</v>
      </c>
      <c r="AJ54" s="97">
        <v>0</v>
      </c>
      <c r="AK54" s="113">
        <v>0</v>
      </c>
      <c r="AL54" s="113">
        <v>0</v>
      </c>
      <c r="AM54" s="116">
        <f t="shared" si="22"/>
        <v>530</v>
      </c>
      <c r="AN54" s="117">
        <f t="shared" si="23"/>
        <v>530</v>
      </c>
      <c r="AO54" s="117">
        <f t="shared" si="24"/>
        <v>530</v>
      </c>
      <c r="AP54" s="118">
        <v>0</v>
      </c>
      <c r="AQ54" s="119">
        <v>0</v>
      </c>
      <c r="AR54" s="119">
        <v>0</v>
      </c>
      <c r="AS54" s="109">
        <f t="shared" si="25"/>
        <v>0</v>
      </c>
      <c r="AT54" s="110">
        <f t="shared" si="26"/>
        <v>0</v>
      </c>
      <c r="AU54" s="110">
        <f t="shared" si="27"/>
        <v>0</v>
      </c>
    </row>
    <row r="55" spans="1:47" ht="14.25" customHeight="1" x14ac:dyDescent="0.25">
      <c r="A55" s="35" t="s">
        <v>443</v>
      </c>
      <c r="B55" s="383"/>
      <c r="C55" s="411"/>
      <c r="D55" s="412" t="str">
        <f>IF(ISNUMBER(MATCH(Table19[[#This Row],[General]],COVENANTS!$A$2:$A$100,0)), "Y","N")</f>
        <v>N</v>
      </c>
      <c r="E55" s="412" t="str">
        <f>IF(ISNUMBER(MATCH(Table19[[#This Row],[General]],COVENANTS!$B$2:$B$100,0)), "Y","N")</f>
        <v>N</v>
      </c>
      <c r="F55" s="412" t="str">
        <f>IF(ISNUMBER(MATCH(Table19[[#This Row],[General]],COVENANTS!$C$2:$C$100,0)), "Y","N")</f>
        <v>N</v>
      </c>
      <c r="G55" s="413" t="str">
        <f>IF(ISNUMBER(MATCH(Table19[[#This Row],[General]],COVENANTS!$D$2:$D$100,0)), "Y","N")</f>
        <v>N</v>
      </c>
      <c r="H55" s="122">
        <v>0</v>
      </c>
      <c r="I55" s="113">
        <v>0</v>
      </c>
      <c r="J55" s="113">
        <v>0</v>
      </c>
      <c r="K55" s="113">
        <v>0</v>
      </c>
      <c r="L55" s="106">
        <v>0</v>
      </c>
      <c r="M55" s="105">
        <v>0</v>
      </c>
      <c r="N55" s="105">
        <v>0</v>
      </c>
      <c r="O55" s="105">
        <v>0</v>
      </c>
      <c r="P55" s="106">
        <v>0</v>
      </c>
      <c r="Q55" s="105">
        <v>0</v>
      </c>
      <c r="R55" s="105">
        <v>0</v>
      </c>
      <c r="S55" s="105">
        <v>0</v>
      </c>
      <c r="T55" s="106">
        <v>0</v>
      </c>
      <c r="U55" s="105">
        <v>0</v>
      </c>
      <c r="V55" s="105">
        <v>0</v>
      </c>
      <c r="W55" s="105">
        <v>0</v>
      </c>
      <c r="X55" s="106">
        <v>0</v>
      </c>
      <c r="Y55" s="105">
        <v>0</v>
      </c>
      <c r="Z55" s="105">
        <v>0</v>
      </c>
      <c r="AA55" s="105">
        <v>0</v>
      </c>
      <c r="AB55" s="107">
        <f t="shared" si="14"/>
        <v>16</v>
      </c>
      <c r="AC55" s="108">
        <f t="shared" si="15"/>
        <v>16</v>
      </c>
      <c r="AD55" s="108">
        <f t="shared" si="16"/>
        <v>16</v>
      </c>
      <c r="AE55" s="106">
        <f t="shared" si="17"/>
        <v>16</v>
      </c>
      <c r="AF55" s="386">
        <f t="shared" si="18"/>
        <v>16</v>
      </c>
      <c r="AG55" s="386">
        <f t="shared" si="19"/>
        <v>16</v>
      </c>
      <c r="AH55" s="386">
        <f t="shared" si="20"/>
        <v>0</v>
      </c>
      <c r="AI55" s="300">
        <f t="shared" si="21"/>
        <v>3964754720.000061</v>
      </c>
      <c r="AJ55" s="97">
        <v>0</v>
      </c>
      <c r="AK55" s="113">
        <v>0</v>
      </c>
      <c r="AL55" s="113">
        <v>0</v>
      </c>
      <c r="AM55" s="116">
        <f t="shared" si="22"/>
        <v>530</v>
      </c>
      <c r="AN55" s="117">
        <f t="shared" si="23"/>
        <v>530</v>
      </c>
      <c r="AO55" s="117">
        <f t="shared" si="24"/>
        <v>530</v>
      </c>
      <c r="AP55" s="118">
        <v>0</v>
      </c>
      <c r="AQ55" s="119">
        <v>0</v>
      </c>
      <c r="AR55" s="119">
        <v>0</v>
      </c>
      <c r="AS55" s="109">
        <f t="shared" si="25"/>
        <v>0</v>
      </c>
      <c r="AT55" s="110">
        <f t="shared" si="26"/>
        <v>0</v>
      </c>
      <c r="AU55" s="110">
        <f t="shared" si="27"/>
        <v>0</v>
      </c>
    </row>
    <row r="56" spans="1:47" ht="14.25" customHeight="1" x14ac:dyDescent="0.25">
      <c r="A56" s="35" t="s">
        <v>444</v>
      </c>
      <c r="B56" s="383"/>
      <c r="C56" s="411"/>
      <c r="D56" s="412" t="str">
        <f>IF(ISNUMBER(MATCH(Table19[[#This Row],[General]],COVENANTS!$A$2:$A$100,0)), "Y","N")</f>
        <v>N</v>
      </c>
      <c r="E56" s="412" t="str">
        <f>IF(ISNUMBER(MATCH(Table19[[#This Row],[General]],COVENANTS!$B$2:$B$100,0)), "Y","N")</f>
        <v>N</v>
      </c>
      <c r="F56" s="412" t="str">
        <f>IF(ISNUMBER(MATCH(Table19[[#This Row],[General]],COVENANTS!$C$2:$C$100,0)), "Y","N")</f>
        <v>N</v>
      </c>
      <c r="G56" s="413" t="str">
        <f>IF(ISNUMBER(MATCH(Table19[[#This Row],[General]],COVENANTS!$D$2:$D$100,0)), "Y","N")</f>
        <v>N</v>
      </c>
      <c r="H56" s="122">
        <v>0</v>
      </c>
      <c r="I56" s="113">
        <v>0</v>
      </c>
      <c r="J56" s="113">
        <v>0</v>
      </c>
      <c r="K56" s="113">
        <v>0</v>
      </c>
      <c r="L56" s="106">
        <v>0</v>
      </c>
      <c r="M56" s="105">
        <v>0</v>
      </c>
      <c r="N56" s="105">
        <v>0</v>
      </c>
      <c r="O56" s="105">
        <v>0</v>
      </c>
      <c r="P56" s="106">
        <v>0</v>
      </c>
      <c r="Q56" s="105">
        <v>0</v>
      </c>
      <c r="R56" s="105">
        <v>0</v>
      </c>
      <c r="S56" s="105">
        <v>0</v>
      </c>
      <c r="T56" s="106">
        <v>0</v>
      </c>
      <c r="U56" s="105">
        <v>0</v>
      </c>
      <c r="V56" s="105">
        <v>0</v>
      </c>
      <c r="W56" s="105">
        <v>0</v>
      </c>
      <c r="X56" s="106">
        <v>0</v>
      </c>
      <c r="Y56" s="105">
        <v>0</v>
      </c>
      <c r="Z56" s="105">
        <v>0</v>
      </c>
      <c r="AA56" s="105">
        <v>0</v>
      </c>
      <c r="AB56" s="107">
        <f t="shared" si="14"/>
        <v>16</v>
      </c>
      <c r="AC56" s="108">
        <f t="shared" si="15"/>
        <v>16</v>
      </c>
      <c r="AD56" s="108">
        <f t="shared" si="16"/>
        <v>16</v>
      </c>
      <c r="AE56" s="106">
        <f t="shared" si="17"/>
        <v>16</v>
      </c>
      <c r="AF56" s="386">
        <f t="shared" si="18"/>
        <v>16</v>
      </c>
      <c r="AG56" s="386">
        <f t="shared" si="19"/>
        <v>16</v>
      </c>
      <c r="AH56" s="386">
        <f t="shared" si="20"/>
        <v>0</v>
      </c>
      <c r="AI56" s="300">
        <f t="shared" si="21"/>
        <v>3964754720.000061</v>
      </c>
      <c r="AJ56" s="97">
        <v>0</v>
      </c>
      <c r="AK56" s="113">
        <v>0</v>
      </c>
      <c r="AL56" s="113">
        <v>0</v>
      </c>
      <c r="AM56" s="116">
        <f t="shared" si="22"/>
        <v>530</v>
      </c>
      <c r="AN56" s="117">
        <f t="shared" si="23"/>
        <v>530</v>
      </c>
      <c r="AO56" s="117">
        <f t="shared" si="24"/>
        <v>530</v>
      </c>
      <c r="AP56" s="118">
        <v>0</v>
      </c>
      <c r="AQ56" s="119">
        <v>0</v>
      </c>
      <c r="AR56" s="119">
        <v>0</v>
      </c>
      <c r="AS56" s="109">
        <f t="shared" si="25"/>
        <v>0</v>
      </c>
      <c r="AT56" s="110">
        <f t="shared" si="26"/>
        <v>0</v>
      </c>
      <c r="AU56" s="110">
        <f t="shared" si="27"/>
        <v>0</v>
      </c>
    </row>
    <row r="57" spans="1:47" ht="14.25" customHeight="1" x14ac:dyDescent="0.25">
      <c r="AM57" s="23"/>
      <c r="AN57" s="23"/>
      <c r="AO57" s="23"/>
      <c r="AP57" s="23"/>
      <c r="AQ57" s="23"/>
      <c r="AR57" s="23"/>
    </row>
    <row r="58" spans="1:47" s="60" customFormat="1" ht="18" customHeight="1" x14ac:dyDescent="0.25">
      <c r="A58" s="528" t="s">
        <v>110</v>
      </c>
      <c r="B58" s="528"/>
      <c r="C58" s="529"/>
      <c r="D58" s="545" t="s">
        <v>564</v>
      </c>
      <c r="E58" s="528"/>
      <c r="F58" s="528"/>
      <c r="G58" s="528"/>
      <c r="H58" s="541" t="s">
        <v>293</v>
      </c>
      <c r="I58" s="541"/>
      <c r="J58" s="541"/>
      <c r="K58" s="542"/>
      <c r="L58" s="539" t="s">
        <v>282</v>
      </c>
      <c r="M58" s="539"/>
      <c r="N58" s="539"/>
      <c r="O58" s="540"/>
      <c r="P58" s="548" t="s">
        <v>283</v>
      </c>
      <c r="Q58" s="548"/>
      <c r="R58" s="548"/>
      <c r="S58" s="549"/>
      <c r="T58" s="550" t="s">
        <v>284</v>
      </c>
      <c r="U58" s="550"/>
      <c r="V58" s="550"/>
      <c r="W58" s="551"/>
      <c r="X58" s="552" t="s">
        <v>285</v>
      </c>
      <c r="Y58" s="552"/>
      <c r="Z58" s="552"/>
      <c r="AA58" s="553"/>
      <c r="AB58" s="554" t="s">
        <v>327</v>
      </c>
      <c r="AC58" s="554"/>
      <c r="AD58" s="555"/>
      <c r="AE58" s="520" t="s">
        <v>5</v>
      </c>
      <c r="AF58" s="520"/>
      <c r="AG58" s="520"/>
      <c r="AH58" s="520"/>
      <c r="AI58" s="522"/>
      <c r="AJ58" s="61"/>
      <c r="AK58" s="61"/>
      <c r="AL58" s="61"/>
    </row>
    <row r="59" spans="1:47" ht="14.25" customHeight="1" thickBot="1" x14ac:dyDescent="0.3">
      <c r="A59" s="38" t="s">
        <v>48</v>
      </c>
      <c r="B59" s="182" t="s">
        <v>331</v>
      </c>
      <c r="C59" s="178" t="s">
        <v>0</v>
      </c>
      <c r="D59" s="32" t="s">
        <v>565</v>
      </c>
      <c r="E59" s="32" t="s">
        <v>503</v>
      </c>
      <c r="F59" s="32" t="s">
        <v>504</v>
      </c>
      <c r="G59" s="32" t="s">
        <v>505</v>
      </c>
      <c r="H59" s="179" t="s">
        <v>289</v>
      </c>
      <c r="I59" s="178" t="s">
        <v>290</v>
      </c>
      <c r="J59" s="178" t="s">
        <v>291</v>
      </c>
      <c r="K59" s="178" t="s">
        <v>292</v>
      </c>
      <c r="L59" s="179" t="s">
        <v>270</v>
      </c>
      <c r="M59" s="178" t="s">
        <v>271</v>
      </c>
      <c r="N59" s="178" t="s">
        <v>272</v>
      </c>
      <c r="O59" s="178" t="s">
        <v>273</v>
      </c>
      <c r="P59" s="179" t="s">
        <v>537</v>
      </c>
      <c r="Q59" s="178" t="s">
        <v>538</v>
      </c>
      <c r="R59" s="178" t="s">
        <v>539</v>
      </c>
      <c r="S59" s="178" t="s">
        <v>540</v>
      </c>
      <c r="T59" s="179" t="s">
        <v>541</v>
      </c>
      <c r="U59" s="178" t="s">
        <v>542</v>
      </c>
      <c r="V59" s="178" t="s">
        <v>543</v>
      </c>
      <c r="W59" s="178" t="s">
        <v>544</v>
      </c>
      <c r="X59" s="179" t="s">
        <v>545</v>
      </c>
      <c r="Y59" s="178" t="s">
        <v>546</v>
      </c>
      <c r="Z59" s="178" t="s">
        <v>547</v>
      </c>
      <c r="AA59" s="178" t="s">
        <v>548</v>
      </c>
      <c r="AB59" s="179" t="s">
        <v>549</v>
      </c>
      <c r="AC59" s="178" t="s">
        <v>550</v>
      </c>
      <c r="AD59" s="178" t="s">
        <v>551</v>
      </c>
      <c r="AE59" s="179" t="s">
        <v>552</v>
      </c>
      <c r="AF59" s="178" t="s">
        <v>553</v>
      </c>
      <c r="AG59" s="178" t="s">
        <v>554</v>
      </c>
      <c r="AH59" s="178" t="s">
        <v>555</v>
      </c>
      <c r="AI59" s="307" t="s">
        <v>274</v>
      </c>
      <c r="AM59" s="23"/>
      <c r="AN59" s="23"/>
      <c r="AO59" s="23"/>
      <c r="AP59" s="23"/>
      <c r="AQ59" s="23"/>
      <c r="AR59" s="23"/>
    </row>
    <row r="60" spans="1:47" ht="14.25" customHeight="1" thickTop="1" x14ac:dyDescent="0.25">
      <c r="A60" s="35" t="s">
        <v>49</v>
      </c>
      <c r="B60" s="208" t="s">
        <v>333</v>
      </c>
      <c r="C60" s="415" t="s">
        <v>1145</v>
      </c>
      <c r="D60" s="416" t="str">
        <f>IF(ISNUMBER(MATCH(Table20[[#This Row],[General]],COVENANTS!$A$2:$A$100,0)), "Y","N")</f>
        <v>Y</v>
      </c>
      <c r="E60" s="416" t="str">
        <f>IF(ISNUMBER(MATCH(Table20[[#This Row],[General]],COVENANTS!$B$2:$B$100,0)), "Y","N")</f>
        <v>N</v>
      </c>
      <c r="F60" s="416" t="str">
        <f>IF(ISNUMBER(MATCH(Table20[[#This Row],[General]],COVENANTS!$C$2:$C$100,0)), "Y","N")</f>
        <v>N</v>
      </c>
      <c r="G60" s="416" t="str">
        <f>IF(ISNUMBER(MATCH(Table20[[#This Row],[General]],COVENANTS!$D$2:$D$100,0)), "Y","N")</f>
        <v>Y</v>
      </c>
      <c r="H60" s="126">
        <v>25</v>
      </c>
      <c r="I60" s="210">
        <v>25</v>
      </c>
      <c r="J60" s="210">
        <v>25</v>
      </c>
      <c r="K60" s="210">
        <v>12</v>
      </c>
      <c r="L60" s="212">
        <v>60</v>
      </c>
      <c r="M60" s="210">
        <v>60</v>
      </c>
      <c r="N60" s="210">
        <v>45</v>
      </c>
      <c r="O60" s="210">
        <v>0</v>
      </c>
      <c r="P60" s="212">
        <v>0</v>
      </c>
      <c r="Q60" s="210">
        <v>0</v>
      </c>
      <c r="R60" s="210">
        <v>0</v>
      </c>
      <c r="S60" s="210">
        <v>0</v>
      </c>
      <c r="T60" s="212">
        <v>85</v>
      </c>
      <c r="U60" s="210">
        <v>20</v>
      </c>
      <c r="V60" s="210">
        <v>10</v>
      </c>
      <c r="W60" s="210">
        <v>21</v>
      </c>
      <c r="X60" s="212">
        <v>27</v>
      </c>
      <c r="Y60" s="210">
        <v>10</v>
      </c>
      <c r="Z60" s="210">
        <v>15</v>
      </c>
      <c r="AA60" s="210">
        <v>15</v>
      </c>
      <c r="AB60" s="212">
        <v>0</v>
      </c>
      <c r="AC60" s="210">
        <v>0</v>
      </c>
      <c r="AD60" s="210">
        <v>0</v>
      </c>
      <c r="AE60" s="212">
        <f t="shared" ref="AE60:AE91" si="28">L60+T60+X60</f>
        <v>172</v>
      </c>
      <c r="AF60" s="210">
        <f t="shared" ref="AF60:AF91" si="29">M60+U60+Y60</f>
        <v>90</v>
      </c>
      <c r="AG60" s="210">
        <f t="shared" ref="AG60:AG91" si="30">N60+V60+Z60</f>
        <v>70</v>
      </c>
      <c r="AH60" s="210">
        <f t="shared" ref="AH60:AH91" si="31">O60+W60+AA60</f>
        <v>36</v>
      </c>
      <c r="AI60" s="296">
        <f t="shared" ref="AI60:AI91" si="32">(AW$2*(AH60/100)+AW$2+AW$3)*(AX$2*(AE60/100)+AX$2+AX$3)-AY$2</f>
        <v>78627587480</v>
      </c>
      <c r="AM60" s="23"/>
      <c r="AN60" s="23"/>
      <c r="AO60" s="23"/>
      <c r="AP60" s="23"/>
      <c r="AQ60" s="23"/>
      <c r="AR60" s="23"/>
    </row>
    <row r="61" spans="1:47" ht="14.25" customHeight="1" x14ac:dyDescent="0.25">
      <c r="A61" s="35" t="s">
        <v>50</v>
      </c>
      <c r="B61" s="120" t="s">
        <v>333</v>
      </c>
      <c r="C61" s="134" t="s">
        <v>206</v>
      </c>
      <c r="D61" s="135" t="str">
        <f>IF(ISNUMBER(MATCH(Table20[[#This Row],[General]],COVENANTS!$A$2:$A$100,0)), "Y","N")</f>
        <v>Y</v>
      </c>
      <c r="E61" s="135" t="str">
        <f>IF(ISNUMBER(MATCH(Table20[[#This Row],[General]],COVENANTS!$B$2:$B$100,0)), "Y","N")</f>
        <v>Y</v>
      </c>
      <c r="F61" s="135" t="str">
        <f>IF(ISNUMBER(MATCH(Table20[[#This Row],[General]],COVENANTS!$C$2:$C$100,0)), "Y","N")</f>
        <v>N</v>
      </c>
      <c r="G61" s="135" t="str">
        <f>IF(ISNUMBER(MATCH(Table20[[#This Row],[General]],COVENANTS!$D$2:$D$100,0)), "Y","N")</f>
        <v>N</v>
      </c>
      <c r="H61" s="122">
        <v>25</v>
      </c>
      <c r="I61" s="123">
        <v>25</v>
      </c>
      <c r="J61" s="123">
        <v>25</v>
      </c>
      <c r="K61" s="123">
        <v>12</v>
      </c>
      <c r="L61" s="122">
        <v>50</v>
      </c>
      <c r="M61" s="123">
        <v>0</v>
      </c>
      <c r="N61" s="123">
        <v>50</v>
      </c>
      <c r="O61" s="123">
        <v>12</v>
      </c>
      <c r="P61" s="122">
        <v>0</v>
      </c>
      <c r="Q61" s="123">
        <v>0</v>
      </c>
      <c r="R61" s="123">
        <v>0</v>
      </c>
      <c r="S61" s="123">
        <v>0</v>
      </c>
      <c r="T61" s="122">
        <v>70</v>
      </c>
      <c r="U61" s="123">
        <v>50</v>
      </c>
      <c r="V61" s="123">
        <v>20</v>
      </c>
      <c r="W61" s="123">
        <v>16</v>
      </c>
      <c r="X61" s="122">
        <v>25</v>
      </c>
      <c r="Y61" s="123">
        <v>10</v>
      </c>
      <c r="Z61" s="123">
        <v>10</v>
      </c>
      <c r="AA61" s="123">
        <v>10</v>
      </c>
      <c r="AB61" s="122">
        <v>0</v>
      </c>
      <c r="AC61" s="123">
        <v>0</v>
      </c>
      <c r="AD61" s="123">
        <v>0</v>
      </c>
      <c r="AE61" s="122">
        <f t="shared" si="28"/>
        <v>145</v>
      </c>
      <c r="AF61" s="123">
        <f t="shared" si="29"/>
        <v>60</v>
      </c>
      <c r="AG61" s="123">
        <f t="shared" si="30"/>
        <v>80</v>
      </c>
      <c r="AH61" s="123">
        <f t="shared" si="31"/>
        <v>38</v>
      </c>
      <c r="AI61" s="298">
        <f t="shared" si="32"/>
        <v>73485757850</v>
      </c>
      <c r="AM61" s="23"/>
      <c r="AN61" s="23"/>
      <c r="AO61" s="23"/>
      <c r="AP61" s="23"/>
      <c r="AQ61" s="23"/>
      <c r="AR61" s="23"/>
    </row>
    <row r="62" spans="1:47" ht="14.25" customHeight="1" x14ac:dyDescent="0.25">
      <c r="A62" s="35" t="s">
        <v>51</v>
      </c>
      <c r="B62" s="120" t="s">
        <v>333</v>
      </c>
      <c r="C62" s="134" t="s">
        <v>112</v>
      </c>
      <c r="D62" s="135" t="str">
        <f>IF(ISNUMBER(MATCH(Table20[[#This Row],[General]],COVENANTS!$A$2:$A$100,0)), "Y","N")</f>
        <v>Y</v>
      </c>
      <c r="E62" s="135" t="str">
        <f>IF(ISNUMBER(MATCH(Table20[[#This Row],[General]],COVENANTS!$B$2:$B$100,0)), "Y","N")</f>
        <v>N</v>
      </c>
      <c r="F62" s="135" t="str">
        <f>IF(ISNUMBER(MATCH(Table20[[#This Row],[General]],COVENANTS!$C$2:$C$100,0)), "Y","N")</f>
        <v>N</v>
      </c>
      <c r="G62" s="135" t="str">
        <f>IF(ISNUMBER(MATCH(Table20[[#This Row],[General]],COVENANTS!$D$2:$D$100,0)), "Y","N")</f>
        <v>Y</v>
      </c>
      <c r="H62" s="122">
        <v>0</v>
      </c>
      <c r="I62" s="123">
        <v>25</v>
      </c>
      <c r="J62" s="123">
        <v>25</v>
      </c>
      <c r="K62" s="123">
        <v>12</v>
      </c>
      <c r="L62" s="122">
        <v>45</v>
      </c>
      <c r="M62" s="123">
        <v>35</v>
      </c>
      <c r="N62" s="123">
        <v>35</v>
      </c>
      <c r="O62" s="123">
        <v>0</v>
      </c>
      <c r="P62" s="122">
        <v>0</v>
      </c>
      <c r="Q62" s="123">
        <v>0</v>
      </c>
      <c r="R62" s="123">
        <v>0</v>
      </c>
      <c r="S62" s="123">
        <v>0</v>
      </c>
      <c r="T62" s="122">
        <v>80</v>
      </c>
      <c r="U62" s="123">
        <v>35</v>
      </c>
      <c r="V62" s="123">
        <v>10</v>
      </c>
      <c r="W62" s="123">
        <v>21</v>
      </c>
      <c r="X62" s="122">
        <v>10</v>
      </c>
      <c r="Y62" s="123">
        <v>10</v>
      </c>
      <c r="Z62" s="123">
        <v>10</v>
      </c>
      <c r="AA62" s="123">
        <v>8</v>
      </c>
      <c r="AB62" s="122">
        <v>0</v>
      </c>
      <c r="AC62" s="123">
        <v>0</v>
      </c>
      <c r="AD62" s="123">
        <v>0</v>
      </c>
      <c r="AE62" s="122">
        <f t="shared" si="28"/>
        <v>135</v>
      </c>
      <c r="AF62" s="123">
        <f t="shared" si="29"/>
        <v>80</v>
      </c>
      <c r="AG62" s="123">
        <f t="shared" si="30"/>
        <v>55</v>
      </c>
      <c r="AH62" s="123">
        <f t="shared" si="31"/>
        <v>29</v>
      </c>
      <c r="AI62" s="298">
        <f t="shared" si="32"/>
        <v>61985477250</v>
      </c>
      <c r="AM62" s="23"/>
      <c r="AN62" s="23"/>
      <c r="AO62" s="23"/>
      <c r="AP62" s="23"/>
      <c r="AQ62" s="23"/>
      <c r="AR62" s="23"/>
    </row>
    <row r="63" spans="1:47" ht="14.25" customHeight="1" x14ac:dyDescent="0.25">
      <c r="A63" s="35" t="s">
        <v>52</v>
      </c>
      <c r="B63" s="120" t="s">
        <v>333</v>
      </c>
      <c r="C63" s="134" t="s">
        <v>113</v>
      </c>
      <c r="D63" s="135" t="str">
        <f>IF(ISNUMBER(MATCH(Table20[[#This Row],[General]],COVENANTS!$A$2:$A$100,0)), "Y","N")</f>
        <v>Y</v>
      </c>
      <c r="E63" s="135" t="str">
        <f>IF(ISNUMBER(MATCH(Table20[[#This Row],[General]],COVENANTS!$B$2:$B$100,0)), "Y","N")</f>
        <v>N</v>
      </c>
      <c r="F63" s="135" t="str">
        <f>IF(ISNUMBER(MATCH(Table20[[#This Row],[General]],COVENANTS!$C$2:$C$100,0)), "Y","N")</f>
        <v>N</v>
      </c>
      <c r="G63" s="135" t="str">
        <f>IF(ISNUMBER(MATCH(Table20[[#This Row],[General]],COVENANTS!$D$2:$D$100,0)), "Y","N")</f>
        <v>N</v>
      </c>
      <c r="H63" s="122">
        <v>25</v>
      </c>
      <c r="I63" s="123">
        <v>25</v>
      </c>
      <c r="J63" s="123">
        <v>25</v>
      </c>
      <c r="K63" s="123">
        <v>12</v>
      </c>
      <c r="L63" s="122">
        <v>50</v>
      </c>
      <c r="M63" s="123">
        <v>40</v>
      </c>
      <c r="N63" s="123">
        <v>50</v>
      </c>
      <c r="O63" s="123">
        <v>0</v>
      </c>
      <c r="P63" s="122">
        <v>0</v>
      </c>
      <c r="Q63" s="123">
        <v>0</v>
      </c>
      <c r="R63" s="123">
        <v>0</v>
      </c>
      <c r="S63" s="123">
        <v>0</v>
      </c>
      <c r="T63" s="122">
        <v>80</v>
      </c>
      <c r="U63" s="123">
        <v>70</v>
      </c>
      <c r="V63" s="123">
        <v>10</v>
      </c>
      <c r="W63" s="123">
        <v>16</v>
      </c>
      <c r="X63" s="122">
        <v>10</v>
      </c>
      <c r="Y63" s="123">
        <v>10</v>
      </c>
      <c r="Z63" s="123">
        <v>10</v>
      </c>
      <c r="AA63" s="123">
        <v>8</v>
      </c>
      <c r="AB63" s="122">
        <v>0</v>
      </c>
      <c r="AC63" s="123">
        <v>0</v>
      </c>
      <c r="AD63" s="123">
        <v>0</v>
      </c>
      <c r="AE63" s="122">
        <f t="shared" si="28"/>
        <v>140</v>
      </c>
      <c r="AF63" s="123">
        <f t="shared" si="29"/>
        <v>120</v>
      </c>
      <c r="AG63" s="123">
        <f t="shared" si="30"/>
        <v>70</v>
      </c>
      <c r="AH63" s="123">
        <f t="shared" si="31"/>
        <v>24</v>
      </c>
      <c r="AI63" s="298">
        <f t="shared" si="32"/>
        <v>58357831000</v>
      </c>
      <c r="AM63" s="23"/>
      <c r="AN63" s="23"/>
      <c r="AO63" s="23"/>
      <c r="AP63" s="23"/>
      <c r="AQ63" s="23"/>
      <c r="AR63" s="23"/>
    </row>
    <row r="64" spans="1:47" ht="14.25" customHeight="1" x14ac:dyDescent="0.25">
      <c r="A64" s="35" t="s">
        <v>53</v>
      </c>
      <c r="B64" s="120" t="s">
        <v>333</v>
      </c>
      <c r="C64" s="134" t="s">
        <v>114</v>
      </c>
      <c r="D64" s="135" t="str">
        <f>IF(ISNUMBER(MATCH(Table20[[#This Row],[General]],COVENANTS!$A$2:$A$100,0)), "Y","N")</f>
        <v>Y</v>
      </c>
      <c r="E64" s="135" t="str">
        <f>IF(ISNUMBER(MATCH(Table20[[#This Row],[General]],COVENANTS!$B$2:$B$100,0)), "Y","N")</f>
        <v>N</v>
      </c>
      <c r="F64" s="135" t="str">
        <f>IF(ISNUMBER(MATCH(Table20[[#This Row],[General]],COVENANTS!$C$2:$C$100,0)), "Y","N")</f>
        <v>N</v>
      </c>
      <c r="G64" s="135" t="str">
        <f>IF(ISNUMBER(MATCH(Table20[[#This Row],[General]],COVENANTS!$D$2:$D$100,0)), "Y","N")</f>
        <v>Y</v>
      </c>
      <c r="H64" s="122">
        <v>25</v>
      </c>
      <c r="I64" s="123">
        <v>25</v>
      </c>
      <c r="J64" s="123">
        <v>25</v>
      </c>
      <c r="K64" s="123">
        <v>12</v>
      </c>
      <c r="L64" s="122">
        <v>40</v>
      </c>
      <c r="M64" s="123">
        <v>0</v>
      </c>
      <c r="N64" s="123">
        <v>40</v>
      </c>
      <c r="O64" s="123">
        <v>15</v>
      </c>
      <c r="P64" s="122">
        <v>0</v>
      </c>
      <c r="Q64" s="123">
        <v>0</v>
      </c>
      <c r="R64" s="123">
        <v>0</v>
      </c>
      <c r="S64" s="123">
        <v>0</v>
      </c>
      <c r="T64" s="122">
        <v>75</v>
      </c>
      <c r="U64" s="123">
        <v>45</v>
      </c>
      <c r="V64" s="123">
        <v>35</v>
      </c>
      <c r="W64" s="123">
        <v>6</v>
      </c>
      <c r="X64" s="122">
        <v>10</v>
      </c>
      <c r="Y64" s="123">
        <v>10</v>
      </c>
      <c r="Z64" s="123">
        <v>10</v>
      </c>
      <c r="AA64" s="123">
        <v>5</v>
      </c>
      <c r="AB64" s="122">
        <v>0</v>
      </c>
      <c r="AC64" s="123">
        <v>0</v>
      </c>
      <c r="AD64" s="123">
        <v>0</v>
      </c>
      <c r="AE64" s="122">
        <f t="shared" si="28"/>
        <v>125</v>
      </c>
      <c r="AF64" s="123">
        <f t="shared" si="29"/>
        <v>55</v>
      </c>
      <c r="AG64" s="123">
        <f t="shared" si="30"/>
        <v>85</v>
      </c>
      <c r="AH64" s="123">
        <f t="shared" si="31"/>
        <v>26</v>
      </c>
      <c r="AI64" s="298">
        <f t="shared" si="32"/>
        <v>56441373250</v>
      </c>
      <c r="AM64" s="23"/>
      <c r="AN64" s="23"/>
      <c r="AO64" s="23"/>
      <c r="AP64" s="23"/>
      <c r="AQ64" s="23"/>
      <c r="AR64" s="23"/>
    </row>
    <row r="65" spans="1:44" ht="14.25" customHeight="1" x14ac:dyDescent="0.25">
      <c r="A65" s="35" t="s">
        <v>54</v>
      </c>
      <c r="B65" s="120" t="s">
        <v>333</v>
      </c>
      <c r="C65" s="121" t="s">
        <v>634</v>
      </c>
      <c r="D65" s="135" t="str">
        <f>IF(ISNUMBER(MATCH(Table20[[#This Row],[General]],COVENANTS!$A$2:$A$100,0)), "Y","N")</f>
        <v>Y</v>
      </c>
      <c r="E65" s="135" t="str">
        <f>IF(ISNUMBER(MATCH(Table20[[#This Row],[General]],COVENANTS!$B$2:$B$100,0)), "Y","N")</f>
        <v>N</v>
      </c>
      <c r="F65" s="135" t="str">
        <f>IF(ISNUMBER(MATCH(Table20[[#This Row],[General]],COVENANTS!$C$2:$C$100,0)), "Y","N")</f>
        <v>N</v>
      </c>
      <c r="G65" s="135" t="str">
        <f>IF(ISNUMBER(MATCH(Table20[[#This Row],[General]],COVENANTS!$D$2:$D$100,0)), "Y","N")</f>
        <v>Y</v>
      </c>
      <c r="H65" s="122">
        <v>25</v>
      </c>
      <c r="I65" s="123">
        <v>25</v>
      </c>
      <c r="J65" s="123">
        <v>25</v>
      </c>
      <c r="K65" s="123">
        <v>12</v>
      </c>
      <c r="L65" s="122">
        <v>55</v>
      </c>
      <c r="M65" s="123">
        <v>55</v>
      </c>
      <c r="N65" s="123">
        <v>35</v>
      </c>
      <c r="O65" s="123">
        <v>0</v>
      </c>
      <c r="P65" s="122">
        <v>0</v>
      </c>
      <c r="Q65" s="123">
        <v>0</v>
      </c>
      <c r="R65" s="123">
        <v>0</v>
      </c>
      <c r="S65" s="123">
        <v>0</v>
      </c>
      <c r="T65" s="122">
        <v>75</v>
      </c>
      <c r="U65" s="123">
        <v>55</v>
      </c>
      <c r="V65" s="123">
        <v>20</v>
      </c>
      <c r="W65" s="123">
        <v>10</v>
      </c>
      <c r="X65" s="122">
        <v>15</v>
      </c>
      <c r="Y65" s="123">
        <v>15</v>
      </c>
      <c r="Z65" s="123">
        <v>10</v>
      </c>
      <c r="AA65" s="123">
        <v>10</v>
      </c>
      <c r="AB65" s="122">
        <v>0</v>
      </c>
      <c r="AC65" s="123">
        <v>0</v>
      </c>
      <c r="AD65" s="123">
        <v>0</v>
      </c>
      <c r="AE65" s="122">
        <f t="shared" si="28"/>
        <v>145</v>
      </c>
      <c r="AF65" s="123">
        <f t="shared" si="29"/>
        <v>125</v>
      </c>
      <c r="AG65" s="123">
        <f t="shared" si="30"/>
        <v>65</v>
      </c>
      <c r="AH65" s="123">
        <f t="shared" si="31"/>
        <v>20</v>
      </c>
      <c r="AI65" s="298">
        <f t="shared" si="32"/>
        <v>55696467650</v>
      </c>
      <c r="AM65" s="23"/>
      <c r="AN65" s="23"/>
      <c r="AO65" s="23"/>
      <c r="AP65" s="23"/>
      <c r="AQ65" s="23"/>
      <c r="AR65" s="23"/>
    </row>
    <row r="66" spans="1:44" ht="14.25" customHeight="1" x14ac:dyDescent="0.25">
      <c r="A66" s="35" t="s">
        <v>55</v>
      </c>
      <c r="B66" s="120" t="s">
        <v>332</v>
      </c>
      <c r="C66" s="134" t="s">
        <v>111</v>
      </c>
      <c r="D66" s="135" t="str">
        <f>IF(ISNUMBER(MATCH(Table20[[#This Row],[General]],COVENANTS!$A$2:$A$100,0)), "Y","N")</f>
        <v>Y</v>
      </c>
      <c r="E66" s="135" t="str">
        <f>IF(ISNUMBER(MATCH(Table20[[#This Row],[General]],COVENANTS!$B$2:$B$100,0)), "Y","N")</f>
        <v>N</v>
      </c>
      <c r="F66" s="135" t="str">
        <f>IF(ISNUMBER(MATCH(Table20[[#This Row],[General]],COVENANTS!$C$2:$C$100,0)), "Y","N")</f>
        <v>Y</v>
      </c>
      <c r="G66" s="135" t="str">
        <f>IF(ISNUMBER(MATCH(Table20[[#This Row],[General]],COVENANTS!$D$2:$D$100,0)), "Y","N")</f>
        <v>N</v>
      </c>
      <c r="H66" s="122">
        <v>25</v>
      </c>
      <c r="I66" s="123">
        <v>25</v>
      </c>
      <c r="J66" s="123">
        <v>25</v>
      </c>
      <c r="K66" s="123">
        <v>12</v>
      </c>
      <c r="L66" s="122">
        <v>45</v>
      </c>
      <c r="M66" s="123">
        <v>40</v>
      </c>
      <c r="N66" s="123">
        <v>40</v>
      </c>
      <c r="O66" s="123">
        <v>0</v>
      </c>
      <c r="P66" s="122">
        <v>0</v>
      </c>
      <c r="Q66" s="123">
        <v>0</v>
      </c>
      <c r="R66" s="123">
        <v>0</v>
      </c>
      <c r="S66" s="123">
        <v>0</v>
      </c>
      <c r="T66" s="122">
        <v>80</v>
      </c>
      <c r="U66" s="123">
        <v>20</v>
      </c>
      <c r="V66" s="123">
        <v>40</v>
      </c>
      <c r="W66" s="123">
        <v>21</v>
      </c>
      <c r="X66" s="122">
        <v>10</v>
      </c>
      <c r="Y66" s="123">
        <v>10</v>
      </c>
      <c r="Z66" s="123">
        <v>10</v>
      </c>
      <c r="AA66" s="123">
        <v>0</v>
      </c>
      <c r="AB66" s="122">
        <v>0</v>
      </c>
      <c r="AC66" s="123">
        <v>0</v>
      </c>
      <c r="AD66" s="123">
        <v>0</v>
      </c>
      <c r="AE66" s="122">
        <f t="shared" si="28"/>
        <v>135</v>
      </c>
      <c r="AF66" s="123">
        <f t="shared" si="29"/>
        <v>70</v>
      </c>
      <c r="AG66" s="123">
        <f t="shared" si="30"/>
        <v>90</v>
      </c>
      <c r="AH66" s="123">
        <f t="shared" si="31"/>
        <v>21</v>
      </c>
      <c r="AI66" s="298">
        <f t="shared" si="32"/>
        <v>54114343650</v>
      </c>
      <c r="AM66" s="23"/>
      <c r="AN66" s="23"/>
      <c r="AO66" s="23"/>
      <c r="AP66" s="23"/>
      <c r="AQ66" s="23"/>
      <c r="AR66" s="23"/>
    </row>
    <row r="67" spans="1:44" ht="14.25" customHeight="1" x14ac:dyDescent="0.25">
      <c r="A67" s="35" t="s">
        <v>56</v>
      </c>
      <c r="B67" s="120" t="s">
        <v>332</v>
      </c>
      <c r="C67" s="121" t="s">
        <v>685</v>
      </c>
      <c r="D67" s="135" t="str">
        <f>IF(ISNUMBER(MATCH(Table20[[#This Row],[General]],COVENANTS!$A$2:$A$100,0)), "Y","N")</f>
        <v>Y</v>
      </c>
      <c r="E67" s="135" t="str">
        <f>IF(ISNUMBER(MATCH(Table20[[#This Row],[General]],COVENANTS!$B$2:$B$100,0)), "Y","N")</f>
        <v>N</v>
      </c>
      <c r="F67" s="135" t="str">
        <f>IF(ISNUMBER(MATCH(Table20[[#This Row],[General]],COVENANTS!$C$2:$C$100,0)), "Y","N")</f>
        <v>N</v>
      </c>
      <c r="G67" s="135" t="str">
        <f>IF(ISNUMBER(MATCH(Table20[[#This Row],[General]],COVENANTS!$D$2:$D$100,0)), "Y","N")</f>
        <v>Y</v>
      </c>
      <c r="H67" s="122">
        <v>25</v>
      </c>
      <c r="I67" s="123">
        <v>25</v>
      </c>
      <c r="J67" s="123">
        <v>25</v>
      </c>
      <c r="K67" s="123">
        <v>12</v>
      </c>
      <c r="L67" s="122">
        <v>55</v>
      </c>
      <c r="M67" s="123">
        <v>40</v>
      </c>
      <c r="N67" s="123">
        <v>40</v>
      </c>
      <c r="O67" s="123">
        <v>0</v>
      </c>
      <c r="P67" s="122">
        <v>0</v>
      </c>
      <c r="Q67" s="123">
        <v>0</v>
      </c>
      <c r="R67" s="123">
        <v>0</v>
      </c>
      <c r="S67" s="123">
        <v>0</v>
      </c>
      <c r="T67" s="122">
        <v>80</v>
      </c>
      <c r="U67" s="123">
        <v>60</v>
      </c>
      <c r="V67" s="123">
        <v>50</v>
      </c>
      <c r="W67" s="123">
        <v>6</v>
      </c>
      <c r="X67" s="122">
        <v>15</v>
      </c>
      <c r="Y67" s="123">
        <v>5</v>
      </c>
      <c r="Z67" s="123">
        <v>10</v>
      </c>
      <c r="AA67" s="123">
        <v>10</v>
      </c>
      <c r="AB67" s="122">
        <v>0</v>
      </c>
      <c r="AC67" s="123">
        <v>0</v>
      </c>
      <c r="AD67" s="123">
        <v>0</v>
      </c>
      <c r="AE67" s="122">
        <f t="shared" si="28"/>
        <v>150</v>
      </c>
      <c r="AF67" s="123">
        <f t="shared" si="29"/>
        <v>105</v>
      </c>
      <c r="AG67" s="123">
        <f t="shared" si="30"/>
        <v>100</v>
      </c>
      <c r="AH67" s="123">
        <f t="shared" si="31"/>
        <v>16</v>
      </c>
      <c r="AI67" s="298">
        <f t="shared" si="32"/>
        <v>53017495500</v>
      </c>
      <c r="AM67" s="23"/>
      <c r="AN67" s="23"/>
      <c r="AO67" s="23"/>
      <c r="AP67" s="23"/>
      <c r="AQ67" s="23"/>
      <c r="AR67" s="23"/>
    </row>
    <row r="68" spans="1:44" ht="14.25" customHeight="1" x14ac:dyDescent="0.25">
      <c r="A68" s="35" t="s">
        <v>57</v>
      </c>
      <c r="B68" s="120" t="s">
        <v>332</v>
      </c>
      <c r="C68" s="121" t="s">
        <v>628</v>
      </c>
      <c r="D68" s="135" t="str">
        <f>IF(ISNUMBER(MATCH(Table20[[#This Row],[General]],COVENANTS!$A$2:$A$100,0)), "Y","N")</f>
        <v>Y</v>
      </c>
      <c r="E68" s="135" t="str">
        <f>IF(ISNUMBER(MATCH(Table20[[#This Row],[General]],COVENANTS!$B$2:$B$100,0)), "Y","N")</f>
        <v>N</v>
      </c>
      <c r="F68" s="135" t="str">
        <f>IF(ISNUMBER(MATCH(Table20[[#This Row],[General]],COVENANTS!$C$2:$C$100,0)), "Y","N")</f>
        <v>N</v>
      </c>
      <c r="G68" s="135" t="str">
        <f>IF(ISNUMBER(MATCH(Table20[[#This Row],[General]],COVENANTS!$D$2:$D$100,0)), "Y","N")</f>
        <v>Y</v>
      </c>
      <c r="H68" s="122">
        <v>25</v>
      </c>
      <c r="I68" s="123">
        <v>25</v>
      </c>
      <c r="J68" s="123">
        <v>25</v>
      </c>
      <c r="K68" s="123">
        <v>12</v>
      </c>
      <c r="L68" s="122">
        <v>55</v>
      </c>
      <c r="M68" s="123">
        <v>40</v>
      </c>
      <c r="N68" s="123">
        <v>40</v>
      </c>
      <c r="O68" s="123">
        <v>0</v>
      </c>
      <c r="P68" s="122">
        <v>0</v>
      </c>
      <c r="Q68" s="123">
        <v>0</v>
      </c>
      <c r="R68" s="123">
        <v>0</v>
      </c>
      <c r="S68" s="123">
        <v>0</v>
      </c>
      <c r="T68" s="122">
        <v>80</v>
      </c>
      <c r="U68" s="123">
        <v>55</v>
      </c>
      <c r="V68" s="123">
        <v>45</v>
      </c>
      <c r="W68" s="123">
        <v>6</v>
      </c>
      <c r="X68" s="122">
        <v>15</v>
      </c>
      <c r="Y68" s="123">
        <v>10</v>
      </c>
      <c r="Z68" s="123">
        <v>10</v>
      </c>
      <c r="AA68" s="123">
        <v>8</v>
      </c>
      <c r="AB68" s="122">
        <v>0</v>
      </c>
      <c r="AC68" s="123">
        <v>0</v>
      </c>
      <c r="AD68" s="123">
        <v>0</v>
      </c>
      <c r="AE68" s="122">
        <f t="shared" si="28"/>
        <v>150</v>
      </c>
      <c r="AF68" s="123">
        <f t="shared" si="29"/>
        <v>105</v>
      </c>
      <c r="AG68" s="123">
        <f t="shared" si="30"/>
        <v>95</v>
      </c>
      <c r="AH68" s="123">
        <f t="shared" si="31"/>
        <v>14</v>
      </c>
      <c r="AI68" s="298">
        <f t="shared" si="32"/>
        <v>51036505500</v>
      </c>
      <c r="AM68" s="23"/>
      <c r="AN68" s="23"/>
      <c r="AO68" s="23"/>
      <c r="AP68" s="23"/>
      <c r="AQ68" s="23"/>
      <c r="AR68" s="23"/>
    </row>
    <row r="69" spans="1:44" ht="14.25" customHeight="1" x14ac:dyDescent="0.25">
      <c r="A69" s="35" t="s">
        <v>58</v>
      </c>
      <c r="B69" s="104" t="s">
        <v>332</v>
      </c>
      <c r="C69" s="184" t="s">
        <v>1144</v>
      </c>
      <c r="D69" s="185" t="str">
        <f>IF(ISNUMBER(MATCH(Table20[[#This Row],[General]],COVENANTS!$A$2:$A$100,0)), "Y","N")</f>
        <v>Y</v>
      </c>
      <c r="E69" s="185" t="str">
        <f>IF(ISNUMBER(MATCH(Table20[[#This Row],[General]],COVENANTS!$B$2:$B$100,0)), "Y","N")</f>
        <v>N</v>
      </c>
      <c r="F69" s="185" t="str">
        <f>IF(ISNUMBER(MATCH(Table20[[#This Row],[General]],COVENANTS!$C$2:$C$100,0)), "Y","N")</f>
        <v>N</v>
      </c>
      <c r="G69" s="185" t="str">
        <f>IF(ISNUMBER(MATCH(Table20[[#This Row],[General]],COVENANTS!$D$2:$D$100,0)), "Y","N")</f>
        <v>Y</v>
      </c>
      <c r="H69" s="122">
        <v>25</v>
      </c>
      <c r="I69" s="105">
        <v>25</v>
      </c>
      <c r="J69" s="105">
        <v>25</v>
      </c>
      <c r="K69" s="105">
        <v>12</v>
      </c>
      <c r="L69" s="106">
        <v>60</v>
      </c>
      <c r="M69" s="105">
        <v>40</v>
      </c>
      <c r="N69" s="105">
        <v>60</v>
      </c>
      <c r="O69" s="105">
        <v>0</v>
      </c>
      <c r="P69" s="106">
        <v>0</v>
      </c>
      <c r="Q69" s="105">
        <v>0</v>
      </c>
      <c r="R69" s="105">
        <v>0</v>
      </c>
      <c r="S69" s="105">
        <v>0</v>
      </c>
      <c r="T69" s="106">
        <v>85</v>
      </c>
      <c r="U69" s="105">
        <v>45</v>
      </c>
      <c r="V69" s="105">
        <v>75</v>
      </c>
      <c r="W69" s="105">
        <v>0</v>
      </c>
      <c r="X69" s="106">
        <v>20</v>
      </c>
      <c r="Y69" s="105">
        <v>20</v>
      </c>
      <c r="Z69" s="105">
        <v>15</v>
      </c>
      <c r="AA69" s="105">
        <v>10</v>
      </c>
      <c r="AB69" s="106">
        <v>0</v>
      </c>
      <c r="AC69" s="105">
        <v>0</v>
      </c>
      <c r="AD69" s="105">
        <v>0</v>
      </c>
      <c r="AE69" s="106">
        <f t="shared" si="28"/>
        <v>165</v>
      </c>
      <c r="AF69" s="105">
        <f t="shared" si="29"/>
        <v>105</v>
      </c>
      <c r="AG69" s="105">
        <f t="shared" si="30"/>
        <v>150</v>
      </c>
      <c r="AH69" s="105">
        <f t="shared" si="31"/>
        <v>10</v>
      </c>
      <c r="AI69" s="297">
        <f t="shared" si="32"/>
        <v>50857516050</v>
      </c>
      <c r="AM69" s="23"/>
      <c r="AN69" s="23"/>
      <c r="AO69" s="23"/>
      <c r="AP69" s="23"/>
      <c r="AQ69" s="23"/>
      <c r="AR69" s="23"/>
    </row>
    <row r="70" spans="1:44" ht="14.25" customHeight="1" x14ac:dyDescent="0.25">
      <c r="A70" s="35" t="s">
        <v>59</v>
      </c>
      <c r="B70" s="120" t="s">
        <v>333</v>
      </c>
      <c r="C70" s="134" t="s">
        <v>117</v>
      </c>
      <c r="D70" s="135" t="str">
        <f>IF(ISNUMBER(MATCH(Table20[[#This Row],[General]],COVENANTS!$A$2:$A$100,0)), "Y","N")</f>
        <v>Y</v>
      </c>
      <c r="E70" s="135" t="str">
        <f>IF(ISNUMBER(MATCH(Table20[[#This Row],[General]],COVENANTS!$B$2:$B$100,0)), "Y","N")</f>
        <v>Y</v>
      </c>
      <c r="F70" s="135" t="str">
        <f>IF(ISNUMBER(MATCH(Table20[[#This Row],[General]],COVENANTS!$C$2:$C$100,0)), "Y","N")</f>
        <v>Y</v>
      </c>
      <c r="G70" s="135" t="str">
        <f>IF(ISNUMBER(MATCH(Table20[[#This Row],[General]],COVENANTS!$D$2:$D$100,0)), "Y","N")</f>
        <v>N</v>
      </c>
      <c r="H70" s="122">
        <v>0</v>
      </c>
      <c r="I70" s="123">
        <v>25</v>
      </c>
      <c r="J70" s="123">
        <v>25</v>
      </c>
      <c r="K70" s="123">
        <v>12</v>
      </c>
      <c r="L70" s="122">
        <v>45</v>
      </c>
      <c r="M70" s="123">
        <v>0</v>
      </c>
      <c r="N70" s="123">
        <v>0</v>
      </c>
      <c r="O70" s="123">
        <v>12</v>
      </c>
      <c r="P70" s="122">
        <v>0</v>
      </c>
      <c r="Q70" s="123">
        <v>0</v>
      </c>
      <c r="R70" s="123">
        <v>0</v>
      </c>
      <c r="S70" s="123">
        <v>0</v>
      </c>
      <c r="T70" s="122">
        <v>75</v>
      </c>
      <c r="U70" s="123">
        <v>55</v>
      </c>
      <c r="V70" s="123">
        <v>20</v>
      </c>
      <c r="W70" s="123">
        <v>6</v>
      </c>
      <c r="X70" s="122">
        <v>10</v>
      </c>
      <c r="Y70" s="123">
        <v>0</v>
      </c>
      <c r="Z70" s="123">
        <v>0</v>
      </c>
      <c r="AA70" s="123">
        <v>0</v>
      </c>
      <c r="AB70" s="122">
        <v>0</v>
      </c>
      <c r="AC70" s="123">
        <v>0</v>
      </c>
      <c r="AD70" s="123">
        <v>0</v>
      </c>
      <c r="AE70" s="122">
        <f t="shared" si="28"/>
        <v>130</v>
      </c>
      <c r="AF70" s="123">
        <f t="shared" si="29"/>
        <v>55</v>
      </c>
      <c r="AG70" s="123">
        <f t="shared" si="30"/>
        <v>20</v>
      </c>
      <c r="AH70" s="123">
        <f t="shared" si="31"/>
        <v>18</v>
      </c>
      <c r="AI70" s="298">
        <f t="shared" si="32"/>
        <v>49884062900</v>
      </c>
      <c r="AM70" s="23"/>
      <c r="AN70" s="23"/>
      <c r="AO70" s="23"/>
      <c r="AP70" s="23"/>
      <c r="AQ70" s="23"/>
      <c r="AR70" s="23"/>
    </row>
    <row r="71" spans="1:44" ht="14.25" customHeight="1" x14ac:dyDescent="0.25">
      <c r="A71" s="35" t="s">
        <v>60</v>
      </c>
      <c r="B71" s="120" t="s">
        <v>333</v>
      </c>
      <c r="C71" s="121" t="s">
        <v>746</v>
      </c>
      <c r="D71" s="135" t="str">
        <f>IF(ISNUMBER(MATCH(Table20[[#This Row],[General]],COVENANTS!$A$2:$A$100,0)), "Y","N")</f>
        <v>Y</v>
      </c>
      <c r="E71" s="135" t="str">
        <f>IF(ISNUMBER(MATCH(Table20[[#This Row],[General]],COVENANTS!$B$2:$B$100,0)), "Y","N")</f>
        <v>N</v>
      </c>
      <c r="F71" s="135" t="str">
        <f>IF(ISNUMBER(MATCH(Table20[[#This Row],[General]],COVENANTS!$C$2:$C$100,0)), "Y","N")</f>
        <v>N</v>
      </c>
      <c r="G71" s="135" t="str">
        <f>IF(ISNUMBER(MATCH(Table20[[#This Row],[General]],COVENANTS!$D$2:$D$100,0)), "Y","N")</f>
        <v>Y</v>
      </c>
      <c r="H71" s="122">
        <v>25</v>
      </c>
      <c r="I71" s="123">
        <v>25</v>
      </c>
      <c r="J71" s="123">
        <v>25</v>
      </c>
      <c r="K71" s="123">
        <v>12</v>
      </c>
      <c r="L71" s="122">
        <v>55</v>
      </c>
      <c r="M71" s="123">
        <v>0</v>
      </c>
      <c r="N71" s="123">
        <v>55</v>
      </c>
      <c r="O71" s="123">
        <v>0</v>
      </c>
      <c r="P71" s="122">
        <v>0</v>
      </c>
      <c r="Q71" s="123">
        <v>0</v>
      </c>
      <c r="R71" s="123">
        <v>0</v>
      </c>
      <c r="S71" s="123">
        <v>0</v>
      </c>
      <c r="T71" s="122">
        <v>75</v>
      </c>
      <c r="U71" s="123">
        <v>65</v>
      </c>
      <c r="V71" s="123">
        <v>65</v>
      </c>
      <c r="W71" s="123">
        <v>0</v>
      </c>
      <c r="X71" s="122">
        <v>20</v>
      </c>
      <c r="Y71" s="123">
        <v>10</v>
      </c>
      <c r="Z71" s="123">
        <v>20</v>
      </c>
      <c r="AA71" s="123">
        <v>10</v>
      </c>
      <c r="AB71" s="122">
        <v>0</v>
      </c>
      <c r="AC71" s="123">
        <v>0</v>
      </c>
      <c r="AD71" s="123">
        <v>0</v>
      </c>
      <c r="AE71" s="122">
        <f t="shared" si="28"/>
        <v>150</v>
      </c>
      <c r="AF71" s="123">
        <f t="shared" si="29"/>
        <v>75</v>
      </c>
      <c r="AG71" s="123">
        <f t="shared" si="30"/>
        <v>140</v>
      </c>
      <c r="AH71" s="123">
        <f t="shared" si="31"/>
        <v>10</v>
      </c>
      <c r="AI71" s="298">
        <f t="shared" si="32"/>
        <v>47074525500</v>
      </c>
      <c r="AM71" s="23"/>
      <c r="AN71" s="23"/>
      <c r="AO71" s="23"/>
      <c r="AP71" s="23"/>
      <c r="AQ71" s="23"/>
      <c r="AR71" s="23"/>
    </row>
    <row r="72" spans="1:44" ht="14.25" customHeight="1" x14ac:dyDescent="0.25">
      <c r="A72" s="35" t="s">
        <v>61</v>
      </c>
      <c r="B72" s="104" t="s">
        <v>332</v>
      </c>
      <c r="C72" s="184" t="s">
        <v>1118</v>
      </c>
      <c r="D72" s="185" t="str">
        <f>IF(ISNUMBER(MATCH(Table20[[#This Row],[General]],COVENANTS!$A$2:$A$100,0)), "Y","N")</f>
        <v>Y</v>
      </c>
      <c r="E72" s="185" t="str">
        <f>IF(ISNUMBER(MATCH(Table20[[#This Row],[General]],COVENANTS!$B$2:$B$100,0)), "Y","N")</f>
        <v>N</v>
      </c>
      <c r="F72" s="185" t="str">
        <f>IF(ISNUMBER(MATCH(Table20[[#This Row],[General]],COVENANTS!$C$2:$C$100,0)), "Y","N")</f>
        <v>N</v>
      </c>
      <c r="G72" s="185" t="str">
        <f>IF(ISNUMBER(MATCH(Table20[[#This Row],[General]],COVENANTS!$D$2:$D$100,0)), "Y","N")</f>
        <v>N</v>
      </c>
      <c r="H72" s="122">
        <v>25</v>
      </c>
      <c r="I72" s="105">
        <v>25</v>
      </c>
      <c r="J72" s="105">
        <v>25</v>
      </c>
      <c r="K72" s="105">
        <v>12</v>
      </c>
      <c r="L72" s="106">
        <v>60</v>
      </c>
      <c r="M72" s="105">
        <v>45</v>
      </c>
      <c r="N72" s="105">
        <v>60</v>
      </c>
      <c r="O72" s="105">
        <v>0</v>
      </c>
      <c r="P72" s="106">
        <v>0</v>
      </c>
      <c r="Q72" s="105">
        <v>0</v>
      </c>
      <c r="R72" s="105">
        <v>0</v>
      </c>
      <c r="S72" s="105">
        <v>0</v>
      </c>
      <c r="T72" s="106">
        <v>80</v>
      </c>
      <c r="U72" s="105">
        <v>55</v>
      </c>
      <c r="V72" s="105">
        <v>45</v>
      </c>
      <c r="W72" s="105">
        <v>0</v>
      </c>
      <c r="X72" s="106">
        <v>15</v>
      </c>
      <c r="Y72" s="105">
        <v>10</v>
      </c>
      <c r="Z72" s="105">
        <v>15</v>
      </c>
      <c r="AA72" s="105">
        <v>8</v>
      </c>
      <c r="AB72" s="106">
        <v>0</v>
      </c>
      <c r="AC72" s="105">
        <v>0</v>
      </c>
      <c r="AD72" s="105">
        <v>0</v>
      </c>
      <c r="AE72" s="106">
        <f t="shared" si="28"/>
        <v>155</v>
      </c>
      <c r="AF72" s="105">
        <f t="shared" si="29"/>
        <v>110</v>
      </c>
      <c r="AG72" s="105">
        <f t="shared" si="30"/>
        <v>120</v>
      </c>
      <c r="AH72" s="105">
        <f t="shared" si="31"/>
        <v>8</v>
      </c>
      <c r="AI72" s="297">
        <f t="shared" si="32"/>
        <v>46350130150</v>
      </c>
      <c r="AM72" s="23"/>
      <c r="AN72" s="23"/>
      <c r="AO72" s="23"/>
      <c r="AP72" s="23"/>
      <c r="AQ72" s="23"/>
      <c r="AR72" s="23"/>
    </row>
    <row r="73" spans="1:44" ht="14.25" customHeight="1" x14ac:dyDescent="0.25">
      <c r="A73" s="35" t="s">
        <v>62</v>
      </c>
      <c r="B73" s="120" t="s">
        <v>332</v>
      </c>
      <c r="C73" s="134" t="s">
        <v>208</v>
      </c>
      <c r="D73" s="135" t="str">
        <f>IF(ISNUMBER(MATCH(Table20[[#This Row],[General]],COVENANTS!$A$2:$A$100,0)), "Y","N")</f>
        <v>Y</v>
      </c>
      <c r="E73" s="135" t="str">
        <f>IF(ISNUMBER(MATCH(Table20[[#This Row],[General]],COVENANTS!$B$2:$B$100,0)), "Y","N")</f>
        <v>Y</v>
      </c>
      <c r="F73" s="135" t="str">
        <f>IF(ISNUMBER(MATCH(Table20[[#This Row],[General]],COVENANTS!$C$2:$C$100,0)), "Y","N")</f>
        <v>Y</v>
      </c>
      <c r="G73" s="135" t="str">
        <f>IF(ISNUMBER(MATCH(Table20[[#This Row],[General]],COVENANTS!$D$2:$D$100,0)), "Y","N")</f>
        <v>N</v>
      </c>
      <c r="H73" s="122">
        <v>25</v>
      </c>
      <c r="I73" s="123">
        <v>25</v>
      </c>
      <c r="J73" s="123">
        <v>25</v>
      </c>
      <c r="K73" s="123">
        <v>12</v>
      </c>
      <c r="L73" s="122">
        <v>50</v>
      </c>
      <c r="M73" s="123">
        <v>50</v>
      </c>
      <c r="N73" s="123">
        <v>40</v>
      </c>
      <c r="O73" s="123">
        <v>0</v>
      </c>
      <c r="P73" s="122">
        <v>0</v>
      </c>
      <c r="Q73" s="123">
        <v>0</v>
      </c>
      <c r="R73" s="123">
        <v>0</v>
      </c>
      <c r="S73" s="123">
        <v>0</v>
      </c>
      <c r="T73" s="122">
        <v>85</v>
      </c>
      <c r="U73" s="123">
        <v>55</v>
      </c>
      <c r="V73" s="123">
        <v>55</v>
      </c>
      <c r="W73" s="123">
        <v>0</v>
      </c>
      <c r="X73" s="122">
        <v>25</v>
      </c>
      <c r="Y73" s="123">
        <v>10</v>
      </c>
      <c r="Z73" s="123">
        <v>10</v>
      </c>
      <c r="AA73" s="123">
        <v>5</v>
      </c>
      <c r="AB73" s="122">
        <v>0</v>
      </c>
      <c r="AC73" s="123">
        <v>0</v>
      </c>
      <c r="AD73" s="123">
        <v>0</v>
      </c>
      <c r="AE73" s="122">
        <f t="shared" si="28"/>
        <v>160</v>
      </c>
      <c r="AF73" s="123">
        <f t="shared" si="29"/>
        <v>115</v>
      </c>
      <c r="AG73" s="123">
        <f t="shared" si="30"/>
        <v>105</v>
      </c>
      <c r="AH73" s="123">
        <f t="shared" si="31"/>
        <v>5</v>
      </c>
      <c r="AI73" s="298">
        <f t="shared" si="32"/>
        <v>44622033200</v>
      </c>
      <c r="AM73" s="23"/>
      <c r="AN73" s="23"/>
      <c r="AO73" s="23"/>
      <c r="AP73" s="23"/>
      <c r="AQ73" s="23"/>
      <c r="AR73" s="23"/>
    </row>
    <row r="74" spans="1:44" ht="14.25" customHeight="1" x14ac:dyDescent="0.25">
      <c r="A74" s="35" t="s">
        <v>63</v>
      </c>
      <c r="B74" s="120" t="s">
        <v>332</v>
      </c>
      <c r="C74" s="134" t="s">
        <v>506</v>
      </c>
      <c r="D74" s="135" t="str">
        <f>IF(ISNUMBER(MATCH(Table20[[#This Row],[General]],COVENANTS!$A$2:$A$100,0)), "Y","N")</f>
        <v>Y</v>
      </c>
      <c r="E74" s="135" t="str">
        <f>IF(ISNUMBER(MATCH(Table20[[#This Row],[General]],COVENANTS!$B$2:$B$100,0)), "Y","N")</f>
        <v>N</v>
      </c>
      <c r="F74" s="135" t="str">
        <f>IF(ISNUMBER(MATCH(Table20[[#This Row],[General]],COVENANTS!$C$2:$C$100,0)), "Y","N")</f>
        <v>N</v>
      </c>
      <c r="G74" s="135" t="str">
        <f>IF(ISNUMBER(MATCH(Table20[[#This Row],[General]],COVENANTS!$D$2:$D$100,0)), "Y","N")</f>
        <v>N</v>
      </c>
      <c r="H74" s="122">
        <v>25</v>
      </c>
      <c r="I74" s="123">
        <v>25</v>
      </c>
      <c r="J74" s="123">
        <v>25</v>
      </c>
      <c r="K74" s="123">
        <v>12</v>
      </c>
      <c r="L74" s="122">
        <v>50</v>
      </c>
      <c r="M74" s="123">
        <v>30</v>
      </c>
      <c r="N74" s="123">
        <v>30</v>
      </c>
      <c r="O74" s="123">
        <v>0</v>
      </c>
      <c r="P74" s="122">
        <v>0</v>
      </c>
      <c r="Q74" s="123">
        <v>0</v>
      </c>
      <c r="R74" s="123">
        <v>0</v>
      </c>
      <c r="S74" s="123">
        <v>0</v>
      </c>
      <c r="T74" s="122">
        <v>80</v>
      </c>
      <c r="U74" s="123">
        <v>50</v>
      </c>
      <c r="V74" s="123">
        <v>10</v>
      </c>
      <c r="W74" s="123">
        <v>0</v>
      </c>
      <c r="X74" s="122">
        <v>30</v>
      </c>
      <c r="Y74" s="123">
        <v>0</v>
      </c>
      <c r="Z74" s="123">
        <v>0</v>
      </c>
      <c r="AA74" s="123">
        <v>5</v>
      </c>
      <c r="AB74" s="122">
        <v>0</v>
      </c>
      <c r="AC74" s="123">
        <v>0</v>
      </c>
      <c r="AD74" s="123">
        <v>0</v>
      </c>
      <c r="AE74" s="122">
        <f t="shared" si="28"/>
        <v>160</v>
      </c>
      <c r="AF74" s="123">
        <f t="shared" si="29"/>
        <v>80</v>
      </c>
      <c r="AG74" s="123">
        <f t="shared" si="30"/>
        <v>40</v>
      </c>
      <c r="AH74" s="123">
        <f t="shared" si="31"/>
        <v>5</v>
      </c>
      <c r="AI74" s="298">
        <f t="shared" si="32"/>
        <v>44622033200</v>
      </c>
      <c r="AM74" s="23"/>
      <c r="AN74" s="23"/>
      <c r="AO74" s="23"/>
      <c r="AP74" s="23"/>
      <c r="AQ74" s="23"/>
      <c r="AR74" s="23"/>
    </row>
    <row r="75" spans="1:44" ht="14.25" customHeight="1" x14ac:dyDescent="0.25">
      <c r="A75" s="35" t="s">
        <v>64</v>
      </c>
      <c r="B75" s="120" t="s">
        <v>332</v>
      </c>
      <c r="C75" s="134" t="s">
        <v>516</v>
      </c>
      <c r="D75" s="135" t="str">
        <f>IF(ISNUMBER(MATCH(Table20[[#This Row],[General]],COVENANTS!$A$2:$A$100,0)), "Y","N")</f>
        <v>Y</v>
      </c>
      <c r="E75" s="135" t="str">
        <f>IF(ISNUMBER(MATCH(Table20[[#This Row],[General]],COVENANTS!$B$2:$B$100,0)), "Y","N")</f>
        <v>N</v>
      </c>
      <c r="F75" s="135" t="str">
        <f>IF(ISNUMBER(MATCH(Table20[[#This Row],[General]],COVENANTS!$C$2:$C$100,0)), "Y","N")</f>
        <v>N</v>
      </c>
      <c r="G75" s="135" t="str">
        <f>IF(ISNUMBER(MATCH(Table20[[#This Row],[General]],COVENANTS!$D$2:$D$100,0)), "Y","N")</f>
        <v>N</v>
      </c>
      <c r="H75" s="122">
        <v>25</v>
      </c>
      <c r="I75" s="123">
        <v>25</v>
      </c>
      <c r="J75" s="123">
        <v>25</v>
      </c>
      <c r="K75" s="123">
        <v>12</v>
      </c>
      <c r="L75" s="122">
        <v>45</v>
      </c>
      <c r="M75" s="123">
        <v>25</v>
      </c>
      <c r="N75" s="123">
        <v>25</v>
      </c>
      <c r="O75" s="123">
        <v>0</v>
      </c>
      <c r="P75" s="122">
        <v>0</v>
      </c>
      <c r="Q75" s="123">
        <v>0</v>
      </c>
      <c r="R75" s="123">
        <v>0</v>
      </c>
      <c r="S75" s="123">
        <v>0</v>
      </c>
      <c r="T75" s="122">
        <v>70</v>
      </c>
      <c r="U75" s="123">
        <v>40</v>
      </c>
      <c r="V75" s="123">
        <v>30</v>
      </c>
      <c r="W75" s="123">
        <v>0</v>
      </c>
      <c r="X75" s="122">
        <v>25</v>
      </c>
      <c r="Y75" s="123">
        <v>0</v>
      </c>
      <c r="Z75" s="123">
        <v>10</v>
      </c>
      <c r="AA75" s="123">
        <v>5</v>
      </c>
      <c r="AB75" s="122">
        <v>0</v>
      </c>
      <c r="AC75" s="123">
        <v>0</v>
      </c>
      <c r="AD75" s="123">
        <v>0</v>
      </c>
      <c r="AE75" s="122">
        <f t="shared" si="28"/>
        <v>140</v>
      </c>
      <c r="AF75" s="123">
        <f t="shared" si="29"/>
        <v>65</v>
      </c>
      <c r="AG75" s="123">
        <f t="shared" si="30"/>
        <v>65</v>
      </c>
      <c r="AH75" s="123">
        <f t="shared" si="31"/>
        <v>5</v>
      </c>
      <c r="AI75" s="298">
        <f t="shared" si="32"/>
        <v>39622067800</v>
      </c>
      <c r="AM75" s="23"/>
      <c r="AN75" s="23"/>
      <c r="AO75" s="23"/>
      <c r="AP75" s="23"/>
      <c r="AQ75" s="23"/>
      <c r="AR75" s="23"/>
    </row>
    <row r="76" spans="1:44" ht="14.25" customHeight="1" x14ac:dyDescent="0.25">
      <c r="A76" s="35" t="s">
        <v>65</v>
      </c>
      <c r="B76" s="120" t="s">
        <v>332</v>
      </c>
      <c r="C76" s="142" t="s">
        <v>127</v>
      </c>
      <c r="D76" s="135" t="str">
        <f>IF(ISNUMBER(MATCH(Table20[[#This Row],[General]],COVENANTS!$A$2:$A$100,0)), "Y","N")</f>
        <v>N</v>
      </c>
      <c r="E76" s="135" t="str">
        <f>IF(ISNUMBER(MATCH(Table20[[#This Row],[General]],COVENANTS!$B$2:$B$100,0)), "Y","N")</f>
        <v>Y</v>
      </c>
      <c r="F76" s="135" t="str">
        <f>IF(ISNUMBER(MATCH(Table20[[#This Row],[General]],COVENANTS!$C$2:$C$100,0)), "Y","N")</f>
        <v>N</v>
      </c>
      <c r="G76" s="135" t="str">
        <f>IF(ISNUMBER(MATCH(Table20[[#This Row],[General]],COVENANTS!$D$2:$D$100,0)), "Y","N")</f>
        <v>N</v>
      </c>
      <c r="H76" s="122">
        <v>25</v>
      </c>
      <c r="I76" s="123">
        <v>25</v>
      </c>
      <c r="J76" s="123">
        <v>25</v>
      </c>
      <c r="K76" s="123">
        <v>0</v>
      </c>
      <c r="L76" s="122">
        <v>35</v>
      </c>
      <c r="M76" s="123">
        <v>35</v>
      </c>
      <c r="N76" s="123">
        <v>0</v>
      </c>
      <c r="O76" s="123">
        <v>15</v>
      </c>
      <c r="P76" s="122">
        <v>0</v>
      </c>
      <c r="Q76" s="123">
        <v>0</v>
      </c>
      <c r="R76" s="123">
        <v>0</v>
      </c>
      <c r="S76" s="123">
        <v>0</v>
      </c>
      <c r="T76" s="122">
        <v>10</v>
      </c>
      <c r="U76" s="123">
        <v>10</v>
      </c>
      <c r="V76" s="123">
        <v>0</v>
      </c>
      <c r="W76" s="123">
        <v>10</v>
      </c>
      <c r="X76" s="122">
        <v>0</v>
      </c>
      <c r="Y76" s="123">
        <v>0</v>
      </c>
      <c r="Z76" s="123">
        <v>0</v>
      </c>
      <c r="AA76" s="123">
        <v>0</v>
      </c>
      <c r="AB76" s="122">
        <v>0</v>
      </c>
      <c r="AC76" s="123">
        <v>0</v>
      </c>
      <c r="AD76" s="123">
        <v>0</v>
      </c>
      <c r="AE76" s="122">
        <f t="shared" si="28"/>
        <v>45</v>
      </c>
      <c r="AF76" s="123">
        <f t="shared" si="29"/>
        <v>45</v>
      </c>
      <c r="AG76" s="123">
        <f t="shared" si="30"/>
        <v>0</v>
      </c>
      <c r="AH76" s="123">
        <f t="shared" si="31"/>
        <v>25</v>
      </c>
      <c r="AI76" s="298">
        <f t="shared" si="32"/>
        <v>34757670150</v>
      </c>
      <c r="AM76" s="23"/>
      <c r="AN76" s="23"/>
      <c r="AO76" s="23"/>
      <c r="AP76" s="23"/>
      <c r="AQ76" s="23"/>
      <c r="AR76" s="23"/>
    </row>
    <row r="77" spans="1:44" ht="14.25" customHeight="1" x14ac:dyDescent="0.25">
      <c r="A77" s="35" t="s">
        <v>66</v>
      </c>
      <c r="B77" s="120" t="s">
        <v>332</v>
      </c>
      <c r="C77" s="134" t="s">
        <v>116</v>
      </c>
      <c r="D77" s="135" t="str">
        <f>IF(ISNUMBER(MATCH(Table20[[#This Row],[General]],COVENANTS!$A$2:$A$100,0)), "Y","N")</f>
        <v>Y</v>
      </c>
      <c r="E77" s="135" t="str">
        <f>IF(ISNUMBER(MATCH(Table20[[#This Row],[General]],COVENANTS!$B$2:$B$100,0)), "Y","N")</f>
        <v>N</v>
      </c>
      <c r="F77" s="135" t="str">
        <f>IF(ISNUMBER(MATCH(Table20[[#This Row],[General]],COVENANTS!$C$2:$C$100,0)), "Y","N")</f>
        <v>N</v>
      </c>
      <c r="G77" s="135" t="str">
        <f>IF(ISNUMBER(MATCH(Table20[[#This Row],[General]],COVENANTS!$D$2:$D$100,0)), "Y","N")</f>
        <v>N</v>
      </c>
      <c r="H77" s="122">
        <v>25</v>
      </c>
      <c r="I77" s="123">
        <v>25</v>
      </c>
      <c r="J77" s="123">
        <v>25</v>
      </c>
      <c r="K77" s="123">
        <v>12</v>
      </c>
      <c r="L77" s="122">
        <v>50</v>
      </c>
      <c r="M77" s="123">
        <v>40</v>
      </c>
      <c r="N77" s="123">
        <v>40</v>
      </c>
      <c r="O77" s="123">
        <v>0</v>
      </c>
      <c r="P77" s="122">
        <v>0</v>
      </c>
      <c r="Q77" s="123">
        <v>0</v>
      </c>
      <c r="R77" s="123">
        <v>0</v>
      </c>
      <c r="S77" s="123">
        <v>0</v>
      </c>
      <c r="T77" s="122">
        <v>80</v>
      </c>
      <c r="U77" s="123">
        <v>50</v>
      </c>
      <c r="V77" s="123">
        <v>40</v>
      </c>
      <c r="W77" s="123">
        <v>0</v>
      </c>
      <c r="X77" s="122">
        <v>10</v>
      </c>
      <c r="Y77" s="123">
        <v>10</v>
      </c>
      <c r="Z77" s="123">
        <v>10</v>
      </c>
      <c r="AA77" s="123">
        <v>0</v>
      </c>
      <c r="AB77" s="122">
        <v>0</v>
      </c>
      <c r="AC77" s="123">
        <v>0</v>
      </c>
      <c r="AD77" s="123">
        <v>0</v>
      </c>
      <c r="AE77" s="122">
        <f t="shared" si="28"/>
        <v>140</v>
      </c>
      <c r="AF77" s="123">
        <f t="shared" si="29"/>
        <v>100</v>
      </c>
      <c r="AG77" s="123">
        <f t="shared" si="30"/>
        <v>90</v>
      </c>
      <c r="AH77" s="123">
        <f t="shared" si="31"/>
        <v>0</v>
      </c>
      <c r="AI77" s="298">
        <f t="shared" si="32"/>
        <v>34691603800</v>
      </c>
      <c r="AM77" s="23"/>
      <c r="AN77" s="23"/>
      <c r="AO77" s="23"/>
      <c r="AP77" s="23"/>
      <c r="AQ77" s="23"/>
      <c r="AR77" s="23"/>
    </row>
    <row r="78" spans="1:44" ht="14.25" customHeight="1" x14ac:dyDescent="0.25">
      <c r="A78" s="35" t="s">
        <v>67</v>
      </c>
      <c r="B78" s="120" t="s">
        <v>332</v>
      </c>
      <c r="C78" s="142" t="s">
        <v>304</v>
      </c>
      <c r="D78" s="135" t="str">
        <f>IF(ISNUMBER(MATCH(Table20[[#This Row],[General]],COVENANTS!$A$2:$A$100,0)), "Y","N")</f>
        <v>N</v>
      </c>
      <c r="E78" s="135" t="str">
        <f>IF(ISNUMBER(MATCH(Table20[[#This Row],[General]],COVENANTS!$B$2:$B$100,0)), "Y","N")</f>
        <v>N</v>
      </c>
      <c r="F78" s="135" t="str">
        <f>IF(ISNUMBER(MATCH(Table20[[#This Row],[General]],COVENANTS!$C$2:$C$100,0)), "Y","N")</f>
        <v>N</v>
      </c>
      <c r="G78" s="135" t="str">
        <f>IF(ISNUMBER(MATCH(Table20[[#This Row],[General]],COVENANTS!$D$2:$D$100,0)), "Y","N")</f>
        <v>N</v>
      </c>
      <c r="H78" s="122">
        <v>25</v>
      </c>
      <c r="I78" s="123">
        <v>25</v>
      </c>
      <c r="J78" s="123">
        <v>25</v>
      </c>
      <c r="K78" s="123">
        <v>12</v>
      </c>
      <c r="L78" s="122">
        <v>40</v>
      </c>
      <c r="M78" s="123">
        <v>0</v>
      </c>
      <c r="N78" s="123">
        <v>0</v>
      </c>
      <c r="O78" s="123">
        <v>10</v>
      </c>
      <c r="P78" s="122">
        <v>0</v>
      </c>
      <c r="Q78" s="123">
        <v>0</v>
      </c>
      <c r="R78" s="123">
        <v>0</v>
      </c>
      <c r="S78" s="123">
        <v>0</v>
      </c>
      <c r="T78" s="122">
        <v>60</v>
      </c>
      <c r="U78" s="123">
        <v>20</v>
      </c>
      <c r="V78" s="123">
        <v>40</v>
      </c>
      <c r="W78" s="123">
        <v>0</v>
      </c>
      <c r="X78" s="122">
        <v>0</v>
      </c>
      <c r="Y78" s="123">
        <v>0</v>
      </c>
      <c r="Z78" s="123">
        <v>0</v>
      </c>
      <c r="AA78" s="123">
        <v>0</v>
      </c>
      <c r="AB78" s="122">
        <v>0</v>
      </c>
      <c r="AC78" s="123">
        <v>0</v>
      </c>
      <c r="AD78" s="123">
        <v>0</v>
      </c>
      <c r="AE78" s="122">
        <f t="shared" si="28"/>
        <v>100</v>
      </c>
      <c r="AF78" s="123">
        <f t="shared" si="29"/>
        <v>20</v>
      </c>
      <c r="AG78" s="123">
        <f t="shared" si="30"/>
        <v>40</v>
      </c>
      <c r="AH78" s="123">
        <f t="shared" si="31"/>
        <v>10</v>
      </c>
      <c r="AI78" s="298">
        <f t="shared" si="32"/>
        <v>34464557000</v>
      </c>
      <c r="AM78" s="23"/>
      <c r="AN78" s="23"/>
      <c r="AO78" s="23"/>
      <c r="AP78" s="23"/>
      <c r="AQ78" s="23"/>
      <c r="AR78" s="23"/>
    </row>
    <row r="79" spans="1:44" ht="14.25" customHeight="1" x14ac:dyDescent="0.25">
      <c r="A79" s="35" t="s">
        <v>68</v>
      </c>
      <c r="B79" s="120" t="s">
        <v>333</v>
      </c>
      <c r="C79" s="142" t="s">
        <v>128</v>
      </c>
      <c r="D79" s="135" t="str">
        <f>IF(ISNUMBER(MATCH(Table20[[#This Row],[General]],COVENANTS!$A$2:$A$100,0)), "Y","N")</f>
        <v>N</v>
      </c>
      <c r="E79" s="135" t="str">
        <f>IF(ISNUMBER(MATCH(Table20[[#This Row],[General]],COVENANTS!$B$2:$B$100,0)), "Y","N")</f>
        <v>Y</v>
      </c>
      <c r="F79" s="135" t="str">
        <f>IF(ISNUMBER(MATCH(Table20[[#This Row],[General]],COVENANTS!$C$2:$C$100,0)), "Y","N")</f>
        <v>N</v>
      </c>
      <c r="G79" s="135" t="str">
        <f>IF(ISNUMBER(MATCH(Table20[[#This Row],[General]],COVENANTS!$D$2:$D$100,0)), "Y","N")</f>
        <v>Y</v>
      </c>
      <c r="H79" s="122">
        <v>0</v>
      </c>
      <c r="I79" s="123">
        <v>25</v>
      </c>
      <c r="J79" s="123">
        <v>25</v>
      </c>
      <c r="K79" s="123">
        <v>12</v>
      </c>
      <c r="L79" s="122">
        <v>40</v>
      </c>
      <c r="M79" s="123">
        <v>0</v>
      </c>
      <c r="N79" s="123">
        <v>0</v>
      </c>
      <c r="O79" s="123">
        <v>0</v>
      </c>
      <c r="P79" s="122">
        <v>0</v>
      </c>
      <c r="Q79" s="123">
        <v>0</v>
      </c>
      <c r="R79" s="123">
        <v>0</v>
      </c>
      <c r="S79" s="123">
        <v>0</v>
      </c>
      <c r="T79" s="122">
        <v>86</v>
      </c>
      <c r="U79" s="123">
        <v>10</v>
      </c>
      <c r="V79" s="123">
        <v>20</v>
      </c>
      <c r="W79" s="123">
        <v>0</v>
      </c>
      <c r="X79" s="122">
        <v>10</v>
      </c>
      <c r="Y79" s="123">
        <v>15</v>
      </c>
      <c r="Z79" s="123">
        <v>0</v>
      </c>
      <c r="AA79" s="123">
        <v>0</v>
      </c>
      <c r="AB79" s="122">
        <v>0</v>
      </c>
      <c r="AC79" s="123">
        <v>0</v>
      </c>
      <c r="AD79" s="123">
        <v>0</v>
      </c>
      <c r="AE79" s="122">
        <f t="shared" si="28"/>
        <v>136</v>
      </c>
      <c r="AF79" s="123">
        <f t="shared" si="29"/>
        <v>25</v>
      </c>
      <c r="AG79" s="123">
        <f t="shared" si="30"/>
        <v>20</v>
      </c>
      <c r="AH79" s="123">
        <f t="shared" si="31"/>
        <v>0</v>
      </c>
      <c r="AI79" s="298">
        <f t="shared" si="32"/>
        <v>33700415120</v>
      </c>
      <c r="AM79" s="23"/>
      <c r="AN79" s="23"/>
      <c r="AO79" s="23"/>
      <c r="AP79" s="23"/>
      <c r="AQ79" s="23"/>
      <c r="AR79" s="23"/>
    </row>
    <row r="80" spans="1:44" ht="14.25" customHeight="1" x14ac:dyDescent="0.25">
      <c r="A80" s="35" t="s">
        <v>69</v>
      </c>
      <c r="B80" s="120" t="s">
        <v>332</v>
      </c>
      <c r="C80" s="134" t="s">
        <v>118</v>
      </c>
      <c r="D80" s="135" t="str">
        <f>IF(ISNUMBER(MATCH(Table20[[#This Row],[General]],COVENANTS!$A$2:$A$100,0)), "Y","N")</f>
        <v>Y</v>
      </c>
      <c r="E80" s="135" t="str">
        <f>IF(ISNUMBER(MATCH(Table20[[#This Row],[General]],COVENANTS!$B$2:$B$100,0)), "Y","N")</f>
        <v>N</v>
      </c>
      <c r="F80" s="135" t="str">
        <f>IF(ISNUMBER(MATCH(Table20[[#This Row],[General]],COVENANTS!$C$2:$C$100,0)), "Y","N")</f>
        <v>N</v>
      </c>
      <c r="G80" s="135" t="str">
        <f>IF(ISNUMBER(MATCH(Table20[[#This Row],[General]],COVENANTS!$D$2:$D$100,0)), "Y","N")</f>
        <v>Y</v>
      </c>
      <c r="H80" s="122">
        <v>25</v>
      </c>
      <c r="I80" s="123">
        <v>25</v>
      </c>
      <c r="J80" s="123">
        <v>25</v>
      </c>
      <c r="K80" s="123">
        <v>12</v>
      </c>
      <c r="L80" s="122">
        <v>45</v>
      </c>
      <c r="M80" s="123">
        <v>45</v>
      </c>
      <c r="N80" s="123">
        <v>40</v>
      </c>
      <c r="O80" s="123">
        <v>0</v>
      </c>
      <c r="P80" s="122">
        <v>0</v>
      </c>
      <c r="Q80" s="123">
        <v>0</v>
      </c>
      <c r="R80" s="123">
        <v>0</v>
      </c>
      <c r="S80" s="123">
        <v>0</v>
      </c>
      <c r="T80" s="122">
        <v>80</v>
      </c>
      <c r="U80" s="123">
        <v>45</v>
      </c>
      <c r="V80" s="123">
        <v>35</v>
      </c>
      <c r="W80" s="123">
        <v>0</v>
      </c>
      <c r="X80" s="122">
        <v>10</v>
      </c>
      <c r="Y80" s="123">
        <v>10</v>
      </c>
      <c r="Z80" s="123">
        <v>10</v>
      </c>
      <c r="AA80" s="123">
        <v>0</v>
      </c>
      <c r="AB80" s="122">
        <v>0</v>
      </c>
      <c r="AC80" s="123">
        <v>0</v>
      </c>
      <c r="AD80" s="123">
        <v>0</v>
      </c>
      <c r="AE80" s="122">
        <f t="shared" si="28"/>
        <v>135</v>
      </c>
      <c r="AF80" s="123">
        <f t="shared" si="29"/>
        <v>100</v>
      </c>
      <c r="AG80" s="123">
        <f t="shared" si="30"/>
        <v>85</v>
      </c>
      <c r="AH80" s="123">
        <f t="shared" si="31"/>
        <v>0</v>
      </c>
      <c r="AI80" s="298">
        <f t="shared" si="32"/>
        <v>33452617950</v>
      </c>
    </row>
    <row r="81" spans="1:35" ht="14.25" customHeight="1" x14ac:dyDescent="0.25">
      <c r="A81" s="35" t="s">
        <v>70</v>
      </c>
      <c r="B81" s="120" t="s">
        <v>332</v>
      </c>
      <c r="C81" s="134" t="s">
        <v>130</v>
      </c>
      <c r="D81" s="135" t="str">
        <f>IF(ISNUMBER(MATCH(Table20[[#This Row],[General]],COVENANTS!$A$2:$A$100,0)), "Y","N")</f>
        <v>Y</v>
      </c>
      <c r="E81" s="135" t="str">
        <f>IF(ISNUMBER(MATCH(Table20[[#This Row],[General]],COVENANTS!$B$2:$B$100,0)), "Y","N")</f>
        <v>N</v>
      </c>
      <c r="F81" s="135" t="str">
        <f>IF(ISNUMBER(MATCH(Table20[[#This Row],[General]],COVENANTS!$C$2:$C$100,0)), "Y","N")</f>
        <v>N</v>
      </c>
      <c r="G81" s="135" t="str">
        <f>IF(ISNUMBER(MATCH(Table20[[#This Row],[General]],COVENANTS!$D$2:$D$100,0)), "Y","N")</f>
        <v>Y</v>
      </c>
      <c r="H81" s="122">
        <v>25</v>
      </c>
      <c r="I81" s="123">
        <v>25</v>
      </c>
      <c r="J81" s="123">
        <v>25</v>
      </c>
      <c r="K81" s="123">
        <v>12</v>
      </c>
      <c r="L81" s="122">
        <v>35</v>
      </c>
      <c r="M81" s="123">
        <v>35</v>
      </c>
      <c r="N81" s="123">
        <v>30</v>
      </c>
      <c r="O81" s="123">
        <v>0</v>
      </c>
      <c r="P81" s="122">
        <v>0</v>
      </c>
      <c r="Q81" s="123">
        <v>0</v>
      </c>
      <c r="R81" s="123">
        <v>0</v>
      </c>
      <c r="S81" s="123">
        <v>0</v>
      </c>
      <c r="T81" s="122">
        <v>35</v>
      </c>
      <c r="U81" s="123">
        <v>20</v>
      </c>
      <c r="V81" s="123">
        <v>10</v>
      </c>
      <c r="W81" s="123">
        <v>6</v>
      </c>
      <c r="X81" s="122">
        <v>5</v>
      </c>
      <c r="Y81" s="123">
        <v>0</v>
      </c>
      <c r="Z81" s="123">
        <v>15</v>
      </c>
      <c r="AA81" s="123">
        <v>8</v>
      </c>
      <c r="AB81" s="122">
        <v>0</v>
      </c>
      <c r="AC81" s="123">
        <v>0</v>
      </c>
      <c r="AD81" s="123">
        <v>0</v>
      </c>
      <c r="AE81" s="122">
        <f t="shared" si="28"/>
        <v>75</v>
      </c>
      <c r="AF81" s="123">
        <f t="shared" si="29"/>
        <v>55</v>
      </c>
      <c r="AG81" s="123">
        <f t="shared" si="30"/>
        <v>55</v>
      </c>
      <c r="AH81" s="123">
        <f t="shared" si="31"/>
        <v>14</v>
      </c>
      <c r="AI81" s="298">
        <f t="shared" si="32"/>
        <v>31989486750</v>
      </c>
    </row>
    <row r="82" spans="1:35" ht="14.25" customHeight="1" x14ac:dyDescent="0.25">
      <c r="A82" s="35" t="s">
        <v>71</v>
      </c>
      <c r="B82" s="120" t="s">
        <v>332</v>
      </c>
      <c r="C82" s="134" t="s">
        <v>126</v>
      </c>
      <c r="D82" s="135" t="str">
        <f>IF(ISNUMBER(MATCH(Table20[[#This Row],[General]],COVENANTS!$A$2:$A$100,0)), "Y","N")</f>
        <v>N</v>
      </c>
      <c r="E82" s="135" t="str">
        <f>IF(ISNUMBER(MATCH(Table20[[#This Row],[General]],COVENANTS!$B$2:$B$100,0)), "Y","N")</f>
        <v>N</v>
      </c>
      <c r="F82" s="135" t="str">
        <f>IF(ISNUMBER(MATCH(Table20[[#This Row],[General]],COVENANTS!$C$2:$C$100,0)), "Y","N")</f>
        <v>N</v>
      </c>
      <c r="G82" s="135" t="str">
        <f>IF(ISNUMBER(MATCH(Table20[[#This Row],[General]],COVENANTS!$D$2:$D$100,0)), "Y","N")</f>
        <v>Y</v>
      </c>
      <c r="H82" s="122">
        <v>25</v>
      </c>
      <c r="I82" s="123">
        <v>25</v>
      </c>
      <c r="J82" s="123">
        <v>25</v>
      </c>
      <c r="K82" s="123">
        <v>12</v>
      </c>
      <c r="L82" s="122">
        <v>30</v>
      </c>
      <c r="M82" s="123">
        <v>0</v>
      </c>
      <c r="N82" s="123">
        <v>30</v>
      </c>
      <c r="O82" s="123">
        <v>0</v>
      </c>
      <c r="P82" s="122">
        <v>0</v>
      </c>
      <c r="Q82" s="123">
        <v>0</v>
      </c>
      <c r="R82" s="123">
        <v>0</v>
      </c>
      <c r="S82" s="123">
        <v>0</v>
      </c>
      <c r="T82" s="122">
        <v>75</v>
      </c>
      <c r="U82" s="123">
        <v>20</v>
      </c>
      <c r="V82" s="123">
        <v>10</v>
      </c>
      <c r="W82" s="123">
        <v>6</v>
      </c>
      <c r="X82" s="122">
        <v>0</v>
      </c>
      <c r="Y82" s="123">
        <v>0</v>
      </c>
      <c r="Z82" s="123">
        <v>0</v>
      </c>
      <c r="AA82" s="123">
        <v>0</v>
      </c>
      <c r="AB82" s="122">
        <v>0</v>
      </c>
      <c r="AC82" s="123">
        <v>0</v>
      </c>
      <c r="AD82" s="123">
        <v>0</v>
      </c>
      <c r="AE82" s="122">
        <f t="shared" si="28"/>
        <v>105</v>
      </c>
      <c r="AF82" s="123">
        <f t="shared" si="29"/>
        <v>20</v>
      </c>
      <c r="AG82" s="123">
        <f t="shared" si="30"/>
        <v>40</v>
      </c>
      <c r="AH82" s="123">
        <f t="shared" si="31"/>
        <v>6</v>
      </c>
      <c r="AI82" s="298">
        <f t="shared" si="32"/>
        <v>31842813450</v>
      </c>
    </row>
    <row r="83" spans="1:35" ht="14.25" customHeight="1" x14ac:dyDescent="0.25">
      <c r="A83" s="35" t="s">
        <v>72</v>
      </c>
      <c r="B83" s="120" t="s">
        <v>332</v>
      </c>
      <c r="C83" s="142" t="s">
        <v>166</v>
      </c>
      <c r="D83" s="135" t="str">
        <f>IF(ISNUMBER(MATCH(Table20[[#This Row],[General]],COVENANTS!$A$2:$A$100,0)), "Y","N")</f>
        <v>N</v>
      </c>
      <c r="E83" s="135" t="str">
        <f>IF(ISNUMBER(MATCH(Table20[[#This Row],[General]],COVENANTS!$B$2:$B$100,0)), "Y","N")</f>
        <v>Y</v>
      </c>
      <c r="F83" s="135" t="str">
        <f>IF(ISNUMBER(MATCH(Table20[[#This Row],[General]],COVENANTS!$C$2:$C$100,0)), "Y","N")</f>
        <v>N</v>
      </c>
      <c r="G83" s="135" t="str">
        <f>IF(ISNUMBER(MATCH(Table20[[#This Row],[General]],COVENANTS!$D$2:$D$100,0)), "Y","N")</f>
        <v>N</v>
      </c>
      <c r="H83" s="122">
        <v>25</v>
      </c>
      <c r="I83" s="123">
        <v>25</v>
      </c>
      <c r="J83" s="123">
        <v>25</v>
      </c>
      <c r="K83" s="123">
        <v>0</v>
      </c>
      <c r="L83" s="122">
        <v>0</v>
      </c>
      <c r="M83" s="123">
        <v>0</v>
      </c>
      <c r="N83" s="123">
        <v>0</v>
      </c>
      <c r="O83" s="123">
        <v>15</v>
      </c>
      <c r="P83" s="122">
        <v>0</v>
      </c>
      <c r="Q83" s="123">
        <v>0</v>
      </c>
      <c r="R83" s="123">
        <v>0</v>
      </c>
      <c r="S83" s="123">
        <v>0</v>
      </c>
      <c r="T83" s="122">
        <v>10</v>
      </c>
      <c r="U83" s="123"/>
      <c r="V83" s="123">
        <v>10</v>
      </c>
      <c r="W83" s="123">
        <v>16</v>
      </c>
      <c r="X83" s="122">
        <v>0</v>
      </c>
      <c r="Y83" s="123">
        <v>0</v>
      </c>
      <c r="Z83" s="123">
        <v>0</v>
      </c>
      <c r="AA83" s="123">
        <v>0</v>
      </c>
      <c r="AB83" s="122">
        <v>0</v>
      </c>
      <c r="AC83" s="123">
        <v>0</v>
      </c>
      <c r="AD83" s="123">
        <v>0</v>
      </c>
      <c r="AE83" s="122">
        <f t="shared" si="28"/>
        <v>10</v>
      </c>
      <c r="AF83" s="123">
        <f t="shared" si="29"/>
        <v>0</v>
      </c>
      <c r="AG83" s="123">
        <f t="shared" si="30"/>
        <v>10</v>
      </c>
      <c r="AH83" s="123">
        <f t="shared" si="31"/>
        <v>31</v>
      </c>
      <c r="AI83" s="298">
        <f t="shared" si="32"/>
        <v>31272761900</v>
      </c>
    </row>
    <row r="84" spans="1:35" ht="14.25" customHeight="1" x14ac:dyDescent="0.25">
      <c r="A84" s="35" t="s">
        <v>73</v>
      </c>
      <c r="B84" s="120" t="s">
        <v>332</v>
      </c>
      <c r="C84" s="142" t="s">
        <v>132</v>
      </c>
      <c r="D84" s="135" t="str">
        <f>IF(ISNUMBER(MATCH(Table20[[#This Row],[General]],COVENANTS!$A$2:$A$100,0)), "Y","N")</f>
        <v>N</v>
      </c>
      <c r="E84" s="135" t="str">
        <f>IF(ISNUMBER(MATCH(Table20[[#This Row],[General]],COVENANTS!$B$2:$B$100,0)), "Y","N")</f>
        <v>N</v>
      </c>
      <c r="F84" s="135" t="str">
        <f>IF(ISNUMBER(MATCH(Table20[[#This Row],[General]],COVENANTS!$C$2:$C$100,0)), "Y","N")</f>
        <v>N</v>
      </c>
      <c r="G84" s="135" t="str">
        <f>IF(ISNUMBER(MATCH(Table20[[#This Row],[General]],COVENANTS!$D$2:$D$100,0)), "Y","N")</f>
        <v>N</v>
      </c>
      <c r="H84" s="122">
        <v>25</v>
      </c>
      <c r="I84" s="123">
        <v>25</v>
      </c>
      <c r="J84" s="123">
        <v>25</v>
      </c>
      <c r="K84" s="123">
        <v>12</v>
      </c>
      <c r="L84" s="122">
        <v>15</v>
      </c>
      <c r="M84" s="123">
        <v>0</v>
      </c>
      <c r="N84" s="123">
        <v>0</v>
      </c>
      <c r="O84" s="123">
        <v>10</v>
      </c>
      <c r="P84" s="122">
        <v>0</v>
      </c>
      <c r="Q84" s="123">
        <v>0</v>
      </c>
      <c r="R84" s="123">
        <v>0</v>
      </c>
      <c r="S84" s="123">
        <v>0</v>
      </c>
      <c r="T84" s="122">
        <v>46</v>
      </c>
      <c r="U84" s="123">
        <v>26</v>
      </c>
      <c r="V84" s="123">
        <v>36</v>
      </c>
      <c r="W84" s="123">
        <v>6</v>
      </c>
      <c r="X84" s="122">
        <v>0</v>
      </c>
      <c r="Y84" s="123">
        <v>0</v>
      </c>
      <c r="Z84" s="123">
        <v>0</v>
      </c>
      <c r="AA84" s="123">
        <v>0</v>
      </c>
      <c r="AB84" s="122">
        <v>0</v>
      </c>
      <c r="AC84" s="123">
        <v>0</v>
      </c>
      <c r="AD84" s="123">
        <v>0</v>
      </c>
      <c r="AE84" s="122">
        <f t="shared" si="28"/>
        <v>61</v>
      </c>
      <c r="AF84" s="123">
        <f t="shared" si="29"/>
        <v>26</v>
      </c>
      <c r="AG84" s="123">
        <f t="shared" si="30"/>
        <v>36</v>
      </c>
      <c r="AH84" s="123">
        <f t="shared" si="31"/>
        <v>16</v>
      </c>
      <c r="AI84" s="298">
        <f t="shared" si="32"/>
        <v>30336674090</v>
      </c>
    </row>
    <row r="85" spans="1:35" ht="14.25" customHeight="1" x14ac:dyDescent="0.25">
      <c r="A85" s="35" t="s">
        <v>74</v>
      </c>
      <c r="B85" s="120" t="s">
        <v>332</v>
      </c>
      <c r="C85" s="134" t="s">
        <v>119</v>
      </c>
      <c r="D85" s="135" t="str">
        <f>IF(ISNUMBER(MATCH(Table20[[#This Row],[General]],COVENANTS!$A$2:$A$100,0)), "Y","N")</f>
        <v>N</v>
      </c>
      <c r="E85" s="135" t="str">
        <f>IF(ISNUMBER(MATCH(Table20[[#This Row],[General]],COVENANTS!$B$2:$B$100,0)), "Y","N")</f>
        <v>Y</v>
      </c>
      <c r="F85" s="135" t="str">
        <f>IF(ISNUMBER(MATCH(Table20[[#This Row],[General]],COVENANTS!$C$2:$C$100,0)), "Y","N")</f>
        <v>Y</v>
      </c>
      <c r="G85" s="135" t="str">
        <f>IF(ISNUMBER(MATCH(Table20[[#This Row],[General]],COVENANTS!$D$2:$D$100,0)), "Y","N")</f>
        <v>N</v>
      </c>
      <c r="H85" s="122">
        <v>25</v>
      </c>
      <c r="I85" s="123">
        <v>25</v>
      </c>
      <c r="J85" s="123">
        <v>25</v>
      </c>
      <c r="K85" s="123">
        <v>12</v>
      </c>
      <c r="L85" s="122">
        <v>40</v>
      </c>
      <c r="M85" s="123">
        <v>0</v>
      </c>
      <c r="N85" s="123">
        <v>0</v>
      </c>
      <c r="O85" s="123">
        <v>0</v>
      </c>
      <c r="P85" s="122">
        <v>0</v>
      </c>
      <c r="Q85" s="123">
        <v>0</v>
      </c>
      <c r="R85" s="123">
        <v>0</v>
      </c>
      <c r="S85" s="123">
        <v>0</v>
      </c>
      <c r="T85" s="122">
        <v>56</v>
      </c>
      <c r="U85" s="123">
        <v>0</v>
      </c>
      <c r="V85" s="123">
        <v>30</v>
      </c>
      <c r="W85" s="123">
        <v>6</v>
      </c>
      <c r="X85" s="122">
        <v>0</v>
      </c>
      <c r="Y85" s="123">
        <v>0</v>
      </c>
      <c r="Z85" s="123">
        <v>0</v>
      </c>
      <c r="AA85" s="123">
        <v>0</v>
      </c>
      <c r="AB85" s="122">
        <v>0</v>
      </c>
      <c r="AC85" s="123">
        <v>0</v>
      </c>
      <c r="AD85" s="123">
        <v>0</v>
      </c>
      <c r="AE85" s="122">
        <f t="shared" si="28"/>
        <v>96</v>
      </c>
      <c r="AF85" s="123">
        <f t="shared" si="29"/>
        <v>0</v>
      </c>
      <c r="AG85" s="123">
        <f t="shared" si="30"/>
        <v>30</v>
      </c>
      <c r="AH85" s="123">
        <f t="shared" si="31"/>
        <v>6</v>
      </c>
      <c r="AI85" s="298">
        <f t="shared" si="32"/>
        <v>29588867040</v>
      </c>
    </row>
    <row r="86" spans="1:35" ht="14.25" customHeight="1" x14ac:dyDescent="0.25">
      <c r="A86" s="35" t="s">
        <v>75</v>
      </c>
      <c r="B86" s="120" t="s">
        <v>333</v>
      </c>
      <c r="C86" s="134" t="s">
        <v>131</v>
      </c>
      <c r="D86" s="135" t="str">
        <f>IF(ISNUMBER(MATCH(Table20[[#This Row],[General]],COVENANTS!$A$2:$A$100,0)), "Y","N")</f>
        <v>N</v>
      </c>
      <c r="E86" s="135" t="str">
        <f>IF(ISNUMBER(MATCH(Table20[[#This Row],[General]],COVENANTS!$B$2:$B$100,0)), "Y","N")</f>
        <v>Y</v>
      </c>
      <c r="F86" s="135" t="str">
        <f>IF(ISNUMBER(MATCH(Table20[[#This Row],[General]],COVENANTS!$C$2:$C$100,0)), "Y","N")</f>
        <v>N</v>
      </c>
      <c r="G86" s="135" t="str">
        <f>IF(ISNUMBER(MATCH(Table20[[#This Row],[General]],COVENANTS!$D$2:$D$100,0)), "Y","N")</f>
        <v>Y</v>
      </c>
      <c r="H86" s="122">
        <v>25</v>
      </c>
      <c r="I86" s="123">
        <v>25</v>
      </c>
      <c r="J86" s="123">
        <v>25</v>
      </c>
      <c r="K86" s="123">
        <v>12</v>
      </c>
      <c r="L86" s="122">
        <v>35</v>
      </c>
      <c r="M86" s="123">
        <v>0</v>
      </c>
      <c r="N86" s="123">
        <v>0</v>
      </c>
      <c r="O86" s="123">
        <v>0</v>
      </c>
      <c r="P86" s="122">
        <v>0</v>
      </c>
      <c r="Q86" s="123">
        <v>0</v>
      </c>
      <c r="R86" s="123">
        <v>0</v>
      </c>
      <c r="S86" s="123">
        <v>0</v>
      </c>
      <c r="T86" s="122">
        <v>60</v>
      </c>
      <c r="U86" s="123">
        <v>40</v>
      </c>
      <c r="V86" s="123">
        <v>10</v>
      </c>
      <c r="W86" s="123">
        <v>6</v>
      </c>
      <c r="X86" s="122">
        <v>0</v>
      </c>
      <c r="Y86" s="123">
        <v>0</v>
      </c>
      <c r="Z86" s="123">
        <v>0</v>
      </c>
      <c r="AA86" s="123">
        <v>0</v>
      </c>
      <c r="AB86" s="122">
        <v>0</v>
      </c>
      <c r="AC86" s="123">
        <v>0</v>
      </c>
      <c r="AD86" s="123">
        <v>0</v>
      </c>
      <c r="AE86" s="122">
        <f t="shared" si="28"/>
        <v>95</v>
      </c>
      <c r="AF86" s="123">
        <f t="shared" si="29"/>
        <v>40</v>
      </c>
      <c r="AG86" s="123">
        <f t="shared" si="30"/>
        <v>10</v>
      </c>
      <c r="AH86" s="123">
        <f t="shared" si="31"/>
        <v>6</v>
      </c>
      <c r="AI86" s="298">
        <f t="shared" si="32"/>
        <v>29338428550</v>
      </c>
    </row>
    <row r="87" spans="1:35" ht="14.25" customHeight="1" x14ac:dyDescent="0.25">
      <c r="A87" s="35" t="s">
        <v>76</v>
      </c>
      <c r="B87" s="120" t="s">
        <v>332</v>
      </c>
      <c r="C87" s="142" t="s">
        <v>121</v>
      </c>
      <c r="D87" s="135" t="str">
        <f>IF(ISNUMBER(MATCH(Table20[[#This Row],[General]],COVENANTS!$A$2:$A$100,0)), "Y","N")</f>
        <v>N</v>
      </c>
      <c r="E87" s="135" t="str">
        <f>IF(ISNUMBER(MATCH(Table20[[#This Row],[General]],COVENANTS!$B$2:$B$100,0)), "Y","N")</f>
        <v>N</v>
      </c>
      <c r="F87" s="135" t="str">
        <f>IF(ISNUMBER(MATCH(Table20[[#This Row],[General]],COVENANTS!$C$2:$C$100,0)), "Y","N")</f>
        <v>N</v>
      </c>
      <c r="G87" s="135" t="str">
        <f>IF(ISNUMBER(MATCH(Table20[[#This Row],[General]],COVENANTS!$D$2:$D$100,0)), "Y","N")</f>
        <v>Y</v>
      </c>
      <c r="H87" s="122">
        <v>25</v>
      </c>
      <c r="I87" s="123">
        <v>25</v>
      </c>
      <c r="J87" s="123">
        <v>25</v>
      </c>
      <c r="K87" s="123">
        <v>12</v>
      </c>
      <c r="L87" s="122">
        <v>40</v>
      </c>
      <c r="M87" s="123">
        <v>25</v>
      </c>
      <c r="N87" s="123">
        <v>25</v>
      </c>
      <c r="O87" s="123">
        <v>0</v>
      </c>
      <c r="P87" s="122">
        <v>0</v>
      </c>
      <c r="Q87" s="123">
        <v>0</v>
      </c>
      <c r="R87" s="123">
        <v>0</v>
      </c>
      <c r="S87" s="123">
        <v>0</v>
      </c>
      <c r="T87" s="122">
        <v>76</v>
      </c>
      <c r="U87" s="123">
        <v>35</v>
      </c>
      <c r="V87" s="123">
        <v>10</v>
      </c>
      <c r="W87" s="123">
        <v>0</v>
      </c>
      <c r="X87" s="122">
        <v>0</v>
      </c>
      <c r="Y87" s="123">
        <v>0</v>
      </c>
      <c r="Z87" s="123">
        <v>0</v>
      </c>
      <c r="AA87" s="123">
        <v>0</v>
      </c>
      <c r="AB87" s="122">
        <v>0</v>
      </c>
      <c r="AC87" s="123">
        <v>0</v>
      </c>
      <c r="AD87" s="123">
        <v>0</v>
      </c>
      <c r="AE87" s="122">
        <f t="shared" si="28"/>
        <v>116</v>
      </c>
      <c r="AF87" s="123">
        <f t="shared" si="29"/>
        <v>60</v>
      </c>
      <c r="AG87" s="123">
        <f t="shared" si="30"/>
        <v>35</v>
      </c>
      <c r="AH87" s="123">
        <f t="shared" si="31"/>
        <v>0</v>
      </c>
      <c r="AI87" s="298">
        <f t="shared" si="32"/>
        <v>28744471720.000061</v>
      </c>
    </row>
    <row r="88" spans="1:35" ht="14.25" customHeight="1" x14ac:dyDescent="0.25">
      <c r="A88" s="35" t="s">
        <v>77</v>
      </c>
      <c r="B88" s="120" t="s">
        <v>333</v>
      </c>
      <c r="C88" s="134" t="s">
        <v>123</v>
      </c>
      <c r="D88" s="135" t="str">
        <f>IF(ISNUMBER(MATCH(Table20[[#This Row],[General]],COVENANTS!$A$2:$A$100,0)), "Y","N")</f>
        <v>N</v>
      </c>
      <c r="E88" s="135" t="str">
        <f>IF(ISNUMBER(MATCH(Table20[[#This Row],[General]],COVENANTS!$B$2:$B$100,0)), "Y","N")</f>
        <v>N</v>
      </c>
      <c r="F88" s="135" t="str">
        <f>IF(ISNUMBER(MATCH(Table20[[#This Row],[General]],COVENANTS!$C$2:$C$100,0)), "Y","N")</f>
        <v>Y</v>
      </c>
      <c r="G88" s="135" t="str">
        <f>IF(ISNUMBER(MATCH(Table20[[#This Row],[General]],COVENANTS!$D$2:$D$100,0)), "Y","N")</f>
        <v>Y</v>
      </c>
      <c r="H88" s="122">
        <v>0</v>
      </c>
      <c r="I88" s="123">
        <v>25</v>
      </c>
      <c r="J88" s="123">
        <v>25</v>
      </c>
      <c r="K88" s="123">
        <v>12</v>
      </c>
      <c r="L88" s="122">
        <v>35</v>
      </c>
      <c r="M88" s="123">
        <v>0</v>
      </c>
      <c r="N88" s="123">
        <v>10</v>
      </c>
      <c r="O88" s="123">
        <v>0</v>
      </c>
      <c r="P88" s="122">
        <v>0</v>
      </c>
      <c r="Q88" s="123">
        <v>0</v>
      </c>
      <c r="R88" s="123">
        <v>0</v>
      </c>
      <c r="S88" s="123">
        <v>0</v>
      </c>
      <c r="T88" s="122">
        <v>55</v>
      </c>
      <c r="U88" s="123">
        <v>35</v>
      </c>
      <c r="V88" s="123">
        <v>25</v>
      </c>
      <c r="W88" s="123">
        <v>6</v>
      </c>
      <c r="X88" s="122">
        <v>0</v>
      </c>
      <c r="Y88" s="123">
        <v>0</v>
      </c>
      <c r="Z88" s="123">
        <v>0</v>
      </c>
      <c r="AA88" s="123">
        <v>0</v>
      </c>
      <c r="AB88" s="122">
        <v>0</v>
      </c>
      <c r="AC88" s="123">
        <v>0</v>
      </c>
      <c r="AD88" s="123">
        <v>0</v>
      </c>
      <c r="AE88" s="122">
        <f t="shared" si="28"/>
        <v>90</v>
      </c>
      <c r="AF88" s="123">
        <f t="shared" si="29"/>
        <v>35</v>
      </c>
      <c r="AG88" s="123">
        <f t="shared" si="30"/>
        <v>35</v>
      </c>
      <c r="AH88" s="123">
        <f t="shared" si="31"/>
        <v>6</v>
      </c>
      <c r="AI88" s="298">
        <f t="shared" si="32"/>
        <v>28086236100</v>
      </c>
    </row>
    <row r="89" spans="1:35" ht="14.25" customHeight="1" x14ac:dyDescent="0.25">
      <c r="A89" s="35" t="s">
        <v>78</v>
      </c>
      <c r="B89" s="120" t="s">
        <v>332</v>
      </c>
      <c r="C89" s="142" t="s">
        <v>134</v>
      </c>
      <c r="D89" s="135" t="str">
        <f>IF(ISNUMBER(MATCH(Table20[[#This Row],[General]],COVENANTS!$A$2:$A$100,0)), "Y","N")</f>
        <v>N</v>
      </c>
      <c r="E89" s="135" t="str">
        <f>IF(ISNUMBER(MATCH(Table20[[#This Row],[General]],COVENANTS!$B$2:$B$100,0)), "Y","N")</f>
        <v>N</v>
      </c>
      <c r="F89" s="135" t="str">
        <f>IF(ISNUMBER(MATCH(Table20[[#This Row],[General]],COVENANTS!$C$2:$C$100,0)), "Y","N")</f>
        <v>N</v>
      </c>
      <c r="G89" s="135" t="str">
        <f>IF(ISNUMBER(MATCH(Table20[[#This Row],[General]],COVENANTS!$D$2:$D$100,0)), "Y","N")</f>
        <v>Y</v>
      </c>
      <c r="H89" s="122">
        <v>25</v>
      </c>
      <c r="I89" s="123">
        <v>25</v>
      </c>
      <c r="J89" s="123">
        <v>25</v>
      </c>
      <c r="K89" s="123">
        <v>12</v>
      </c>
      <c r="L89" s="122">
        <v>40</v>
      </c>
      <c r="M89" s="123">
        <v>30</v>
      </c>
      <c r="N89" s="123">
        <v>0</v>
      </c>
      <c r="O89" s="123">
        <v>0</v>
      </c>
      <c r="P89" s="122">
        <v>0</v>
      </c>
      <c r="Q89" s="123">
        <v>0</v>
      </c>
      <c r="R89" s="123">
        <v>0</v>
      </c>
      <c r="S89" s="123">
        <v>0</v>
      </c>
      <c r="T89" s="122">
        <v>70</v>
      </c>
      <c r="U89" s="123">
        <v>20</v>
      </c>
      <c r="V89" s="123">
        <v>30</v>
      </c>
      <c r="W89" s="123">
        <v>0</v>
      </c>
      <c r="X89" s="122">
        <v>0</v>
      </c>
      <c r="Y89" s="123">
        <v>0</v>
      </c>
      <c r="Z89" s="123">
        <v>0</v>
      </c>
      <c r="AA89" s="123">
        <v>0</v>
      </c>
      <c r="AB89" s="122">
        <v>0</v>
      </c>
      <c r="AC89" s="123">
        <v>0</v>
      </c>
      <c r="AD89" s="123">
        <v>0</v>
      </c>
      <c r="AE89" s="122">
        <f t="shared" si="28"/>
        <v>110</v>
      </c>
      <c r="AF89" s="123">
        <f t="shared" si="29"/>
        <v>50</v>
      </c>
      <c r="AG89" s="123">
        <f t="shared" si="30"/>
        <v>30</v>
      </c>
      <c r="AH89" s="123">
        <f t="shared" si="31"/>
        <v>0</v>
      </c>
      <c r="AI89" s="298">
        <f t="shared" si="32"/>
        <v>27257688700</v>
      </c>
    </row>
    <row r="90" spans="1:35" ht="14.25" customHeight="1" x14ac:dyDescent="0.25">
      <c r="A90" s="35" t="s">
        <v>79</v>
      </c>
      <c r="B90" s="120" t="s">
        <v>332</v>
      </c>
      <c r="C90" s="142" t="s">
        <v>125</v>
      </c>
      <c r="D90" s="135" t="str">
        <f>IF(ISNUMBER(MATCH(Table20[[#This Row],[General]],COVENANTS!$A$2:$A$100,0)), "Y","N")</f>
        <v>N</v>
      </c>
      <c r="E90" s="135" t="str">
        <f>IF(ISNUMBER(MATCH(Table20[[#This Row],[General]],COVENANTS!$B$2:$B$100,0)), "Y","N")</f>
        <v>Y</v>
      </c>
      <c r="F90" s="135" t="str">
        <f>IF(ISNUMBER(MATCH(Table20[[#This Row],[General]],COVENANTS!$C$2:$C$100,0)), "Y","N")</f>
        <v>Y</v>
      </c>
      <c r="G90" s="135" t="str">
        <f>IF(ISNUMBER(MATCH(Table20[[#This Row],[General]],COVENANTS!$D$2:$D$100,0)), "Y","N")</f>
        <v>N</v>
      </c>
      <c r="H90" s="122">
        <v>25</v>
      </c>
      <c r="I90" s="123">
        <v>25</v>
      </c>
      <c r="J90" s="123">
        <v>25</v>
      </c>
      <c r="K90" s="123">
        <v>12</v>
      </c>
      <c r="L90" s="122">
        <v>30</v>
      </c>
      <c r="M90" s="123">
        <v>15</v>
      </c>
      <c r="N90" s="123">
        <v>15</v>
      </c>
      <c r="O90" s="123">
        <v>0</v>
      </c>
      <c r="P90" s="122">
        <v>0</v>
      </c>
      <c r="Q90" s="123">
        <v>0</v>
      </c>
      <c r="R90" s="123">
        <v>0</v>
      </c>
      <c r="S90" s="123">
        <v>0</v>
      </c>
      <c r="T90" s="122">
        <v>55</v>
      </c>
      <c r="U90" s="123">
        <v>20</v>
      </c>
      <c r="V90" s="123">
        <v>10</v>
      </c>
      <c r="W90" s="123">
        <v>6</v>
      </c>
      <c r="X90" s="122">
        <v>0</v>
      </c>
      <c r="Y90" s="123">
        <v>0</v>
      </c>
      <c r="Z90" s="123">
        <v>0</v>
      </c>
      <c r="AA90" s="123">
        <v>0</v>
      </c>
      <c r="AB90" s="122">
        <v>0</v>
      </c>
      <c r="AC90" s="123">
        <v>0</v>
      </c>
      <c r="AD90" s="123">
        <v>0</v>
      </c>
      <c r="AE90" s="122">
        <f t="shared" si="28"/>
        <v>85</v>
      </c>
      <c r="AF90" s="123">
        <f t="shared" si="29"/>
        <v>35</v>
      </c>
      <c r="AG90" s="123">
        <f t="shared" si="30"/>
        <v>25</v>
      </c>
      <c r="AH90" s="123">
        <f t="shared" si="31"/>
        <v>6</v>
      </c>
      <c r="AI90" s="298">
        <f t="shared" si="32"/>
        <v>26834043650</v>
      </c>
    </row>
    <row r="91" spans="1:35" ht="14.25" customHeight="1" x14ac:dyDescent="0.25">
      <c r="A91" s="35" t="s">
        <v>80</v>
      </c>
      <c r="B91" s="120" t="s">
        <v>333</v>
      </c>
      <c r="C91" s="134" t="s">
        <v>120</v>
      </c>
      <c r="D91" s="135" t="str">
        <f>IF(ISNUMBER(MATCH(Table20[[#This Row],[General]],COVENANTS!$A$2:$A$100,0)), "Y","N")</f>
        <v>N</v>
      </c>
      <c r="E91" s="135" t="str">
        <f>IF(ISNUMBER(MATCH(Table20[[#This Row],[General]],COVENANTS!$B$2:$B$100,0)), "Y","N")</f>
        <v>N</v>
      </c>
      <c r="F91" s="135" t="str">
        <f>IF(ISNUMBER(MATCH(Table20[[#This Row],[General]],COVENANTS!$C$2:$C$100,0)), "Y","N")</f>
        <v>Y</v>
      </c>
      <c r="G91" s="135" t="str">
        <f>IF(ISNUMBER(MATCH(Table20[[#This Row],[General]],COVENANTS!$D$2:$D$100,0)), "Y","N")</f>
        <v>N</v>
      </c>
      <c r="H91" s="122">
        <v>0</v>
      </c>
      <c r="I91" s="123">
        <v>25</v>
      </c>
      <c r="J91" s="123">
        <v>25</v>
      </c>
      <c r="K91" s="123">
        <v>12</v>
      </c>
      <c r="L91" s="122">
        <v>40</v>
      </c>
      <c r="M91" s="123">
        <v>15</v>
      </c>
      <c r="N91" s="123">
        <v>15</v>
      </c>
      <c r="O91" s="123">
        <v>0</v>
      </c>
      <c r="P91" s="122">
        <v>0</v>
      </c>
      <c r="Q91" s="123">
        <v>0</v>
      </c>
      <c r="R91" s="123">
        <v>0</v>
      </c>
      <c r="S91" s="123">
        <v>0</v>
      </c>
      <c r="T91" s="122">
        <v>65</v>
      </c>
      <c r="U91" s="123">
        <v>45</v>
      </c>
      <c r="V91" s="123">
        <v>35</v>
      </c>
      <c r="W91" s="123">
        <v>0</v>
      </c>
      <c r="X91" s="122">
        <v>0</v>
      </c>
      <c r="Y91" s="123">
        <v>0</v>
      </c>
      <c r="Z91" s="123">
        <v>0</v>
      </c>
      <c r="AA91" s="123">
        <v>0</v>
      </c>
      <c r="AB91" s="122">
        <v>0</v>
      </c>
      <c r="AC91" s="123">
        <v>0</v>
      </c>
      <c r="AD91" s="123">
        <v>0</v>
      </c>
      <c r="AE91" s="122">
        <f t="shared" si="28"/>
        <v>105</v>
      </c>
      <c r="AF91" s="123">
        <f t="shared" si="29"/>
        <v>60</v>
      </c>
      <c r="AG91" s="123">
        <f t="shared" si="30"/>
        <v>50</v>
      </c>
      <c r="AH91" s="123">
        <f t="shared" si="31"/>
        <v>0</v>
      </c>
      <c r="AI91" s="298">
        <f t="shared" si="32"/>
        <v>26018702850</v>
      </c>
    </row>
    <row r="92" spans="1:35" ht="14.25" customHeight="1" x14ac:dyDescent="0.25">
      <c r="A92" s="35" t="s">
        <v>81</v>
      </c>
      <c r="B92" s="120" t="s">
        <v>333</v>
      </c>
      <c r="C92" s="142" t="s">
        <v>137</v>
      </c>
      <c r="D92" s="135" t="str">
        <f>IF(ISNUMBER(MATCH(Table20[[#This Row],[General]],COVENANTS!$A$2:$A$100,0)), "Y","N")</f>
        <v>N</v>
      </c>
      <c r="E92" s="135" t="str">
        <f>IF(ISNUMBER(MATCH(Table20[[#This Row],[General]],COVENANTS!$B$2:$B$100,0)), "Y","N")</f>
        <v>Y</v>
      </c>
      <c r="F92" s="135" t="str">
        <f>IF(ISNUMBER(MATCH(Table20[[#This Row],[General]],COVENANTS!$C$2:$C$100,0)), "Y","N")</f>
        <v>N</v>
      </c>
      <c r="G92" s="135" t="str">
        <f>IF(ISNUMBER(MATCH(Table20[[#This Row],[General]],COVENANTS!$D$2:$D$100,0)), "Y","N")</f>
        <v>N</v>
      </c>
      <c r="H92" s="122">
        <v>0</v>
      </c>
      <c r="I92" s="123">
        <v>25</v>
      </c>
      <c r="J92" s="123">
        <v>25</v>
      </c>
      <c r="K92" s="123">
        <v>12</v>
      </c>
      <c r="L92" s="122">
        <v>35</v>
      </c>
      <c r="M92" s="123">
        <v>0</v>
      </c>
      <c r="N92" s="123">
        <v>0</v>
      </c>
      <c r="O92" s="123">
        <v>0</v>
      </c>
      <c r="P92" s="122">
        <v>0</v>
      </c>
      <c r="Q92" s="123">
        <v>0</v>
      </c>
      <c r="R92" s="123">
        <v>0</v>
      </c>
      <c r="S92" s="123">
        <v>0</v>
      </c>
      <c r="T92" s="122">
        <v>70</v>
      </c>
      <c r="U92" s="123">
        <v>20</v>
      </c>
      <c r="V92" s="123">
        <v>10</v>
      </c>
      <c r="W92" s="123">
        <v>0</v>
      </c>
      <c r="X92" s="122">
        <v>0</v>
      </c>
      <c r="Y92" s="123">
        <v>0</v>
      </c>
      <c r="Z92" s="123">
        <v>0</v>
      </c>
      <c r="AA92" s="123">
        <v>0</v>
      </c>
      <c r="AB92" s="122">
        <v>0</v>
      </c>
      <c r="AC92" s="123">
        <v>0</v>
      </c>
      <c r="AD92" s="123">
        <v>0</v>
      </c>
      <c r="AE92" s="122">
        <f t="shared" ref="AE92:AE113" si="33">L92+T92+X92</f>
        <v>105</v>
      </c>
      <c r="AF92" s="123">
        <f t="shared" ref="AF92:AF113" si="34">M92+U92+Y92</f>
        <v>20</v>
      </c>
      <c r="AG92" s="123">
        <f t="shared" ref="AG92:AG113" si="35">N92+V92+Z92</f>
        <v>10</v>
      </c>
      <c r="AH92" s="123">
        <f t="shared" ref="AH92:AH113" si="36">O92+W92+AA92</f>
        <v>0</v>
      </c>
      <c r="AI92" s="298">
        <f t="shared" ref="AI92:AI113" si="37">(AW$2*(AH92/100)+AW$2+AW$3)*(AX$2*(AE92/100)+AX$2+AX$3)-AY$2</f>
        <v>26018702850</v>
      </c>
    </row>
    <row r="93" spans="1:35" ht="14.25" customHeight="1" x14ac:dyDescent="0.25">
      <c r="A93" s="35" t="s">
        <v>207</v>
      </c>
      <c r="B93" s="120" t="s">
        <v>332</v>
      </c>
      <c r="C93" s="142" t="s">
        <v>135</v>
      </c>
      <c r="D93" s="135" t="str">
        <f>IF(ISNUMBER(MATCH(Table20[[#This Row],[General]],COVENANTS!$A$2:$A$100,0)), "Y","N")</f>
        <v>N</v>
      </c>
      <c r="E93" s="135" t="str">
        <f>IF(ISNUMBER(MATCH(Table20[[#This Row],[General]],COVENANTS!$B$2:$B$100,0)), "Y","N")</f>
        <v>N</v>
      </c>
      <c r="F93" s="135" t="str">
        <f>IF(ISNUMBER(MATCH(Table20[[#This Row],[General]],COVENANTS!$C$2:$C$100,0)), "Y","N")</f>
        <v>N</v>
      </c>
      <c r="G93" s="135" t="str">
        <f>IF(ISNUMBER(MATCH(Table20[[#This Row],[General]],COVENANTS!$D$2:$D$100,0)), "Y","N")</f>
        <v>N</v>
      </c>
      <c r="H93" s="122">
        <v>25</v>
      </c>
      <c r="I93" s="123">
        <v>25</v>
      </c>
      <c r="J93" s="123">
        <v>25</v>
      </c>
      <c r="K93" s="123">
        <v>12</v>
      </c>
      <c r="L93" s="122">
        <v>35</v>
      </c>
      <c r="M93" s="123">
        <v>0</v>
      </c>
      <c r="N93" s="123">
        <v>0</v>
      </c>
      <c r="O93" s="123">
        <v>0</v>
      </c>
      <c r="P93" s="122">
        <v>0</v>
      </c>
      <c r="Q93" s="123">
        <v>0</v>
      </c>
      <c r="R93" s="123">
        <v>0</v>
      </c>
      <c r="S93" s="123">
        <v>0</v>
      </c>
      <c r="T93" s="122">
        <v>66</v>
      </c>
      <c r="U93" s="123">
        <v>10</v>
      </c>
      <c r="V93" s="123">
        <v>56</v>
      </c>
      <c r="W93" s="123">
        <v>0</v>
      </c>
      <c r="X93" s="122">
        <v>0</v>
      </c>
      <c r="Y93" s="123">
        <v>0</v>
      </c>
      <c r="Z93" s="123">
        <v>0</v>
      </c>
      <c r="AA93" s="123">
        <v>0</v>
      </c>
      <c r="AB93" s="122">
        <v>0</v>
      </c>
      <c r="AC93" s="123">
        <v>0</v>
      </c>
      <c r="AD93" s="123">
        <v>0</v>
      </c>
      <c r="AE93" s="122">
        <f t="shared" si="33"/>
        <v>101</v>
      </c>
      <c r="AF93" s="123">
        <f t="shared" si="34"/>
        <v>10</v>
      </c>
      <c r="AG93" s="123">
        <f t="shared" si="35"/>
        <v>56</v>
      </c>
      <c r="AH93" s="123">
        <f t="shared" si="36"/>
        <v>0</v>
      </c>
      <c r="AI93" s="298">
        <f t="shared" si="37"/>
        <v>25027514170.000061</v>
      </c>
    </row>
    <row r="94" spans="1:35" ht="14.25" customHeight="1" x14ac:dyDescent="0.25">
      <c r="A94" s="35" t="s">
        <v>210</v>
      </c>
      <c r="B94" s="120" t="s">
        <v>332</v>
      </c>
      <c r="C94" s="142" t="s">
        <v>94</v>
      </c>
      <c r="D94" s="135" t="str">
        <f>IF(ISNUMBER(MATCH(Table20[[#This Row],[General]],COVENANTS!$A$2:$A$100,0)), "Y","N")</f>
        <v>N</v>
      </c>
      <c r="E94" s="135" t="str">
        <f>IF(ISNUMBER(MATCH(Table20[[#This Row],[General]],COVENANTS!$B$2:$B$100,0)), "Y","N")</f>
        <v>N</v>
      </c>
      <c r="F94" s="135" t="str">
        <f>IF(ISNUMBER(MATCH(Table20[[#This Row],[General]],COVENANTS!$C$2:$C$100,0)), "Y","N")</f>
        <v>Y</v>
      </c>
      <c r="G94" s="135" t="str">
        <f>IF(ISNUMBER(MATCH(Table20[[#This Row],[General]],COVENANTS!$D$2:$D$100,0)), "Y","N")</f>
        <v>N</v>
      </c>
      <c r="H94" s="122">
        <v>25</v>
      </c>
      <c r="I94" s="123">
        <v>25</v>
      </c>
      <c r="J94" s="123">
        <v>25</v>
      </c>
      <c r="K94" s="123">
        <v>12</v>
      </c>
      <c r="L94" s="122">
        <v>25</v>
      </c>
      <c r="M94" s="123">
        <v>0</v>
      </c>
      <c r="N94" s="123">
        <v>10</v>
      </c>
      <c r="O94" s="123">
        <v>0</v>
      </c>
      <c r="P94" s="122">
        <v>0</v>
      </c>
      <c r="Q94" s="123">
        <v>0</v>
      </c>
      <c r="R94" s="123">
        <v>0</v>
      </c>
      <c r="S94" s="123">
        <v>0</v>
      </c>
      <c r="T94" s="122">
        <v>41</v>
      </c>
      <c r="U94" s="123">
        <v>26</v>
      </c>
      <c r="V94" s="123">
        <v>36</v>
      </c>
      <c r="W94" s="123">
        <v>6</v>
      </c>
      <c r="X94" s="122">
        <v>0</v>
      </c>
      <c r="Y94" s="123">
        <v>0</v>
      </c>
      <c r="Z94" s="123">
        <v>0</v>
      </c>
      <c r="AA94" s="123">
        <v>0</v>
      </c>
      <c r="AB94" s="122">
        <v>0</v>
      </c>
      <c r="AC94" s="123">
        <v>0</v>
      </c>
      <c r="AD94" s="123">
        <v>0</v>
      </c>
      <c r="AE94" s="122">
        <f t="shared" si="33"/>
        <v>66</v>
      </c>
      <c r="AF94" s="123">
        <f t="shared" si="34"/>
        <v>26</v>
      </c>
      <c r="AG94" s="123">
        <f t="shared" si="35"/>
        <v>46</v>
      </c>
      <c r="AH94" s="123">
        <f t="shared" si="36"/>
        <v>6</v>
      </c>
      <c r="AI94" s="298">
        <f t="shared" si="37"/>
        <v>22075712340.000061</v>
      </c>
    </row>
    <row r="95" spans="1:35" ht="14.25" customHeight="1" x14ac:dyDescent="0.25">
      <c r="A95" s="35" t="s">
        <v>211</v>
      </c>
      <c r="B95" s="120" t="s">
        <v>332</v>
      </c>
      <c r="C95" s="134" t="s">
        <v>124</v>
      </c>
      <c r="D95" s="135" t="str">
        <f>IF(ISNUMBER(MATCH(Table20[[#This Row],[General]],COVENANTS!$A$2:$A$100,0)), "Y","N")</f>
        <v>N</v>
      </c>
      <c r="E95" s="135" t="str">
        <f>IF(ISNUMBER(MATCH(Table20[[#This Row],[General]],COVENANTS!$B$2:$B$100,0)), "Y","N")</f>
        <v>N</v>
      </c>
      <c r="F95" s="135" t="str">
        <f>IF(ISNUMBER(MATCH(Table20[[#This Row],[General]],COVENANTS!$C$2:$C$100,0)), "Y","N")</f>
        <v>N</v>
      </c>
      <c r="G95" s="135" t="str">
        <f>IF(ISNUMBER(MATCH(Table20[[#This Row],[General]],COVENANTS!$D$2:$D$100,0)), "Y","N")</f>
        <v>N</v>
      </c>
      <c r="H95" s="122">
        <v>25</v>
      </c>
      <c r="I95" s="123">
        <v>25</v>
      </c>
      <c r="J95" s="123">
        <v>25</v>
      </c>
      <c r="K95" s="123">
        <v>12</v>
      </c>
      <c r="L95" s="122">
        <v>25</v>
      </c>
      <c r="M95" s="123">
        <v>0</v>
      </c>
      <c r="N95" s="123">
        <v>0</v>
      </c>
      <c r="O95" s="123">
        <v>0</v>
      </c>
      <c r="P95" s="122">
        <v>0</v>
      </c>
      <c r="Q95" s="123">
        <v>0</v>
      </c>
      <c r="R95" s="123">
        <v>0</v>
      </c>
      <c r="S95" s="123">
        <v>0</v>
      </c>
      <c r="T95" s="122">
        <v>60</v>
      </c>
      <c r="U95" s="123">
        <v>10</v>
      </c>
      <c r="V95" s="123">
        <v>20</v>
      </c>
      <c r="W95" s="123">
        <v>0</v>
      </c>
      <c r="X95" s="122">
        <v>0</v>
      </c>
      <c r="Y95" s="123">
        <v>0</v>
      </c>
      <c r="Z95" s="123">
        <v>0</v>
      </c>
      <c r="AA95" s="123">
        <v>0</v>
      </c>
      <c r="AB95" s="122">
        <v>0</v>
      </c>
      <c r="AC95" s="123">
        <v>0</v>
      </c>
      <c r="AD95" s="123">
        <v>0</v>
      </c>
      <c r="AE95" s="122">
        <f t="shared" si="33"/>
        <v>85</v>
      </c>
      <c r="AF95" s="123">
        <f t="shared" si="34"/>
        <v>10</v>
      </c>
      <c r="AG95" s="123">
        <f t="shared" si="35"/>
        <v>20</v>
      </c>
      <c r="AH95" s="123">
        <f t="shared" si="36"/>
        <v>0</v>
      </c>
      <c r="AI95" s="298">
        <f t="shared" si="37"/>
        <v>21062759450</v>
      </c>
    </row>
    <row r="96" spans="1:35" ht="14.25" customHeight="1" x14ac:dyDescent="0.25">
      <c r="A96" s="35" t="s">
        <v>212</v>
      </c>
      <c r="B96" s="120" t="s">
        <v>333</v>
      </c>
      <c r="C96" s="142" t="s">
        <v>136</v>
      </c>
      <c r="D96" s="135" t="str">
        <f>IF(ISNUMBER(MATCH(Table20[[#This Row],[General]],COVENANTS!$A$2:$A$100,0)), "Y","N")</f>
        <v>N</v>
      </c>
      <c r="E96" s="135" t="str">
        <f>IF(ISNUMBER(MATCH(Table20[[#This Row],[General]],COVENANTS!$B$2:$B$100,0)), "Y","N")</f>
        <v>Y</v>
      </c>
      <c r="F96" s="135" t="str">
        <f>IF(ISNUMBER(MATCH(Table20[[#This Row],[General]],COVENANTS!$C$2:$C$100,0)), "Y","N")</f>
        <v>N</v>
      </c>
      <c r="G96" s="135" t="str">
        <f>IF(ISNUMBER(MATCH(Table20[[#This Row],[General]],COVENANTS!$D$2:$D$100,0)), "Y","N")</f>
        <v>Y</v>
      </c>
      <c r="H96" s="122">
        <v>0</v>
      </c>
      <c r="I96" s="123">
        <v>25</v>
      </c>
      <c r="J96" s="123">
        <v>25</v>
      </c>
      <c r="K96" s="123">
        <v>12</v>
      </c>
      <c r="L96" s="122">
        <v>35</v>
      </c>
      <c r="M96" s="123">
        <v>0</v>
      </c>
      <c r="N96" s="123">
        <v>0</v>
      </c>
      <c r="O96" s="123">
        <v>0</v>
      </c>
      <c r="P96" s="122">
        <v>0</v>
      </c>
      <c r="Q96" s="123">
        <v>0</v>
      </c>
      <c r="R96" s="123">
        <v>0</v>
      </c>
      <c r="S96" s="123">
        <v>0</v>
      </c>
      <c r="T96" s="122">
        <v>46</v>
      </c>
      <c r="U96" s="123">
        <v>36</v>
      </c>
      <c r="V96" s="123">
        <v>10</v>
      </c>
      <c r="W96" s="123">
        <v>0</v>
      </c>
      <c r="X96" s="122">
        <v>0</v>
      </c>
      <c r="Y96" s="123">
        <v>0</v>
      </c>
      <c r="Z96" s="123">
        <v>0</v>
      </c>
      <c r="AA96" s="123">
        <v>0</v>
      </c>
      <c r="AB96" s="122">
        <v>0</v>
      </c>
      <c r="AC96" s="123">
        <v>0</v>
      </c>
      <c r="AD96" s="123">
        <v>0</v>
      </c>
      <c r="AE96" s="122">
        <f t="shared" si="33"/>
        <v>81</v>
      </c>
      <c r="AF96" s="123">
        <f t="shared" si="34"/>
        <v>36</v>
      </c>
      <c r="AG96" s="123">
        <f t="shared" si="35"/>
        <v>10</v>
      </c>
      <c r="AH96" s="123">
        <f t="shared" si="36"/>
        <v>0</v>
      </c>
      <c r="AI96" s="298">
        <f t="shared" si="37"/>
        <v>20071570770.000061</v>
      </c>
    </row>
    <row r="97" spans="1:35" ht="14.25" customHeight="1" x14ac:dyDescent="0.25">
      <c r="A97" s="35" t="s">
        <v>213</v>
      </c>
      <c r="B97" s="120" t="s">
        <v>332</v>
      </c>
      <c r="C97" s="134" t="s">
        <v>286</v>
      </c>
      <c r="D97" s="135" t="str">
        <f>IF(ISNUMBER(MATCH(Table20[[#This Row],[General]],COVENANTS!$A$2:$A$100,0)), "Y","N")</f>
        <v>N</v>
      </c>
      <c r="E97" s="135" t="str">
        <f>IF(ISNUMBER(MATCH(Table20[[#This Row],[General]],COVENANTS!$B$2:$B$100,0)), "Y","N")</f>
        <v>N</v>
      </c>
      <c r="F97" s="135" t="str">
        <f>IF(ISNUMBER(MATCH(Table20[[#This Row],[General]],COVENANTS!$C$2:$C$100,0)), "Y","N")</f>
        <v>N</v>
      </c>
      <c r="G97" s="135" t="str">
        <f>IF(ISNUMBER(MATCH(Table20[[#This Row],[General]],COVENANTS!$D$2:$D$100,0)), "Y","N")</f>
        <v>N</v>
      </c>
      <c r="H97" s="122">
        <v>25</v>
      </c>
      <c r="I97" s="123">
        <v>25</v>
      </c>
      <c r="J97" s="123">
        <v>25</v>
      </c>
      <c r="K97" s="123">
        <v>12</v>
      </c>
      <c r="L97" s="122">
        <v>35</v>
      </c>
      <c r="M97" s="123">
        <v>20</v>
      </c>
      <c r="N97" s="123">
        <v>0</v>
      </c>
      <c r="O97" s="123">
        <v>0</v>
      </c>
      <c r="P97" s="122">
        <v>0</v>
      </c>
      <c r="Q97" s="123">
        <v>0</v>
      </c>
      <c r="R97" s="123">
        <v>0</v>
      </c>
      <c r="S97" s="123">
        <v>0</v>
      </c>
      <c r="T97" s="122">
        <v>45</v>
      </c>
      <c r="U97" s="123">
        <v>10</v>
      </c>
      <c r="V97" s="123">
        <v>40</v>
      </c>
      <c r="W97" s="123">
        <v>0</v>
      </c>
      <c r="X97" s="122">
        <v>0</v>
      </c>
      <c r="Y97" s="123">
        <v>0</v>
      </c>
      <c r="Z97" s="123">
        <v>0</v>
      </c>
      <c r="AA97" s="123">
        <v>0</v>
      </c>
      <c r="AB97" s="122">
        <v>0</v>
      </c>
      <c r="AC97" s="123">
        <v>0</v>
      </c>
      <c r="AD97" s="123">
        <v>0</v>
      </c>
      <c r="AE97" s="122">
        <f t="shared" si="33"/>
        <v>80</v>
      </c>
      <c r="AF97" s="123">
        <f t="shared" si="34"/>
        <v>30</v>
      </c>
      <c r="AG97" s="123">
        <f t="shared" si="35"/>
        <v>40</v>
      </c>
      <c r="AH97" s="123">
        <f t="shared" si="36"/>
        <v>0</v>
      </c>
      <c r="AI97" s="298">
        <f t="shared" si="37"/>
        <v>19823773600</v>
      </c>
    </row>
    <row r="98" spans="1:35" ht="14.25" customHeight="1" x14ac:dyDescent="0.25">
      <c r="A98" s="35" t="s">
        <v>214</v>
      </c>
      <c r="B98" s="120" t="s">
        <v>333</v>
      </c>
      <c r="C98" s="142" t="s">
        <v>133</v>
      </c>
      <c r="D98" s="135" t="str">
        <f>IF(ISNUMBER(MATCH(Table20[[#This Row],[General]],COVENANTS!$A$2:$A$100,0)), "Y","N")</f>
        <v>N</v>
      </c>
      <c r="E98" s="135" t="str">
        <f>IF(ISNUMBER(MATCH(Table20[[#This Row],[General]],COVENANTS!$B$2:$B$100,0)), "Y","N")</f>
        <v>Y</v>
      </c>
      <c r="F98" s="135" t="str">
        <f>IF(ISNUMBER(MATCH(Table20[[#This Row],[General]],COVENANTS!$C$2:$C$100,0)), "Y","N")</f>
        <v>N</v>
      </c>
      <c r="G98" s="135" t="str">
        <f>IF(ISNUMBER(MATCH(Table20[[#This Row],[General]],COVENANTS!$D$2:$D$100,0)), "Y","N")</f>
        <v>N</v>
      </c>
      <c r="H98" s="122">
        <v>0</v>
      </c>
      <c r="I98" s="123">
        <v>25</v>
      </c>
      <c r="J98" s="123">
        <v>25</v>
      </c>
      <c r="K98" s="123">
        <v>12</v>
      </c>
      <c r="L98" s="122">
        <v>25</v>
      </c>
      <c r="M98" s="123">
        <v>0</v>
      </c>
      <c r="N98" s="123">
        <v>0</v>
      </c>
      <c r="O98" s="123">
        <v>0</v>
      </c>
      <c r="P98" s="122">
        <v>0</v>
      </c>
      <c r="Q98" s="123">
        <v>0</v>
      </c>
      <c r="R98" s="123">
        <v>0</v>
      </c>
      <c r="S98" s="123">
        <v>0</v>
      </c>
      <c r="T98" s="122">
        <v>30</v>
      </c>
      <c r="U98" s="123">
        <v>20</v>
      </c>
      <c r="V98" s="123">
        <v>30</v>
      </c>
      <c r="W98" s="123">
        <v>6</v>
      </c>
      <c r="X98" s="122">
        <v>0</v>
      </c>
      <c r="Y98" s="123">
        <v>0</v>
      </c>
      <c r="Z98" s="123">
        <v>0</v>
      </c>
      <c r="AA98" s="123">
        <v>0</v>
      </c>
      <c r="AB98" s="122">
        <v>0</v>
      </c>
      <c r="AC98" s="123">
        <v>0</v>
      </c>
      <c r="AD98" s="123">
        <v>0</v>
      </c>
      <c r="AE98" s="122">
        <f t="shared" si="33"/>
        <v>55</v>
      </c>
      <c r="AF98" s="123">
        <f t="shared" si="34"/>
        <v>20</v>
      </c>
      <c r="AG98" s="123">
        <f t="shared" si="35"/>
        <v>30</v>
      </c>
      <c r="AH98" s="123">
        <f t="shared" si="36"/>
        <v>6</v>
      </c>
      <c r="AI98" s="298">
        <f t="shared" si="37"/>
        <v>19320888950</v>
      </c>
    </row>
    <row r="99" spans="1:35" ht="14.25" customHeight="1" x14ac:dyDescent="0.25">
      <c r="A99" s="35" t="s">
        <v>215</v>
      </c>
      <c r="B99" s="120" t="s">
        <v>332</v>
      </c>
      <c r="C99" s="134" t="s">
        <v>531</v>
      </c>
      <c r="D99" s="135" t="str">
        <f>IF(ISNUMBER(MATCH(Table20[[#This Row],[General]],COVENANTS!$A$2:$A$100,0)), "Y","N")</f>
        <v>N</v>
      </c>
      <c r="E99" s="135" t="str">
        <f>IF(ISNUMBER(MATCH(Table20[[#This Row],[General]],COVENANTS!$B$2:$B$100,0)), "Y","N")</f>
        <v>N</v>
      </c>
      <c r="F99" s="135" t="str">
        <f>IF(ISNUMBER(MATCH(Table20[[#This Row],[General]],COVENANTS!$C$2:$C$100,0)), "Y","N")</f>
        <v>N</v>
      </c>
      <c r="G99" s="135" t="str">
        <f>IF(ISNUMBER(MATCH(Table20[[#This Row],[General]],COVENANTS!$D$2:$D$100,0)), "Y","N")</f>
        <v>Y</v>
      </c>
      <c r="H99" s="122">
        <v>25</v>
      </c>
      <c r="I99" s="123">
        <v>25</v>
      </c>
      <c r="J99" s="123">
        <v>25</v>
      </c>
      <c r="K99" s="123">
        <v>12</v>
      </c>
      <c r="L99" s="122">
        <v>30</v>
      </c>
      <c r="M99" s="123">
        <v>30</v>
      </c>
      <c r="N99" s="123">
        <v>0</v>
      </c>
      <c r="O99" s="123">
        <v>0</v>
      </c>
      <c r="P99" s="122">
        <v>0</v>
      </c>
      <c r="Q99" s="123">
        <v>0</v>
      </c>
      <c r="R99" s="123">
        <v>0</v>
      </c>
      <c r="S99" s="123">
        <v>0</v>
      </c>
      <c r="T99" s="122">
        <v>46</v>
      </c>
      <c r="U99" s="123">
        <v>30</v>
      </c>
      <c r="V99" s="123">
        <v>10</v>
      </c>
      <c r="W99" s="123">
        <v>0</v>
      </c>
      <c r="X99" s="122">
        <v>0</v>
      </c>
      <c r="Y99" s="123">
        <v>0</v>
      </c>
      <c r="Z99" s="123">
        <v>0</v>
      </c>
      <c r="AA99" s="123">
        <v>0</v>
      </c>
      <c r="AB99" s="122">
        <v>0</v>
      </c>
      <c r="AC99" s="123">
        <v>0</v>
      </c>
      <c r="AD99" s="123">
        <v>0</v>
      </c>
      <c r="AE99" s="122">
        <f t="shared" si="33"/>
        <v>76</v>
      </c>
      <c r="AF99" s="123">
        <f t="shared" si="34"/>
        <v>60</v>
      </c>
      <c r="AG99" s="123">
        <f t="shared" si="35"/>
        <v>10</v>
      </c>
      <c r="AH99" s="123">
        <f t="shared" si="36"/>
        <v>0</v>
      </c>
      <c r="AI99" s="298">
        <f t="shared" si="37"/>
        <v>18832584920.000061</v>
      </c>
    </row>
    <row r="100" spans="1:35" ht="14.25" customHeight="1" x14ac:dyDescent="0.25">
      <c r="A100" s="35" t="s">
        <v>216</v>
      </c>
      <c r="B100" s="120" t="s">
        <v>333</v>
      </c>
      <c r="C100" s="142" t="s">
        <v>334</v>
      </c>
      <c r="D100" s="135" t="str">
        <f>IF(ISNUMBER(MATCH(Table20[[#This Row],[General]],COVENANTS!$A$2:$A$100,0)), "Y","N")</f>
        <v>N</v>
      </c>
      <c r="E100" s="135" t="str">
        <f>IF(ISNUMBER(MATCH(Table20[[#This Row],[General]],COVENANTS!$B$2:$B$100,0)), "Y","N")</f>
        <v>N</v>
      </c>
      <c r="F100" s="135" t="str">
        <f>IF(ISNUMBER(MATCH(Table20[[#This Row],[General]],COVENANTS!$C$2:$C$100,0)), "Y","N")</f>
        <v>N</v>
      </c>
      <c r="G100" s="135" t="str">
        <f>IF(ISNUMBER(MATCH(Table20[[#This Row],[General]],COVENANTS!$D$2:$D$100,0)), "Y","N")</f>
        <v>Y</v>
      </c>
      <c r="H100" s="122">
        <v>0</v>
      </c>
      <c r="I100" s="123">
        <v>25</v>
      </c>
      <c r="J100" s="123">
        <v>25</v>
      </c>
      <c r="K100" s="123">
        <v>12</v>
      </c>
      <c r="L100" s="122">
        <v>25</v>
      </c>
      <c r="M100" s="123">
        <v>0</v>
      </c>
      <c r="N100" s="123">
        <v>40</v>
      </c>
      <c r="O100" s="123">
        <v>0</v>
      </c>
      <c r="P100" s="122">
        <v>0</v>
      </c>
      <c r="Q100" s="123">
        <v>0</v>
      </c>
      <c r="R100" s="123">
        <v>0</v>
      </c>
      <c r="S100" s="123">
        <v>0</v>
      </c>
      <c r="T100" s="122">
        <v>35</v>
      </c>
      <c r="U100" s="123">
        <v>20</v>
      </c>
      <c r="V100" s="123">
        <v>55</v>
      </c>
      <c r="W100" s="123">
        <v>0</v>
      </c>
      <c r="X100" s="122">
        <v>0</v>
      </c>
      <c r="Y100" s="123">
        <v>0</v>
      </c>
      <c r="Z100" s="123">
        <v>0</v>
      </c>
      <c r="AA100" s="123">
        <v>0</v>
      </c>
      <c r="AB100" s="122">
        <v>0</v>
      </c>
      <c r="AC100" s="123">
        <v>0</v>
      </c>
      <c r="AD100" s="123">
        <v>0</v>
      </c>
      <c r="AE100" s="122">
        <f t="shared" si="33"/>
        <v>60</v>
      </c>
      <c r="AF100" s="123">
        <f t="shared" si="34"/>
        <v>20</v>
      </c>
      <c r="AG100" s="123">
        <f t="shared" si="35"/>
        <v>95</v>
      </c>
      <c r="AH100" s="123">
        <f t="shared" si="36"/>
        <v>0</v>
      </c>
      <c r="AI100" s="298">
        <f t="shared" si="37"/>
        <v>14867830200</v>
      </c>
    </row>
    <row r="101" spans="1:35" ht="14.25" customHeight="1" x14ac:dyDescent="0.25">
      <c r="A101" s="35" t="s">
        <v>217</v>
      </c>
      <c r="B101" s="209" t="s">
        <v>332</v>
      </c>
      <c r="C101" s="134" t="s">
        <v>108</v>
      </c>
      <c r="D101" s="135" t="str">
        <f>IF(ISNUMBER(MATCH(Table20[[#This Row],[General]],COVENANTS!$A$2:$A$100,0)), "Y","N")</f>
        <v>N</v>
      </c>
      <c r="E101" s="135" t="str">
        <f>IF(ISNUMBER(MATCH(Table20[[#This Row],[General]],COVENANTS!$B$2:$B$100,0)), "Y","N")</f>
        <v>N</v>
      </c>
      <c r="F101" s="135" t="str">
        <f>IF(ISNUMBER(MATCH(Table20[[#This Row],[General]],COVENANTS!$C$2:$C$100,0)), "Y","N")</f>
        <v>Y</v>
      </c>
      <c r="G101" s="135" t="str">
        <f>IF(ISNUMBER(MATCH(Table20[[#This Row],[General]],COVENANTS!$D$2:$D$100,0)), "Y","N")</f>
        <v>N</v>
      </c>
      <c r="H101" s="122">
        <v>25</v>
      </c>
      <c r="I101" s="211">
        <v>25</v>
      </c>
      <c r="J101" s="211">
        <v>25</v>
      </c>
      <c r="K101" s="211">
        <v>12</v>
      </c>
      <c r="L101" s="213">
        <v>30</v>
      </c>
      <c r="M101" s="211">
        <v>15</v>
      </c>
      <c r="N101" s="211">
        <v>0</v>
      </c>
      <c r="O101" s="211">
        <v>0</v>
      </c>
      <c r="P101" s="213">
        <v>0</v>
      </c>
      <c r="Q101" s="211">
        <v>0</v>
      </c>
      <c r="R101" s="211">
        <v>0</v>
      </c>
      <c r="S101" s="211">
        <v>0</v>
      </c>
      <c r="T101" s="213">
        <v>26</v>
      </c>
      <c r="U101" s="211">
        <v>0</v>
      </c>
      <c r="V101" s="211">
        <v>10</v>
      </c>
      <c r="W101" s="211">
        <v>0</v>
      </c>
      <c r="X101" s="213">
        <v>0</v>
      </c>
      <c r="Y101" s="211">
        <v>0</v>
      </c>
      <c r="Z101" s="211">
        <v>0</v>
      </c>
      <c r="AA101" s="211">
        <v>0</v>
      </c>
      <c r="AB101" s="213">
        <v>0</v>
      </c>
      <c r="AC101" s="211">
        <v>0</v>
      </c>
      <c r="AD101" s="211">
        <v>0</v>
      </c>
      <c r="AE101" s="213">
        <f t="shared" si="33"/>
        <v>56</v>
      </c>
      <c r="AF101" s="211">
        <f t="shared" si="34"/>
        <v>15</v>
      </c>
      <c r="AG101" s="211">
        <f t="shared" si="35"/>
        <v>10</v>
      </c>
      <c r="AH101" s="211">
        <f t="shared" si="36"/>
        <v>0</v>
      </c>
      <c r="AI101" s="299">
        <f t="shared" si="37"/>
        <v>13876641520.000061</v>
      </c>
    </row>
    <row r="102" spans="1:35" ht="14.25" customHeight="1" x14ac:dyDescent="0.25">
      <c r="A102" s="35" t="s">
        <v>218</v>
      </c>
      <c r="B102" s="209" t="s">
        <v>332</v>
      </c>
      <c r="C102" s="121" t="s">
        <v>627</v>
      </c>
      <c r="D102" s="135" t="str">
        <f>IF(ISNUMBER(MATCH(Table20[[#This Row],[General]],COVENANTS!$A$2:$A$100,0)), "Y","N")</f>
        <v>N</v>
      </c>
      <c r="E102" s="135" t="str">
        <f>IF(ISNUMBER(MATCH(Table20[[#This Row],[General]],COVENANTS!$B$2:$B$100,0)), "Y","N")</f>
        <v>Y</v>
      </c>
      <c r="F102" s="135" t="str">
        <f>IF(ISNUMBER(MATCH(Table20[[#This Row],[General]],COVENANTS!$C$2:$C$100,0)), "Y","N")</f>
        <v>N</v>
      </c>
      <c r="G102" s="135" t="str">
        <f>IF(ISNUMBER(MATCH(Table20[[#This Row],[General]],COVENANTS!$D$2:$D$100,0)), "Y","N")</f>
        <v>N</v>
      </c>
      <c r="H102" s="122">
        <v>25</v>
      </c>
      <c r="I102" s="211">
        <v>25</v>
      </c>
      <c r="J102" s="211">
        <v>25</v>
      </c>
      <c r="K102" s="211">
        <v>12</v>
      </c>
      <c r="L102" s="213">
        <v>0</v>
      </c>
      <c r="M102" s="211">
        <v>0</v>
      </c>
      <c r="N102" s="211">
        <v>0</v>
      </c>
      <c r="O102" s="211">
        <v>0</v>
      </c>
      <c r="P102" s="213">
        <v>0</v>
      </c>
      <c r="Q102" s="211">
        <v>0</v>
      </c>
      <c r="R102" s="211">
        <v>0</v>
      </c>
      <c r="S102" s="211">
        <v>0</v>
      </c>
      <c r="T102" s="213">
        <v>46</v>
      </c>
      <c r="U102" s="211">
        <v>0</v>
      </c>
      <c r="V102" s="211">
        <v>0</v>
      </c>
      <c r="W102" s="211">
        <v>0</v>
      </c>
      <c r="X102" s="213">
        <v>0</v>
      </c>
      <c r="Y102" s="211">
        <v>0</v>
      </c>
      <c r="Z102" s="211">
        <v>0</v>
      </c>
      <c r="AA102" s="211">
        <v>0</v>
      </c>
      <c r="AB102" s="213">
        <v>0</v>
      </c>
      <c r="AC102" s="211">
        <v>0</v>
      </c>
      <c r="AD102" s="211">
        <v>0</v>
      </c>
      <c r="AE102" s="213">
        <f t="shared" si="33"/>
        <v>46</v>
      </c>
      <c r="AF102" s="211">
        <f t="shared" si="34"/>
        <v>0</v>
      </c>
      <c r="AG102" s="211">
        <f t="shared" si="35"/>
        <v>0</v>
      </c>
      <c r="AH102" s="211">
        <f t="shared" si="36"/>
        <v>0</v>
      </c>
      <c r="AI102" s="299">
        <f t="shared" si="37"/>
        <v>11398669820.000061</v>
      </c>
    </row>
    <row r="103" spans="1:35" ht="14.25" customHeight="1" x14ac:dyDescent="0.25">
      <c r="A103" s="35" t="s">
        <v>434</v>
      </c>
      <c r="C103" s="184"/>
      <c r="D103" s="185" t="str">
        <f>IF(ISNUMBER(MATCH(Table20[[#This Row],[General]],COVENANTS!$A$2:$A$100,0)), "Y","N")</f>
        <v>N</v>
      </c>
      <c r="E103" s="185" t="str">
        <f>IF(ISNUMBER(MATCH(Table20[[#This Row],[General]],COVENANTS!$B$2:$B$100,0)), "Y","N")</f>
        <v>N</v>
      </c>
      <c r="F103" s="185" t="str">
        <f>IF(ISNUMBER(MATCH(Table20[[#This Row],[General]],COVENANTS!$C$2:$C$100,0)), "Y","N")</f>
        <v>N</v>
      </c>
      <c r="G103" s="185" t="str">
        <f>IF(ISNUMBER(MATCH(Table20[[#This Row],[General]],COVENANTS!$D$2:$D$100,0)), "Y","N")</f>
        <v>N</v>
      </c>
      <c r="H103" s="122">
        <v>0</v>
      </c>
      <c r="I103" s="113">
        <v>0</v>
      </c>
      <c r="J103" s="113">
        <v>0</v>
      </c>
      <c r="K103" s="113">
        <v>0</v>
      </c>
      <c r="L103" s="97">
        <v>0</v>
      </c>
      <c r="M103" s="113">
        <v>0</v>
      </c>
      <c r="N103" s="113">
        <v>0</v>
      </c>
      <c r="O103" s="113">
        <v>0</v>
      </c>
      <c r="P103" s="97">
        <v>0</v>
      </c>
      <c r="Q103" s="113">
        <v>0</v>
      </c>
      <c r="R103" s="113">
        <v>0</v>
      </c>
      <c r="S103" s="113">
        <v>0</v>
      </c>
      <c r="T103" s="97">
        <v>0</v>
      </c>
      <c r="U103" s="113">
        <v>0</v>
      </c>
      <c r="V103" s="113">
        <v>0</v>
      </c>
      <c r="W103" s="113">
        <v>0</v>
      </c>
      <c r="X103" s="97">
        <v>0</v>
      </c>
      <c r="Y103" s="113">
        <v>0</v>
      </c>
      <c r="Z103" s="113">
        <v>0</v>
      </c>
      <c r="AA103" s="113">
        <v>0</v>
      </c>
      <c r="AB103" s="97">
        <v>0</v>
      </c>
      <c r="AC103" s="113">
        <v>0</v>
      </c>
      <c r="AD103" s="113">
        <v>0</v>
      </c>
      <c r="AE103" s="97">
        <f t="shared" si="33"/>
        <v>0</v>
      </c>
      <c r="AF103" s="113">
        <f t="shared" si="34"/>
        <v>0</v>
      </c>
      <c r="AG103" s="113">
        <f t="shared" si="35"/>
        <v>0</v>
      </c>
      <c r="AH103" s="113">
        <f t="shared" si="36"/>
        <v>0</v>
      </c>
      <c r="AI103" s="300">
        <f t="shared" si="37"/>
        <v>0</v>
      </c>
    </row>
    <row r="104" spans="1:35" ht="14.25" customHeight="1" x14ac:dyDescent="0.25">
      <c r="A104" s="35" t="s">
        <v>435</v>
      </c>
      <c r="B104" s="104"/>
      <c r="C104" s="184"/>
      <c r="D104" s="185" t="str">
        <f>IF(ISNUMBER(MATCH(Table20[[#This Row],[General]],COVENANTS!$A$2:$A$100,0)), "Y","N")</f>
        <v>N</v>
      </c>
      <c r="E104" s="185" t="str">
        <f>IF(ISNUMBER(MATCH(Table20[[#This Row],[General]],COVENANTS!$B$2:$B$100,0)), "Y","N")</f>
        <v>N</v>
      </c>
      <c r="F104" s="185" t="str">
        <f>IF(ISNUMBER(MATCH(Table20[[#This Row],[General]],COVENANTS!$C$2:$C$100,0)), "Y","N")</f>
        <v>N</v>
      </c>
      <c r="G104" s="185" t="str">
        <f>IF(ISNUMBER(MATCH(Table20[[#This Row],[General]],COVENANTS!$D$2:$D$100,0)), "Y","N")</f>
        <v>N</v>
      </c>
      <c r="H104" s="122">
        <v>0</v>
      </c>
      <c r="I104" s="113">
        <v>0</v>
      </c>
      <c r="J104" s="113">
        <v>0</v>
      </c>
      <c r="K104" s="113">
        <v>0</v>
      </c>
      <c r="L104" s="106">
        <v>0</v>
      </c>
      <c r="M104" s="105">
        <v>0</v>
      </c>
      <c r="N104" s="105">
        <v>0</v>
      </c>
      <c r="O104" s="105">
        <v>0</v>
      </c>
      <c r="P104" s="106">
        <v>0</v>
      </c>
      <c r="Q104" s="105">
        <v>0</v>
      </c>
      <c r="R104" s="105">
        <v>0</v>
      </c>
      <c r="S104" s="105">
        <v>0</v>
      </c>
      <c r="T104" s="106">
        <v>0</v>
      </c>
      <c r="U104" s="105">
        <v>0</v>
      </c>
      <c r="V104" s="105">
        <v>0</v>
      </c>
      <c r="W104" s="105">
        <v>0</v>
      </c>
      <c r="X104" s="106">
        <v>0</v>
      </c>
      <c r="Y104" s="105">
        <v>0</v>
      </c>
      <c r="Z104" s="105">
        <v>0</v>
      </c>
      <c r="AA104" s="105">
        <v>0</v>
      </c>
      <c r="AB104" s="106">
        <v>0</v>
      </c>
      <c r="AC104" s="105">
        <v>0</v>
      </c>
      <c r="AD104" s="105">
        <v>0</v>
      </c>
      <c r="AE104" s="106">
        <f t="shared" si="33"/>
        <v>0</v>
      </c>
      <c r="AF104" s="105">
        <f t="shared" si="34"/>
        <v>0</v>
      </c>
      <c r="AG104" s="105">
        <f t="shared" si="35"/>
        <v>0</v>
      </c>
      <c r="AH104" s="105">
        <f t="shared" si="36"/>
        <v>0</v>
      </c>
      <c r="AI104" s="297">
        <f t="shared" si="37"/>
        <v>0</v>
      </c>
    </row>
    <row r="105" spans="1:35" ht="14.25" customHeight="1" x14ac:dyDescent="0.25">
      <c r="A105" s="35" t="s">
        <v>436</v>
      </c>
      <c r="B105" s="104"/>
      <c r="C105" s="184"/>
      <c r="D105" s="185" t="str">
        <f>IF(ISNUMBER(MATCH(Table20[[#This Row],[General]],COVENANTS!$A$2:$A$100,0)), "Y","N")</f>
        <v>N</v>
      </c>
      <c r="E105" s="185" t="str">
        <f>IF(ISNUMBER(MATCH(Table20[[#This Row],[General]],COVENANTS!$B$2:$B$100,0)), "Y","N")</f>
        <v>N</v>
      </c>
      <c r="F105" s="185" t="str">
        <f>IF(ISNUMBER(MATCH(Table20[[#This Row],[General]],COVENANTS!$C$2:$C$100,0)), "Y","N")</f>
        <v>N</v>
      </c>
      <c r="G105" s="185" t="str">
        <f>IF(ISNUMBER(MATCH(Table20[[#This Row],[General]],COVENANTS!$D$2:$D$100,0)), "Y","N")</f>
        <v>N</v>
      </c>
      <c r="H105" s="122">
        <v>0</v>
      </c>
      <c r="I105" s="113">
        <v>0</v>
      </c>
      <c r="J105" s="113">
        <v>0</v>
      </c>
      <c r="K105" s="113">
        <v>0</v>
      </c>
      <c r="L105" s="106">
        <v>0</v>
      </c>
      <c r="M105" s="105">
        <v>0</v>
      </c>
      <c r="N105" s="105">
        <v>0</v>
      </c>
      <c r="O105" s="105">
        <v>0</v>
      </c>
      <c r="P105" s="106">
        <v>0</v>
      </c>
      <c r="Q105" s="105">
        <v>0</v>
      </c>
      <c r="R105" s="105">
        <v>0</v>
      </c>
      <c r="S105" s="105">
        <v>0</v>
      </c>
      <c r="T105" s="106">
        <v>0</v>
      </c>
      <c r="U105" s="105">
        <v>0</v>
      </c>
      <c r="V105" s="105">
        <v>0</v>
      </c>
      <c r="W105" s="105">
        <v>0</v>
      </c>
      <c r="X105" s="106">
        <v>0</v>
      </c>
      <c r="Y105" s="105">
        <v>0</v>
      </c>
      <c r="Z105" s="105">
        <v>0</v>
      </c>
      <c r="AA105" s="105">
        <v>0</v>
      </c>
      <c r="AB105" s="106">
        <v>0</v>
      </c>
      <c r="AC105" s="105">
        <v>0</v>
      </c>
      <c r="AD105" s="105">
        <v>0</v>
      </c>
      <c r="AE105" s="106">
        <f t="shared" si="33"/>
        <v>0</v>
      </c>
      <c r="AF105" s="105">
        <f t="shared" si="34"/>
        <v>0</v>
      </c>
      <c r="AG105" s="105">
        <f t="shared" si="35"/>
        <v>0</v>
      </c>
      <c r="AH105" s="105">
        <f t="shared" si="36"/>
        <v>0</v>
      </c>
      <c r="AI105" s="297">
        <f t="shared" si="37"/>
        <v>0</v>
      </c>
    </row>
    <row r="106" spans="1:35" ht="14.25" customHeight="1" x14ac:dyDescent="0.25">
      <c r="A106" s="35" t="s">
        <v>437</v>
      </c>
      <c r="B106" s="104"/>
      <c r="C106" s="184"/>
      <c r="D106" s="185" t="str">
        <f>IF(ISNUMBER(MATCH(Table20[[#This Row],[General]],COVENANTS!$A$2:$A$100,0)), "Y","N")</f>
        <v>N</v>
      </c>
      <c r="E106" s="185" t="str">
        <f>IF(ISNUMBER(MATCH(Table20[[#This Row],[General]],COVENANTS!$B$2:$B$100,0)), "Y","N")</f>
        <v>N</v>
      </c>
      <c r="F106" s="185" t="str">
        <f>IF(ISNUMBER(MATCH(Table20[[#This Row],[General]],COVENANTS!$C$2:$C$100,0)), "Y","N")</f>
        <v>N</v>
      </c>
      <c r="G106" s="185" t="str">
        <f>IF(ISNUMBER(MATCH(Table20[[#This Row],[General]],COVENANTS!$D$2:$D$100,0)), "Y","N")</f>
        <v>N</v>
      </c>
      <c r="H106" s="122">
        <v>0</v>
      </c>
      <c r="I106" s="113">
        <v>0</v>
      </c>
      <c r="J106" s="113">
        <v>0</v>
      </c>
      <c r="K106" s="113">
        <v>0</v>
      </c>
      <c r="L106" s="106">
        <v>0</v>
      </c>
      <c r="M106" s="105">
        <v>0</v>
      </c>
      <c r="N106" s="105">
        <v>0</v>
      </c>
      <c r="O106" s="105">
        <v>0</v>
      </c>
      <c r="P106" s="106">
        <v>0</v>
      </c>
      <c r="Q106" s="105">
        <v>0</v>
      </c>
      <c r="R106" s="105">
        <v>0</v>
      </c>
      <c r="S106" s="105">
        <v>0</v>
      </c>
      <c r="T106" s="106">
        <v>0</v>
      </c>
      <c r="U106" s="105">
        <v>0</v>
      </c>
      <c r="V106" s="105">
        <v>0</v>
      </c>
      <c r="W106" s="105">
        <v>0</v>
      </c>
      <c r="X106" s="106">
        <v>0</v>
      </c>
      <c r="Y106" s="105">
        <v>0</v>
      </c>
      <c r="Z106" s="105">
        <v>0</v>
      </c>
      <c r="AA106" s="105">
        <v>0</v>
      </c>
      <c r="AB106" s="106">
        <v>0</v>
      </c>
      <c r="AC106" s="105">
        <v>0</v>
      </c>
      <c r="AD106" s="105">
        <v>0</v>
      </c>
      <c r="AE106" s="106">
        <f t="shared" si="33"/>
        <v>0</v>
      </c>
      <c r="AF106" s="105">
        <f t="shared" si="34"/>
        <v>0</v>
      </c>
      <c r="AG106" s="105">
        <f t="shared" si="35"/>
        <v>0</v>
      </c>
      <c r="AH106" s="105">
        <f t="shared" si="36"/>
        <v>0</v>
      </c>
      <c r="AI106" s="297">
        <f t="shared" si="37"/>
        <v>0</v>
      </c>
    </row>
    <row r="107" spans="1:35" ht="14.25" customHeight="1" x14ac:dyDescent="0.25">
      <c r="A107" s="35" t="s">
        <v>438</v>
      </c>
      <c r="B107" s="104"/>
      <c r="C107" s="184"/>
      <c r="D107" s="185" t="str">
        <f>IF(ISNUMBER(MATCH(Table20[[#This Row],[General]],COVENANTS!$A$2:$A$100,0)), "Y","N")</f>
        <v>N</v>
      </c>
      <c r="E107" s="185" t="str">
        <f>IF(ISNUMBER(MATCH(Table20[[#This Row],[General]],COVENANTS!$B$2:$B$100,0)), "Y","N")</f>
        <v>N</v>
      </c>
      <c r="F107" s="185" t="str">
        <f>IF(ISNUMBER(MATCH(Table20[[#This Row],[General]],COVENANTS!$C$2:$C$100,0)), "Y","N")</f>
        <v>N</v>
      </c>
      <c r="G107" s="185" t="str">
        <f>IF(ISNUMBER(MATCH(Table20[[#This Row],[General]],COVENANTS!$D$2:$D$100,0)), "Y","N")</f>
        <v>N</v>
      </c>
      <c r="H107" s="122">
        <v>0</v>
      </c>
      <c r="I107" s="113">
        <v>0</v>
      </c>
      <c r="J107" s="113">
        <v>0</v>
      </c>
      <c r="K107" s="113">
        <v>0</v>
      </c>
      <c r="L107" s="106">
        <v>0</v>
      </c>
      <c r="M107" s="105">
        <v>0</v>
      </c>
      <c r="N107" s="105">
        <v>0</v>
      </c>
      <c r="O107" s="105">
        <v>0</v>
      </c>
      <c r="P107" s="106">
        <v>0</v>
      </c>
      <c r="Q107" s="105">
        <v>0</v>
      </c>
      <c r="R107" s="105">
        <v>0</v>
      </c>
      <c r="S107" s="105">
        <v>0</v>
      </c>
      <c r="T107" s="106">
        <v>0</v>
      </c>
      <c r="U107" s="105">
        <v>0</v>
      </c>
      <c r="V107" s="105">
        <v>0</v>
      </c>
      <c r="W107" s="105">
        <v>0</v>
      </c>
      <c r="X107" s="106">
        <v>0</v>
      </c>
      <c r="Y107" s="105">
        <v>0</v>
      </c>
      <c r="Z107" s="105">
        <v>0</v>
      </c>
      <c r="AA107" s="105">
        <v>0</v>
      </c>
      <c r="AB107" s="106">
        <v>0</v>
      </c>
      <c r="AC107" s="105">
        <v>0</v>
      </c>
      <c r="AD107" s="105">
        <v>0</v>
      </c>
      <c r="AE107" s="106">
        <f t="shared" si="33"/>
        <v>0</v>
      </c>
      <c r="AF107" s="105">
        <f t="shared" si="34"/>
        <v>0</v>
      </c>
      <c r="AG107" s="105">
        <f t="shared" si="35"/>
        <v>0</v>
      </c>
      <c r="AH107" s="105">
        <f t="shared" si="36"/>
        <v>0</v>
      </c>
      <c r="AI107" s="297">
        <f t="shared" si="37"/>
        <v>0</v>
      </c>
    </row>
    <row r="108" spans="1:35" ht="14.25" customHeight="1" x14ac:dyDescent="0.25">
      <c r="A108" s="35" t="s">
        <v>439</v>
      </c>
      <c r="B108" s="383"/>
      <c r="C108" s="411"/>
      <c r="D108" s="185" t="str">
        <f>IF(ISNUMBER(MATCH(Table20[[#This Row],[General]],COVENANTS!$A$2:$A$100,0)), "Y","N")</f>
        <v>N</v>
      </c>
      <c r="E108" s="185" t="str">
        <f>IF(ISNUMBER(MATCH(Table20[[#This Row],[General]],COVENANTS!$B$2:$B$100,0)), "Y","N")</f>
        <v>N</v>
      </c>
      <c r="F108" s="185" t="str">
        <f>IF(ISNUMBER(MATCH(Table20[[#This Row],[General]],COVENANTS!$C$2:$C$100,0)), "Y","N")</f>
        <v>N</v>
      </c>
      <c r="G108" s="185" t="str">
        <f>IF(ISNUMBER(MATCH(Table20[[#This Row],[General]],COVENANTS!$D$2:$D$100,0)), "Y","N")</f>
        <v>N</v>
      </c>
      <c r="H108" s="122">
        <v>0</v>
      </c>
      <c r="I108" s="113">
        <v>0</v>
      </c>
      <c r="J108" s="113">
        <v>0</v>
      </c>
      <c r="K108" s="113">
        <v>0</v>
      </c>
      <c r="L108" s="106">
        <v>0</v>
      </c>
      <c r="M108" s="105">
        <v>0</v>
      </c>
      <c r="N108" s="105">
        <v>0</v>
      </c>
      <c r="O108" s="105">
        <v>0</v>
      </c>
      <c r="P108" s="106">
        <v>0</v>
      </c>
      <c r="Q108" s="105">
        <v>0</v>
      </c>
      <c r="R108" s="105">
        <v>0</v>
      </c>
      <c r="S108" s="105">
        <v>0</v>
      </c>
      <c r="T108" s="106">
        <v>0</v>
      </c>
      <c r="U108" s="105">
        <v>0</v>
      </c>
      <c r="V108" s="105">
        <v>0</v>
      </c>
      <c r="W108" s="105">
        <v>0</v>
      </c>
      <c r="X108" s="106">
        <v>0</v>
      </c>
      <c r="Y108" s="105">
        <v>0</v>
      </c>
      <c r="Z108" s="105">
        <v>0</v>
      </c>
      <c r="AA108" s="105">
        <v>0</v>
      </c>
      <c r="AB108" s="106">
        <v>0</v>
      </c>
      <c r="AC108" s="105">
        <v>0</v>
      </c>
      <c r="AD108" s="105">
        <v>0</v>
      </c>
      <c r="AE108" s="106">
        <f t="shared" si="33"/>
        <v>0</v>
      </c>
      <c r="AF108" s="105">
        <f t="shared" si="34"/>
        <v>0</v>
      </c>
      <c r="AG108" s="105">
        <f t="shared" si="35"/>
        <v>0</v>
      </c>
      <c r="AH108" s="105">
        <f t="shared" si="36"/>
        <v>0</v>
      </c>
      <c r="AI108" s="297">
        <f t="shared" si="37"/>
        <v>0</v>
      </c>
    </row>
    <row r="109" spans="1:35" ht="14.25" customHeight="1" x14ac:dyDescent="0.25">
      <c r="A109" s="35" t="s">
        <v>440</v>
      </c>
      <c r="B109" s="383"/>
      <c r="C109" s="411"/>
      <c r="D109" s="185" t="str">
        <f>IF(ISNUMBER(MATCH(Table20[[#This Row],[General]],COVENANTS!$A$2:$A$100,0)), "Y","N")</f>
        <v>N</v>
      </c>
      <c r="E109" s="185" t="str">
        <f>IF(ISNUMBER(MATCH(Table20[[#This Row],[General]],COVENANTS!$B$2:$B$100,0)), "Y","N")</f>
        <v>N</v>
      </c>
      <c r="F109" s="185" t="str">
        <f>IF(ISNUMBER(MATCH(Table20[[#This Row],[General]],COVENANTS!$C$2:$C$100,0)), "Y","N")</f>
        <v>N</v>
      </c>
      <c r="G109" s="185" t="str">
        <f>IF(ISNUMBER(MATCH(Table20[[#This Row],[General]],COVENANTS!$D$2:$D$100,0)), "Y","N")</f>
        <v>N</v>
      </c>
      <c r="H109" s="122">
        <v>0</v>
      </c>
      <c r="I109" s="113">
        <v>0</v>
      </c>
      <c r="J109" s="113">
        <v>0</v>
      </c>
      <c r="K109" s="113">
        <v>0</v>
      </c>
      <c r="L109" s="106">
        <v>0</v>
      </c>
      <c r="M109" s="105">
        <v>0</v>
      </c>
      <c r="N109" s="105">
        <v>0</v>
      </c>
      <c r="O109" s="105">
        <v>0</v>
      </c>
      <c r="P109" s="106">
        <v>0</v>
      </c>
      <c r="Q109" s="105">
        <v>0</v>
      </c>
      <c r="R109" s="105">
        <v>0</v>
      </c>
      <c r="S109" s="105">
        <v>0</v>
      </c>
      <c r="T109" s="106">
        <v>0</v>
      </c>
      <c r="U109" s="105">
        <v>0</v>
      </c>
      <c r="V109" s="105">
        <v>0</v>
      </c>
      <c r="W109" s="105">
        <v>0</v>
      </c>
      <c r="X109" s="106">
        <v>0</v>
      </c>
      <c r="Y109" s="105">
        <v>0</v>
      </c>
      <c r="Z109" s="105">
        <v>0</v>
      </c>
      <c r="AA109" s="105">
        <v>0</v>
      </c>
      <c r="AB109" s="106">
        <v>0</v>
      </c>
      <c r="AC109" s="105">
        <v>0</v>
      </c>
      <c r="AD109" s="105">
        <v>0</v>
      </c>
      <c r="AE109" s="106">
        <f t="shared" si="33"/>
        <v>0</v>
      </c>
      <c r="AF109" s="105">
        <f t="shared" si="34"/>
        <v>0</v>
      </c>
      <c r="AG109" s="105">
        <f t="shared" si="35"/>
        <v>0</v>
      </c>
      <c r="AH109" s="105">
        <f t="shared" si="36"/>
        <v>0</v>
      </c>
      <c r="AI109" s="300">
        <f t="shared" si="37"/>
        <v>0</v>
      </c>
    </row>
    <row r="110" spans="1:35" ht="14.25" customHeight="1" x14ac:dyDescent="0.25">
      <c r="A110" s="35" t="s">
        <v>441</v>
      </c>
      <c r="B110" s="383"/>
      <c r="C110" s="411"/>
      <c r="D110" s="185" t="str">
        <f>IF(ISNUMBER(MATCH(Table20[[#This Row],[General]],COVENANTS!$A$2:$A$100,0)), "Y","N")</f>
        <v>N</v>
      </c>
      <c r="E110" s="185" t="str">
        <f>IF(ISNUMBER(MATCH(Table20[[#This Row],[General]],COVENANTS!$B$2:$B$100,0)), "Y","N")</f>
        <v>N</v>
      </c>
      <c r="F110" s="185" t="str">
        <f>IF(ISNUMBER(MATCH(Table20[[#This Row],[General]],COVENANTS!$C$2:$C$100,0)), "Y","N")</f>
        <v>N</v>
      </c>
      <c r="G110" s="185" t="str">
        <f>IF(ISNUMBER(MATCH(Table20[[#This Row],[General]],COVENANTS!$D$2:$D$100,0)), "Y","N")</f>
        <v>N</v>
      </c>
      <c r="H110" s="122">
        <v>0</v>
      </c>
      <c r="I110" s="113">
        <v>0</v>
      </c>
      <c r="J110" s="113">
        <v>0</v>
      </c>
      <c r="K110" s="113">
        <v>0</v>
      </c>
      <c r="L110" s="106">
        <v>0</v>
      </c>
      <c r="M110" s="105">
        <v>0</v>
      </c>
      <c r="N110" s="105">
        <v>0</v>
      </c>
      <c r="O110" s="105">
        <v>0</v>
      </c>
      <c r="P110" s="106">
        <v>0</v>
      </c>
      <c r="Q110" s="105">
        <v>0</v>
      </c>
      <c r="R110" s="105">
        <v>0</v>
      </c>
      <c r="S110" s="105">
        <v>0</v>
      </c>
      <c r="T110" s="106">
        <v>0</v>
      </c>
      <c r="U110" s="105">
        <v>0</v>
      </c>
      <c r="V110" s="105">
        <v>0</v>
      </c>
      <c r="W110" s="105">
        <v>0</v>
      </c>
      <c r="X110" s="106">
        <v>0</v>
      </c>
      <c r="Y110" s="105">
        <v>0</v>
      </c>
      <c r="Z110" s="105">
        <v>0</v>
      </c>
      <c r="AA110" s="105">
        <v>0</v>
      </c>
      <c r="AB110" s="106">
        <v>0</v>
      </c>
      <c r="AC110" s="105">
        <v>0</v>
      </c>
      <c r="AD110" s="105">
        <v>0</v>
      </c>
      <c r="AE110" s="106">
        <f t="shared" si="33"/>
        <v>0</v>
      </c>
      <c r="AF110" s="105">
        <f t="shared" si="34"/>
        <v>0</v>
      </c>
      <c r="AG110" s="105">
        <f t="shared" si="35"/>
        <v>0</v>
      </c>
      <c r="AH110" s="105">
        <f t="shared" si="36"/>
        <v>0</v>
      </c>
      <c r="AI110" s="300">
        <f t="shared" si="37"/>
        <v>0</v>
      </c>
    </row>
    <row r="111" spans="1:35" ht="14.25" customHeight="1" x14ac:dyDescent="0.25">
      <c r="A111" s="35" t="s">
        <v>442</v>
      </c>
      <c r="B111" s="383"/>
      <c r="C111" s="411"/>
      <c r="D111" s="185" t="str">
        <f>IF(ISNUMBER(MATCH(Table20[[#This Row],[General]],COVENANTS!$A$2:$A$100,0)), "Y","N")</f>
        <v>N</v>
      </c>
      <c r="E111" s="185" t="str">
        <f>IF(ISNUMBER(MATCH(Table20[[#This Row],[General]],COVENANTS!$B$2:$B$100,0)), "Y","N")</f>
        <v>N</v>
      </c>
      <c r="F111" s="185" t="str">
        <f>IF(ISNUMBER(MATCH(Table20[[#This Row],[General]],COVENANTS!$C$2:$C$100,0)), "Y","N")</f>
        <v>N</v>
      </c>
      <c r="G111" s="185" t="str">
        <f>IF(ISNUMBER(MATCH(Table20[[#This Row],[General]],COVENANTS!$D$2:$D$100,0)), "Y","N")</f>
        <v>N</v>
      </c>
      <c r="H111" s="122">
        <v>0</v>
      </c>
      <c r="I111" s="113">
        <v>0</v>
      </c>
      <c r="J111" s="113">
        <v>0</v>
      </c>
      <c r="K111" s="113">
        <v>0</v>
      </c>
      <c r="L111" s="106">
        <v>0</v>
      </c>
      <c r="M111" s="105">
        <v>0</v>
      </c>
      <c r="N111" s="105">
        <v>0</v>
      </c>
      <c r="O111" s="105">
        <v>0</v>
      </c>
      <c r="P111" s="106">
        <v>0</v>
      </c>
      <c r="Q111" s="105">
        <v>0</v>
      </c>
      <c r="R111" s="105">
        <v>0</v>
      </c>
      <c r="S111" s="105">
        <v>0</v>
      </c>
      <c r="T111" s="106">
        <v>0</v>
      </c>
      <c r="U111" s="105">
        <v>0</v>
      </c>
      <c r="V111" s="105">
        <v>0</v>
      </c>
      <c r="W111" s="105">
        <v>0</v>
      </c>
      <c r="X111" s="106">
        <v>0</v>
      </c>
      <c r="Y111" s="105">
        <v>0</v>
      </c>
      <c r="Z111" s="105">
        <v>0</v>
      </c>
      <c r="AA111" s="105">
        <v>0</v>
      </c>
      <c r="AB111" s="106">
        <v>0</v>
      </c>
      <c r="AC111" s="105">
        <v>0</v>
      </c>
      <c r="AD111" s="105">
        <v>0</v>
      </c>
      <c r="AE111" s="106">
        <f t="shared" si="33"/>
        <v>0</v>
      </c>
      <c r="AF111" s="105">
        <f t="shared" si="34"/>
        <v>0</v>
      </c>
      <c r="AG111" s="105">
        <f t="shared" si="35"/>
        <v>0</v>
      </c>
      <c r="AH111" s="105">
        <f t="shared" si="36"/>
        <v>0</v>
      </c>
      <c r="AI111" s="300">
        <f t="shared" si="37"/>
        <v>0</v>
      </c>
    </row>
    <row r="112" spans="1:35" ht="14.25" customHeight="1" x14ac:dyDescent="0.25">
      <c r="A112" s="35" t="s">
        <v>443</v>
      </c>
      <c r="B112" s="383"/>
      <c r="C112" s="411"/>
      <c r="D112" s="185" t="str">
        <f>IF(ISNUMBER(MATCH(Table20[[#This Row],[General]],COVENANTS!$A$2:$A$100,0)), "Y","N")</f>
        <v>N</v>
      </c>
      <c r="E112" s="185" t="str">
        <f>IF(ISNUMBER(MATCH(Table20[[#This Row],[General]],COVENANTS!$B$2:$B$100,0)), "Y","N")</f>
        <v>N</v>
      </c>
      <c r="F112" s="185" t="str">
        <f>IF(ISNUMBER(MATCH(Table20[[#This Row],[General]],COVENANTS!$C$2:$C$100,0)), "Y","N")</f>
        <v>N</v>
      </c>
      <c r="G112" s="185" t="str">
        <f>IF(ISNUMBER(MATCH(Table20[[#This Row],[General]],COVENANTS!$D$2:$D$100,0)), "Y","N")</f>
        <v>N</v>
      </c>
      <c r="H112" s="122">
        <v>0</v>
      </c>
      <c r="I112" s="113">
        <v>0</v>
      </c>
      <c r="J112" s="113">
        <v>0</v>
      </c>
      <c r="K112" s="113">
        <v>0</v>
      </c>
      <c r="L112" s="106">
        <v>0</v>
      </c>
      <c r="M112" s="105">
        <v>0</v>
      </c>
      <c r="N112" s="105">
        <v>0</v>
      </c>
      <c r="O112" s="105">
        <v>0</v>
      </c>
      <c r="P112" s="106">
        <v>0</v>
      </c>
      <c r="Q112" s="105">
        <v>0</v>
      </c>
      <c r="R112" s="105">
        <v>0</v>
      </c>
      <c r="S112" s="105">
        <v>0</v>
      </c>
      <c r="T112" s="106">
        <v>0</v>
      </c>
      <c r="U112" s="105">
        <v>0</v>
      </c>
      <c r="V112" s="105">
        <v>0</v>
      </c>
      <c r="W112" s="105">
        <v>0</v>
      </c>
      <c r="X112" s="106">
        <v>0</v>
      </c>
      <c r="Y112" s="105">
        <v>0</v>
      </c>
      <c r="Z112" s="105">
        <v>0</v>
      </c>
      <c r="AA112" s="105">
        <v>0</v>
      </c>
      <c r="AB112" s="106">
        <v>0</v>
      </c>
      <c r="AC112" s="105">
        <v>0</v>
      </c>
      <c r="AD112" s="105">
        <v>0</v>
      </c>
      <c r="AE112" s="106">
        <f t="shared" si="33"/>
        <v>0</v>
      </c>
      <c r="AF112" s="105">
        <f t="shared" si="34"/>
        <v>0</v>
      </c>
      <c r="AG112" s="105">
        <f t="shared" si="35"/>
        <v>0</v>
      </c>
      <c r="AH112" s="105">
        <f t="shared" si="36"/>
        <v>0</v>
      </c>
      <c r="AI112" s="300">
        <f t="shared" si="37"/>
        <v>0</v>
      </c>
    </row>
    <row r="113" spans="1:35" ht="14.25" customHeight="1" x14ac:dyDescent="0.25">
      <c r="A113" s="35" t="s">
        <v>444</v>
      </c>
      <c r="B113" s="383"/>
      <c r="C113" s="411"/>
      <c r="D113" s="185" t="str">
        <f>IF(ISNUMBER(MATCH(Table20[[#This Row],[General]],COVENANTS!$A$2:$A$100,0)), "Y","N")</f>
        <v>N</v>
      </c>
      <c r="E113" s="185" t="str">
        <f>IF(ISNUMBER(MATCH(Table20[[#This Row],[General]],COVENANTS!$B$2:$B$100,0)), "Y","N")</f>
        <v>N</v>
      </c>
      <c r="F113" s="185" t="str">
        <f>IF(ISNUMBER(MATCH(Table20[[#This Row],[General]],COVENANTS!$C$2:$C$100,0)), "Y","N")</f>
        <v>N</v>
      </c>
      <c r="G113" s="185" t="str">
        <f>IF(ISNUMBER(MATCH(Table20[[#This Row],[General]],COVENANTS!$D$2:$D$100,0)), "Y","N")</f>
        <v>N</v>
      </c>
      <c r="H113" s="122">
        <v>0</v>
      </c>
      <c r="I113" s="113">
        <v>0</v>
      </c>
      <c r="J113" s="113">
        <v>0</v>
      </c>
      <c r="K113" s="113">
        <v>0</v>
      </c>
      <c r="L113" s="106">
        <v>0</v>
      </c>
      <c r="M113" s="105">
        <v>0</v>
      </c>
      <c r="N113" s="105">
        <v>0</v>
      </c>
      <c r="O113" s="105">
        <v>0</v>
      </c>
      <c r="P113" s="106">
        <v>0</v>
      </c>
      <c r="Q113" s="105">
        <v>0</v>
      </c>
      <c r="R113" s="105">
        <v>0</v>
      </c>
      <c r="S113" s="105">
        <v>0</v>
      </c>
      <c r="T113" s="106">
        <v>0</v>
      </c>
      <c r="U113" s="105">
        <v>0</v>
      </c>
      <c r="V113" s="105">
        <v>0</v>
      </c>
      <c r="W113" s="105">
        <v>0</v>
      </c>
      <c r="X113" s="106">
        <v>0</v>
      </c>
      <c r="Y113" s="105">
        <v>0</v>
      </c>
      <c r="Z113" s="105">
        <v>0</v>
      </c>
      <c r="AA113" s="105">
        <v>0</v>
      </c>
      <c r="AB113" s="106">
        <v>0</v>
      </c>
      <c r="AC113" s="105">
        <v>0</v>
      </c>
      <c r="AD113" s="105">
        <v>0</v>
      </c>
      <c r="AE113" s="106">
        <f t="shared" si="33"/>
        <v>0</v>
      </c>
      <c r="AF113" s="105">
        <f t="shared" si="34"/>
        <v>0</v>
      </c>
      <c r="AG113" s="105">
        <f t="shared" si="35"/>
        <v>0</v>
      </c>
      <c r="AH113" s="105">
        <f t="shared" si="36"/>
        <v>0</v>
      </c>
      <c r="AI113" s="300">
        <f t="shared" si="37"/>
        <v>0</v>
      </c>
    </row>
  </sheetData>
  <sheetProtection autoFilter="0"/>
  <mergeCells count="20">
    <mergeCell ref="AJ1:AO1"/>
    <mergeCell ref="AP1:AU1"/>
    <mergeCell ref="AE1:AI1"/>
    <mergeCell ref="AE58:AI58"/>
    <mergeCell ref="AB58:AD58"/>
    <mergeCell ref="AB1:AD1"/>
    <mergeCell ref="A1:C1"/>
    <mergeCell ref="L1:O1"/>
    <mergeCell ref="P1:S1"/>
    <mergeCell ref="T1:W1"/>
    <mergeCell ref="X1:AA1"/>
    <mergeCell ref="H1:K1"/>
    <mergeCell ref="D1:G1"/>
    <mergeCell ref="A58:C58"/>
    <mergeCell ref="L58:O58"/>
    <mergeCell ref="P58:S58"/>
    <mergeCell ref="T58:W58"/>
    <mergeCell ref="X58:AA58"/>
    <mergeCell ref="H58:K58"/>
    <mergeCell ref="D58:G58"/>
  </mergeCells>
  <phoneticPr fontId="2" type="noConversion"/>
  <conditionalFormatting sqref="B3:B56 B60:B113">
    <cfRule type="cellIs" dxfId="20" priority="3" operator="equal">
      <formula>"A"</formula>
    </cfRule>
    <cfRule type="cellIs" dxfId="19" priority="4" operator="equal">
      <formula>"U"</formula>
    </cfRule>
  </conditionalFormatting>
  <conditionalFormatting sqref="D3:G56 D60:G113">
    <cfRule type="containsText" dxfId="18" priority="1" operator="containsText" text="N">
      <formula>NOT(ISERROR(SEARCH("N",D3)))</formula>
    </cfRule>
    <cfRule type="containsText" dxfId="17" priority="2" operator="containsText" text="Y">
      <formula>NOT(ISERROR(SEARCH("Y",D3)))</formula>
    </cfRule>
  </conditionalFormatting>
  <conditionalFormatting sqref="H3:K56 H60:K113">
    <cfRule type="cellIs" dxfId="16" priority="5" operator="equal">
      <formula>0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5EF89E1-2F23-4624-8B1D-31F011B4A332}">
          <x14:formula1>
            <xm:f>Calculator!$I$2:$I$18</xm:f>
          </x14:formula1>
          <xm:sqref>AX5</xm:sqref>
        </x14:dataValidation>
        <x14:dataValidation type="list" allowBlank="1" showInputMessage="1" showErrorMessage="1" xr:uid="{3E49EAAC-7A56-46D5-A516-83053B27B7D4}">
          <x14:formula1>
            <xm:f>Calculator!$S$2:$S$51</xm:f>
          </x14:formula1>
          <xm:sqref>AX9</xm:sqref>
        </x14:dataValidation>
        <x14:dataValidation type="list" allowBlank="1" showInputMessage="1" showErrorMessage="1" xr:uid="{3034DDCB-B342-4062-9D83-DFAE767D8EC1}">
          <x14:formula1>
            <xm:f>Calculator!$P$2:$P$51</xm:f>
          </x14:formula1>
          <xm:sqref>AX6</xm:sqref>
        </x14:dataValidation>
        <x14:dataValidation type="list" allowBlank="1" showInputMessage="1" showErrorMessage="1" xr:uid="{E1A0E392-0918-46B3-AB13-A0EC30646743}">
          <x14:formula1>
            <xm:f>Calculator!$X$2:$X$13</xm:f>
          </x14:formula1>
          <xm:sqref>AX10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0290-BC88-49A1-B025-2C3B667CA7BF}">
  <sheetPr>
    <tabColor rgb="FFFF0000"/>
  </sheetPr>
  <dimension ref="A1:AY115"/>
  <sheetViews>
    <sheetView showGridLines="0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X19" sqref="AX19"/>
    </sheetView>
  </sheetViews>
  <sheetFormatPr defaultColWidth="18.5703125" defaultRowHeight="14.25" customHeight="1" x14ac:dyDescent="0.25"/>
  <cols>
    <col min="1" max="1" width="4.140625" style="23" bestFit="1" customWidth="1"/>
    <col min="2" max="2" width="6.85546875" style="23" customWidth="1"/>
    <col min="3" max="3" width="23.42578125" style="69" customWidth="1"/>
    <col min="4" max="4" width="6.5703125" style="69" bestFit="1" customWidth="1"/>
    <col min="5" max="7" width="6" style="69" bestFit="1" customWidth="1"/>
    <col min="8" max="9" width="8.85546875" style="23" bestFit="1" customWidth="1"/>
    <col min="10" max="10" width="8" style="23" bestFit="1" customWidth="1"/>
    <col min="11" max="11" width="8.140625" style="23" bestFit="1" customWidth="1"/>
    <col min="12" max="13" width="7" style="23" bestFit="1" customWidth="1"/>
    <col min="14" max="14" width="6.140625" style="23" bestFit="1" customWidth="1"/>
    <col min="15" max="15" width="6.42578125" style="23" bestFit="1" customWidth="1"/>
    <col min="16" max="17" width="8" style="23" bestFit="1" customWidth="1"/>
    <col min="18" max="18" width="7.140625" style="23" bestFit="1" customWidth="1"/>
    <col min="19" max="19" width="7.42578125" style="23" bestFit="1" customWidth="1"/>
    <col min="20" max="21" width="8" style="23" bestFit="1" customWidth="1"/>
    <col min="22" max="22" width="7.140625" style="23" bestFit="1" customWidth="1"/>
    <col min="23" max="23" width="7.42578125" style="23" bestFit="1" customWidth="1"/>
    <col min="24" max="25" width="9" style="23" bestFit="1" customWidth="1"/>
    <col min="26" max="26" width="8.140625" style="23" bestFit="1" customWidth="1"/>
    <col min="27" max="27" width="8.42578125" style="23" bestFit="1" customWidth="1"/>
    <col min="28" max="29" width="9" style="23" bestFit="1" customWidth="1"/>
    <col min="30" max="30" width="8.140625" style="23" bestFit="1" customWidth="1"/>
    <col min="31" max="32" width="9" style="23" bestFit="1" customWidth="1"/>
    <col min="33" max="33" width="8.140625" style="23" bestFit="1" customWidth="1"/>
    <col min="34" max="34" width="8.42578125" style="23" bestFit="1" customWidth="1"/>
    <col min="35" max="35" width="9.85546875" style="308" bestFit="1" customWidth="1"/>
    <col min="36" max="36" width="9" style="26" customWidth="1"/>
    <col min="37" max="37" width="10" style="26" customWidth="1"/>
    <col min="38" max="38" width="7" style="26" customWidth="1"/>
    <col min="39" max="39" width="14.42578125" style="26" customWidth="1"/>
    <col min="40" max="40" width="15.42578125" style="26" customWidth="1"/>
    <col min="41" max="41" width="12.42578125" style="26" customWidth="1"/>
    <col min="42" max="42" width="9" style="26" customWidth="1"/>
    <col min="43" max="44" width="8" style="26" customWidth="1"/>
    <col min="45" max="46" width="12.42578125" style="23" customWidth="1"/>
    <col min="47" max="47" width="13.42578125" style="23" customWidth="1"/>
    <col min="48" max="48" width="2.85546875" style="23" customWidth="1"/>
    <col min="49" max="49" width="14.140625" style="23" bestFit="1" customWidth="1"/>
    <col min="50" max="50" width="9.85546875" style="23" bestFit="1" customWidth="1"/>
    <col min="51" max="51" width="15.5703125" style="23" bestFit="1" customWidth="1"/>
    <col min="52" max="16384" width="18.5703125" style="23"/>
  </cols>
  <sheetData>
    <row r="1" spans="1:51" s="60" customFormat="1" ht="18" customHeight="1" x14ac:dyDescent="0.25">
      <c r="A1" s="528" t="s">
        <v>109</v>
      </c>
      <c r="B1" s="528"/>
      <c r="C1" s="529"/>
      <c r="D1" s="545" t="s">
        <v>564</v>
      </c>
      <c r="E1" s="528"/>
      <c r="F1" s="528"/>
      <c r="G1" s="528"/>
      <c r="H1" s="541" t="s">
        <v>293</v>
      </c>
      <c r="I1" s="541"/>
      <c r="J1" s="541"/>
      <c r="K1" s="542"/>
      <c r="L1" s="539" t="s">
        <v>282</v>
      </c>
      <c r="M1" s="539"/>
      <c r="N1" s="539"/>
      <c r="O1" s="540"/>
      <c r="P1" s="548" t="s">
        <v>283</v>
      </c>
      <c r="Q1" s="548"/>
      <c r="R1" s="548"/>
      <c r="S1" s="549"/>
      <c r="T1" s="550" t="s">
        <v>284</v>
      </c>
      <c r="U1" s="550"/>
      <c r="V1" s="550"/>
      <c r="W1" s="551"/>
      <c r="X1" s="552" t="s">
        <v>285</v>
      </c>
      <c r="Y1" s="552"/>
      <c r="Z1" s="552"/>
      <c r="AA1" s="553"/>
      <c r="AB1" s="554" t="s">
        <v>327</v>
      </c>
      <c r="AC1" s="554"/>
      <c r="AD1" s="555"/>
      <c r="AE1" s="556" t="s">
        <v>5</v>
      </c>
      <c r="AF1" s="520"/>
      <c r="AG1" s="520"/>
      <c r="AH1" s="520"/>
      <c r="AI1" s="522"/>
      <c r="AJ1" s="520" t="s">
        <v>275</v>
      </c>
      <c r="AK1" s="520"/>
      <c r="AL1" s="520"/>
      <c r="AM1" s="520"/>
      <c r="AN1" s="520"/>
      <c r="AO1" s="521"/>
      <c r="AP1" s="520" t="s">
        <v>276</v>
      </c>
      <c r="AQ1" s="520"/>
      <c r="AR1" s="520"/>
      <c r="AS1" s="520"/>
      <c r="AT1" s="520"/>
      <c r="AU1" s="520"/>
      <c r="AW1" s="42" t="s">
        <v>230</v>
      </c>
      <c r="AX1" s="42" t="s">
        <v>201</v>
      </c>
      <c r="AY1" s="42" t="s">
        <v>257</v>
      </c>
    </row>
    <row r="2" spans="1:51" ht="14.25" customHeight="1" thickBot="1" x14ac:dyDescent="0.3">
      <c r="A2" s="38" t="s">
        <v>48</v>
      </c>
      <c r="B2" s="32" t="s">
        <v>331</v>
      </c>
      <c r="C2" s="102" t="s">
        <v>0</v>
      </c>
      <c r="D2" s="32" t="s">
        <v>565</v>
      </c>
      <c r="E2" s="32" t="s">
        <v>503</v>
      </c>
      <c r="F2" s="32" t="s">
        <v>504</v>
      </c>
      <c r="G2" s="32" t="s">
        <v>505</v>
      </c>
      <c r="H2" s="103" t="s">
        <v>289</v>
      </c>
      <c r="I2" s="102" t="s">
        <v>290</v>
      </c>
      <c r="J2" s="102" t="s">
        <v>291</v>
      </c>
      <c r="K2" s="102" t="s">
        <v>292</v>
      </c>
      <c r="L2" s="103" t="s">
        <v>270</v>
      </c>
      <c r="M2" s="102" t="s">
        <v>271</v>
      </c>
      <c r="N2" s="102" t="s">
        <v>272</v>
      </c>
      <c r="O2" s="102" t="s">
        <v>273</v>
      </c>
      <c r="P2" s="103" t="s">
        <v>537</v>
      </c>
      <c r="Q2" s="102" t="s">
        <v>538</v>
      </c>
      <c r="R2" s="102" t="s">
        <v>539</v>
      </c>
      <c r="S2" s="102" t="s">
        <v>540</v>
      </c>
      <c r="T2" s="103" t="s">
        <v>541</v>
      </c>
      <c r="U2" s="102" t="s">
        <v>542</v>
      </c>
      <c r="V2" s="102" t="s">
        <v>543</v>
      </c>
      <c r="W2" s="102" t="s">
        <v>544</v>
      </c>
      <c r="X2" s="103" t="s">
        <v>545</v>
      </c>
      <c r="Y2" s="102" t="s">
        <v>546</v>
      </c>
      <c r="Z2" s="102" t="s">
        <v>547</v>
      </c>
      <c r="AA2" s="102" t="s">
        <v>548</v>
      </c>
      <c r="AB2" s="103" t="s">
        <v>549</v>
      </c>
      <c r="AC2" s="102" t="s">
        <v>550</v>
      </c>
      <c r="AD2" s="102" t="s">
        <v>551</v>
      </c>
      <c r="AE2" s="103" t="s">
        <v>552</v>
      </c>
      <c r="AF2" s="102" t="s">
        <v>553</v>
      </c>
      <c r="AG2" s="102" t="s">
        <v>554</v>
      </c>
      <c r="AH2" s="102" t="s">
        <v>555</v>
      </c>
      <c r="AI2" s="306" t="s">
        <v>274</v>
      </c>
      <c r="AJ2" s="103" t="s">
        <v>556</v>
      </c>
      <c r="AK2" s="102" t="s">
        <v>557</v>
      </c>
      <c r="AL2" s="102" t="s">
        <v>277</v>
      </c>
      <c r="AM2" s="102" t="s">
        <v>558</v>
      </c>
      <c r="AN2" s="102" t="s">
        <v>559</v>
      </c>
      <c r="AO2" s="102" t="s">
        <v>281</v>
      </c>
      <c r="AP2" s="103" t="s">
        <v>560</v>
      </c>
      <c r="AQ2" s="102" t="s">
        <v>561</v>
      </c>
      <c r="AR2" s="102" t="s">
        <v>562</v>
      </c>
      <c r="AS2" s="102" t="s">
        <v>279</v>
      </c>
      <c r="AT2" s="102" t="s">
        <v>280</v>
      </c>
      <c r="AU2" s="102" t="s">
        <v>563</v>
      </c>
      <c r="AW2" s="24">
        <f>VLOOKUP(AX6,Calculator!P:Q,2,FALSE)</f>
        <v>660000</v>
      </c>
      <c r="AX2" s="24">
        <f>VLOOKUP(AX5,Calculator!M:N,2,FALSE)</f>
        <v>1940</v>
      </c>
      <c r="AY2" s="24">
        <f>(AW2+AW3)*(AX2+AX3)</f>
        <v>151353174000</v>
      </c>
    </row>
    <row r="3" spans="1:51" ht="14.25" customHeight="1" thickTop="1" x14ac:dyDescent="0.25">
      <c r="A3" s="35" t="s">
        <v>49</v>
      </c>
      <c r="B3" s="124" t="s">
        <v>332</v>
      </c>
      <c r="C3" s="183" t="s">
        <v>501</v>
      </c>
      <c r="D3" s="125" t="str">
        <f>IF(ISNUMBER(MATCH(Table21[[#This Row],[General]],COVENANTS!$A$2:$A$100,0)), "Y","N")</f>
        <v>Y</v>
      </c>
      <c r="E3" s="125" t="str">
        <f>IF(ISNUMBER(MATCH(Table21[[#This Row],[General]],COVENANTS!$B$2:$B$100,0)), "Y","N")</f>
        <v>N</v>
      </c>
      <c r="F3" s="125" t="str">
        <f>IF(ISNUMBER(MATCH(Table21[[#This Row],[General]],COVENANTS!$C$2:$C$100,0)), "Y","N")</f>
        <v>N</v>
      </c>
      <c r="G3" s="125" t="str">
        <f>IF(ISNUMBER(MATCH(Table21[[#This Row],[General]],COVENANTS!$D$2:$D$100,0)), "Y","N")</f>
        <v>Y</v>
      </c>
      <c r="H3" s="126">
        <v>25</v>
      </c>
      <c r="I3" s="127">
        <v>25</v>
      </c>
      <c r="J3" s="127">
        <v>25</v>
      </c>
      <c r="K3" s="127">
        <v>12</v>
      </c>
      <c r="L3" s="126">
        <v>55</v>
      </c>
      <c r="M3" s="127">
        <v>35</v>
      </c>
      <c r="N3" s="127">
        <v>55</v>
      </c>
      <c r="O3" s="127">
        <v>0</v>
      </c>
      <c r="P3" s="126">
        <v>150</v>
      </c>
      <c r="Q3" s="127">
        <v>115</v>
      </c>
      <c r="R3" s="127">
        <v>100</v>
      </c>
      <c r="S3" s="127">
        <v>12</v>
      </c>
      <c r="T3" s="126">
        <v>85</v>
      </c>
      <c r="U3" s="127">
        <v>10</v>
      </c>
      <c r="V3" s="127">
        <v>55</v>
      </c>
      <c r="W3" s="127">
        <v>8</v>
      </c>
      <c r="X3" s="126">
        <v>25</v>
      </c>
      <c r="Y3" s="127">
        <v>10</v>
      </c>
      <c r="Z3" s="127">
        <v>33</v>
      </c>
      <c r="AA3" s="127">
        <v>8</v>
      </c>
      <c r="AB3" s="128">
        <f t="shared" ref="AB3:AB34" si="0">900*0.1+(AM3-900)*0.2</f>
        <v>244.56570306559999</v>
      </c>
      <c r="AC3" s="129">
        <f t="shared" ref="AC3:AC34" si="1">900*0.1+(AN3-900)*0.2</f>
        <v>240.98084479999997</v>
      </c>
      <c r="AD3" s="129">
        <f t="shared" ref="AD3:AD34" si="2">900*0.1+(AO3-900)*0.2</f>
        <v>247.9088908288</v>
      </c>
      <c r="AE3" s="126">
        <f t="shared" ref="AE3:AE34" si="3">P3+T3+X3+AB3</f>
        <v>504.56570306560002</v>
      </c>
      <c r="AF3" s="127">
        <f t="shared" ref="AF3:AF34" si="4">Q3+U3+Y3+AC3</f>
        <v>375.9808448</v>
      </c>
      <c r="AG3" s="127">
        <f t="shared" ref="AG3:AG34" si="5">R3+V3+Z3+AD3</f>
        <v>435.9088908288</v>
      </c>
      <c r="AH3" s="127">
        <f t="shared" ref="AH3:AH34" si="6">S3+W3+AA3</f>
        <v>28</v>
      </c>
      <c r="AI3" s="301">
        <f t="shared" ref="AI3:AI34" si="7">(AW$2*(AH3/100)+AW$2+AW$3)*(AX$2*(AE3/100)+AX$2+AX$3)-AY$2</f>
        <v>45703214236.47934</v>
      </c>
      <c r="AJ3" s="126">
        <v>128</v>
      </c>
      <c r="AK3" s="127">
        <v>125</v>
      </c>
      <c r="AL3" s="127">
        <v>132</v>
      </c>
      <c r="AM3" s="130">
        <f t="shared" ref="AM3:AM34" si="8">(AJ3+AS3*(AX$9-1))+500+((AJ3+AS3*(AX$9-1))+500)*$AY$10</f>
        <v>1672.8285153279999</v>
      </c>
      <c r="AN3" s="131">
        <f t="shared" ref="AN3:AN34" si="9">(AK3+AT3*(AX$9-1))+500+((AK3+AT3*(AX$9-1))+500)*$AY$10</f>
        <v>1654.9042239999999</v>
      </c>
      <c r="AO3" s="131">
        <f t="shared" ref="AO3:AO34" si="10">(AL3+AU3*(AX$9-1))+500+((AL3+AU3*(AX$9-1))+500)*$AY$10</f>
        <v>1689.5444541439999</v>
      </c>
      <c r="AP3" s="132">
        <v>8.8800000000000008</v>
      </c>
      <c r="AQ3" s="133">
        <v>8.75</v>
      </c>
      <c r="AR3" s="133">
        <v>8.99</v>
      </c>
      <c r="AS3" s="130">
        <f t="shared" ref="AS3:AS34" si="11">(((((1+20/100)*$AP3)*(1+20/100)))*(1+20/100))*(1+20/100)*(1+20/100)</f>
        <v>22.096281599999998</v>
      </c>
      <c r="AT3" s="131">
        <f t="shared" ref="AT3:AT34" si="12">(((((1+20/100)*$AQ3)*(1+20/100)))*(1+20/100))*(1+20/100)*(1+20/100)</f>
        <v>21.772799999999997</v>
      </c>
      <c r="AU3" s="131">
        <f t="shared" ref="AU3:AU34" si="13">(((((1+20/100)*$AR3)*(1+20/100)))*(1+20/100))*(1+20/100)*(1+20/100)</f>
        <v>22.369996799999999</v>
      </c>
      <c r="AW3" s="24">
        <f>AX8</f>
        <v>3055100</v>
      </c>
      <c r="AX3" s="24">
        <f>((AX7/100)*AX2)</f>
        <v>38800</v>
      </c>
    </row>
    <row r="4" spans="1:51" ht="14.25" customHeight="1" x14ac:dyDescent="0.25">
      <c r="A4" s="35" t="s">
        <v>50</v>
      </c>
      <c r="B4" s="120" t="s">
        <v>333</v>
      </c>
      <c r="C4" s="121" t="s">
        <v>1128</v>
      </c>
      <c r="D4" s="135" t="str">
        <f>IF(ISNUMBER(MATCH(Table21[[#This Row],[General]],COVENANTS!$A$2:$A$100,0)), "Y","N")</f>
        <v>Y</v>
      </c>
      <c r="E4" s="135" t="str">
        <f>IF(ISNUMBER(MATCH(Table21[[#This Row],[General]],COVENANTS!$B$2:$B$100,0)), "Y","N")</f>
        <v>N</v>
      </c>
      <c r="F4" s="135" t="str">
        <f>IF(ISNUMBER(MATCH(Table21[[#This Row],[General]],COVENANTS!$C$2:$C$100,0)), "Y","N")</f>
        <v>N</v>
      </c>
      <c r="G4" s="135" t="str">
        <f>IF(ISNUMBER(MATCH(Table21[[#This Row],[General]],COVENANTS!$D$2:$D$100,0)), "Y","N")</f>
        <v>N</v>
      </c>
      <c r="H4" s="122">
        <v>25</v>
      </c>
      <c r="I4" s="123">
        <v>25</v>
      </c>
      <c r="J4" s="123">
        <v>25</v>
      </c>
      <c r="K4" s="123">
        <v>12</v>
      </c>
      <c r="L4" s="122">
        <v>60</v>
      </c>
      <c r="M4" s="123">
        <v>45</v>
      </c>
      <c r="N4" s="123">
        <v>60</v>
      </c>
      <c r="O4" s="123">
        <v>0</v>
      </c>
      <c r="P4" s="122">
        <v>120</v>
      </c>
      <c r="Q4" s="123">
        <v>65</v>
      </c>
      <c r="R4" s="123">
        <v>115</v>
      </c>
      <c r="S4" s="123">
        <v>10</v>
      </c>
      <c r="T4" s="122">
        <v>85</v>
      </c>
      <c r="U4" s="123">
        <v>65</v>
      </c>
      <c r="V4" s="123">
        <v>20</v>
      </c>
      <c r="W4" s="123">
        <v>8</v>
      </c>
      <c r="X4" s="122">
        <v>20</v>
      </c>
      <c r="Y4" s="123">
        <v>20</v>
      </c>
      <c r="Z4" s="123">
        <v>10</v>
      </c>
      <c r="AA4" s="123">
        <v>7</v>
      </c>
      <c r="AB4" s="136">
        <f t="shared" si="0"/>
        <v>258.76731238399998</v>
      </c>
      <c r="AC4" s="137">
        <f t="shared" si="1"/>
        <v>235.55163402239992</v>
      </c>
      <c r="AD4" s="137">
        <f t="shared" si="2"/>
        <v>246.87856133119996</v>
      </c>
      <c r="AE4" s="122">
        <f t="shared" si="3"/>
        <v>483.76731238399998</v>
      </c>
      <c r="AF4" s="123">
        <f t="shared" si="4"/>
        <v>385.55163402239992</v>
      </c>
      <c r="AG4" s="123">
        <f t="shared" si="5"/>
        <v>391.87856133119999</v>
      </c>
      <c r="AH4" s="123">
        <f t="shared" si="6"/>
        <v>25</v>
      </c>
      <c r="AI4" s="298">
        <f t="shared" si="7"/>
        <v>43137171646.354462</v>
      </c>
      <c r="AJ4" s="122">
        <v>134</v>
      </c>
      <c r="AK4" s="123">
        <v>124</v>
      </c>
      <c r="AL4" s="123">
        <v>125</v>
      </c>
      <c r="AM4" s="138">
        <f t="shared" si="8"/>
        <v>1743.8365619199997</v>
      </c>
      <c r="AN4" s="139">
        <f t="shared" si="9"/>
        <v>1627.7581701119996</v>
      </c>
      <c r="AO4" s="139">
        <f t="shared" si="10"/>
        <v>1684.3928066559997</v>
      </c>
      <c r="AP4" s="140">
        <v>9.4499999999999993</v>
      </c>
      <c r="AQ4" s="141">
        <v>8.52</v>
      </c>
      <c r="AR4" s="141">
        <v>9.01</v>
      </c>
      <c r="AS4" s="138">
        <f t="shared" si="11"/>
        <v>23.514623999999991</v>
      </c>
      <c r="AT4" s="139">
        <f t="shared" si="12"/>
        <v>21.200486399999992</v>
      </c>
      <c r="AU4" s="139">
        <f t="shared" si="13"/>
        <v>22.419763199999995</v>
      </c>
    </row>
    <row r="5" spans="1:51" ht="14.25" customHeight="1" x14ac:dyDescent="0.25">
      <c r="A5" s="35" t="s">
        <v>51</v>
      </c>
      <c r="B5" s="120" t="s">
        <v>332</v>
      </c>
      <c r="C5" s="121" t="s">
        <v>1126</v>
      </c>
      <c r="D5" s="135" t="str">
        <f>IF(ISNUMBER(MATCH(Table21[[#This Row],[General]],COVENANTS!$A$2:$A$100,0)), "Y","N")</f>
        <v>Y</v>
      </c>
      <c r="E5" s="135" t="str">
        <f>IF(ISNUMBER(MATCH(Table21[[#This Row],[General]],COVENANTS!$B$2:$B$100,0)), "Y","N")</f>
        <v>N</v>
      </c>
      <c r="F5" s="135" t="str">
        <f>IF(ISNUMBER(MATCH(Table21[[#This Row],[General]],COVENANTS!$C$2:$C$100,0)), "Y","N")</f>
        <v>N</v>
      </c>
      <c r="G5" s="135" t="str">
        <f>IF(ISNUMBER(MATCH(Table21[[#This Row],[General]],COVENANTS!$D$2:$D$100,0)), "Y","N")</f>
        <v>N</v>
      </c>
      <c r="H5" s="122">
        <v>25</v>
      </c>
      <c r="I5" s="123">
        <v>25</v>
      </c>
      <c r="J5" s="123">
        <v>25</v>
      </c>
      <c r="K5" s="123">
        <v>12</v>
      </c>
      <c r="L5" s="122">
        <v>60</v>
      </c>
      <c r="M5" s="123">
        <v>60</v>
      </c>
      <c r="N5" s="123">
        <v>45</v>
      </c>
      <c r="O5" s="123">
        <v>0</v>
      </c>
      <c r="P5" s="122">
        <v>145</v>
      </c>
      <c r="Q5" s="123">
        <v>130</v>
      </c>
      <c r="R5" s="123">
        <v>115</v>
      </c>
      <c r="S5" s="123">
        <v>10</v>
      </c>
      <c r="T5" s="122">
        <v>75</v>
      </c>
      <c r="U5" s="123">
        <v>65</v>
      </c>
      <c r="V5" s="123">
        <v>65</v>
      </c>
      <c r="W5" s="123">
        <v>0</v>
      </c>
      <c r="X5" s="122">
        <v>15</v>
      </c>
      <c r="Y5" s="123">
        <v>20</v>
      </c>
      <c r="Z5" s="123">
        <v>15</v>
      </c>
      <c r="AA5" s="123">
        <v>8</v>
      </c>
      <c r="AB5" s="136">
        <f t="shared" si="0"/>
        <v>253.12610160640003</v>
      </c>
      <c r="AC5" s="137">
        <f t="shared" si="1"/>
        <v>240.52717429759997</v>
      </c>
      <c r="AD5" s="137">
        <f t="shared" si="2"/>
        <v>246.84889082879997</v>
      </c>
      <c r="AE5" s="122">
        <f t="shared" si="3"/>
        <v>488.12610160640003</v>
      </c>
      <c r="AF5" s="123">
        <f t="shared" si="4"/>
        <v>455.52717429759997</v>
      </c>
      <c r="AG5" s="123">
        <f t="shared" si="5"/>
        <v>441.84889082879999</v>
      </c>
      <c r="AH5" s="123">
        <f t="shared" si="6"/>
        <v>18</v>
      </c>
      <c r="AI5" s="298">
        <f t="shared" si="7"/>
        <v>41145589222.406281</v>
      </c>
      <c r="AJ5" s="122">
        <v>132</v>
      </c>
      <c r="AK5" s="123">
        <v>125</v>
      </c>
      <c r="AL5" s="123">
        <v>127</v>
      </c>
      <c r="AM5" s="138">
        <f t="shared" si="8"/>
        <v>1715.6305080320001</v>
      </c>
      <c r="AN5" s="139">
        <f t="shared" si="9"/>
        <v>1652.6358714879998</v>
      </c>
      <c r="AO5" s="139">
        <f t="shared" si="10"/>
        <v>1684.2444541439997</v>
      </c>
      <c r="AP5" s="140">
        <v>9.2200000000000006</v>
      </c>
      <c r="AQ5" s="141">
        <v>8.73</v>
      </c>
      <c r="AR5" s="141">
        <v>8.99</v>
      </c>
      <c r="AS5" s="138">
        <f t="shared" si="11"/>
        <v>22.9423104</v>
      </c>
      <c r="AT5" s="139">
        <f t="shared" si="12"/>
        <v>21.723033599999997</v>
      </c>
      <c r="AU5" s="139">
        <f t="shared" si="13"/>
        <v>22.369996799999999</v>
      </c>
      <c r="AW5" s="33" t="s">
        <v>255</v>
      </c>
      <c r="AX5" s="25" t="s">
        <v>247</v>
      </c>
    </row>
    <row r="6" spans="1:51" ht="14.25" customHeight="1" x14ac:dyDescent="0.25">
      <c r="A6" s="35" t="s">
        <v>52</v>
      </c>
      <c r="B6" s="120" t="s">
        <v>333</v>
      </c>
      <c r="C6" s="121" t="s">
        <v>502</v>
      </c>
      <c r="D6" s="135" t="str">
        <f>IF(ISNUMBER(MATCH(Table21[[#This Row],[General]],COVENANTS!$A$2:$A$100,0)), "Y","N")</f>
        <v>Y</v>
      </c>
      <c r="E6" s="135" t="str">
        <f>IF(ISNUMBER(MATCH(Table21[[#This Row],[General]],COVENANTS!$B$2:$B$100,0)), "Y","N")</f>
        <v>N</v>
      </c>
      <c r="F6" s="135" t="str">
        <f>IF(ISNUMBER(MATCH(Table21[[#This Row],[General]],COVENANTS!$C$2:$C$100,0)), "Y","N")</f>
        <v>N</v>
      </c>
      <c r="G6" s="135" t="str">
        <f>IF(ISNUMBER(MATCH(Table21[[#This Row],[General]],COVENANTS!$D$2:$D$100,0)), "Y","N")</f>
        <v>Y</v>
      </c>
      <c r="H6" s="122">
        <v>25</v>
      </c>
      <c r="I6" s="123">
        <v>25</v>
      </c>
      <c r="J6" s="123">
        <v>25</v>
      </c>
      <c r="K6" s="123">
        <v>12</v>
      </c>
      <c r="L6" s="122">
        <v>55</v>
      </c>
      <c r="M6" s="123">
        <v>55</v>
      </c>
      <c r="N6" s="123">
        <v>40</v>
      </c>
      <c r="O6" s="123">
        <v>0</v>
      </c>
      <c r="P6" s="122">
        <v>130</v>
      </c>
      <c r="Q6" s="123">
        <v>120</v>
      </c>
      <c r="R6" s="123">
        <v>95</v>
      </c>
      <c r="S6" s="123">
        <v>0</v>
      </c>
      <c r="T6" s="122">
        <v>80</v>
      </c>
      <c r="U6" s="123">
        <v>50</v>
      </c>
      <c r="V6" s="123">
        <v>40</v>
      </c>
      <c r="W6" s="123">
        <v>6</v>
      </c>
      <c r="X6" s="122">
        <v>28</v>
      </c>
      <c r="Y6" s="123">
        <v>21</v>
      </c>
      <c r="Z6" s="123">
        <v>10</v>
      </c>
      <c r="AA6" s="123">
        <v>10</v>
      </c>
      <c r="AB6" s="136">
        <f t="shared" si="0"/>
        <v>244.49152680960003</v>
      </c>
      <c r="AC6" s="137">
        <f t="shared" si="1"/>
        <v>240.05866854399991</v>
      </c>
      <c r="AD6" s="137">
        <f t="shared" si="2"/>
        <v>236.0498102784</v>
      </c>
      <c r="AE6" s="122">
        <f t="shared" si="3"/>
        <v>482.49152680960003</v>
      </c>
      <c r="AF6" s="123">
        <f t="shared" si="4"/>
        <v>431.05866854399994</v>
      </c>
      <c r="AG6" s="123">
        <f t="shared" si="5"/>
        <v>381.0498102784</v>
      </c>
      <c r="AH6" s="123">
        <f t="shared" si="6"/>
        <v>16</v>
      </c>
      <c r="AI6" s="298">
        <f t="shared" si="7"/>
        <v>40065178303.739929</v>
      </c>
      <c r="AJ6" s="122">
        <v>133</v>
      </c>
      <c r="AK6" s="123">
        <v>126</v>
      </c>
      <c r="AL6" s="123">
        <v>121</v>
      </c>
      <c r="AM6" s="138">
        <f t="shared" si="8"/>
        <v>1672.457634048</v>
      </c>
      <c r="AN6" s="139">
        <f t="shared" si="9"/>
        <v>1650.2933427199996</v>
      </c>
      <c r="AO6" s="139">
        <f t="shared" si="10"/>
        <v>1630.249051392</v>
      </c>
      <c r="AP6" s="140">
        <v>8.83</v>
      </c>
      <c r="AQ6" s="141">
        <v>8.6999999999999993</v>
      </c>
      <c r="AR6" s="141">
        <v>8.57</v>
      </c>
      <c r="AS6" s="138">
        <f t="shared" si="11"/>
        <v>21.971865599999997</v>
      </c>
      <c r="AT6" s="139">
        <f t="shared" si="12"/>
        <v>21.648383999999997</v>
      </c>
      <c r="AU6" s="139">
        <f t="shared" si="13"/>
        <v>21.324902399999996</v>
      </c>
      <c r="AW6" s="33" t="s">
        <v>694</v>
      </c>
      <c r="AX6" s="25" t="s">
        <v>703</v>
      </c>
    </row>
    <row r="7" spans="1:51" ht="14.25" customHeight="1" x14ac:dyDescent="0.25">
      <c r="A7" s="35" t="s">
        <v>53</v>
      </c>
      <c r="B7" s="120" t="s">
        <v>332</v>
      </c>
      <c r="C7" s="121" t="s">
        <v>690</v>
      </c>
      <c r="D7" s="135" t="str">
        <f>IF(ISNUMBER(MATCH(Table21[[#This Row],[General]],COVENANTS!$A$2:$A$100,0)), "Y","N")</f>
        <v>Y</v>
      </c>
      <c r="E7" s="135" t="str">
        <f>IF(ISNUMBER(MATCH(Table21[[#This Row],[General]],COVENANTS!$B$2:$B$100,0)), "Y","N")</f>
        <v>N</v>
      </c>
      <c r="F7" s="135" t="str">
        <f>IF(ISNUMBER(MATCH(Table21[[#This Row],[General]],COVENANTS!$C$2:$C$100,0)), "Y","N")</f>
        <v>N</v>
      </c>
      <c r="G7" s="135" t="str">
        <f>IF(ISNUMBER(MATCH(Table21[[#This Row],[General]],COVENANTS!$D$2:$D$100,0)), "Y","N")</f>
        <v>N</v>
      </c>
      <c r="H7" s="122">
        <v>25</v>
      </c>
      <c r="I7" s="123">
        <v>25</v>
      </c>
      <c r="J7" s="123">
        <v>25</v>
      </c>
      <c r="K7" s="123">
        <v>12</v>
      </c>
      <c r="L7" s="122">
        <v>55</v>
      </c>
      <c r="M7" s="123">
        <v>55</v>
      </c>
      <c r="N7" s="123">
        <v>40</v>
      </c>
      <c r="O7" s="123">
        <v>0</v>
      </c>
      <c r="P7" s="122">
        <v>140</v>
      </c>
      <c r="Q7" s="123">
        <v>130</v>
      </c>
      <c r="R7" s="123">
        <v>80</v>
      </c>
      <c r="S7" s="123">
        <v>8</v>
      </c>
      <c r="T7" s="122">
        <v>80</v>
      </c>
      <c r="U7" s="123">
        <v>60</v>
      </c>
      <c r="V7" s="123">
        <v>50</v>
      </c>
      <c r="W7" s="123">
        <v>0</v>
      </c>
      <c r="X7" s="122">
        <v>15</v>
      </c>
      <c r="Y7" s="123">
        <v>10</v>
      </c>
      <c r="Z7" s="123">
        <v>10</v>
      </c>
      <c r="AA7" s="123">
        <v>8</v>
      </c>
      <c r="AB7" s="136">
        <f t="shared" si="0"/>
        <v>244.27952680960004</v>
      </c>
      <c r="AC7" s="137">
        <f t="shared" si="1"/>
        <v>238.54499804159997</v>
      </c>
      <c r="AD7" s="137">
        <f t="shared" si="2"/>
        <v>241.44935055359997</v>
      </c>
      <c r="AE7" s="122">
        <f t="shared" si="3"/>
        <v>479.27952680960004</v>
      </c>
      <c r="AF7" s="123">
        <f t="shared" si="4"/>
        <v>438.54499804159997</v>
      </c>
      <c r="AG7" s="123">
        <f t="shared" si="5"/>
        <v>381.44935055359997</v>
      </c>
      <c r="AH7" s="123">
        <f t="shared" si="6"/>
        <v>16</v>
      </c>
      <c r="AI7" s="298">
        <f t="shared" si="7"/>
        <v>39827099788.779907</v>
      </c>
      <c r="AJ7" s="122">
        <v>132</v>
      </c>
      <c r="AK7" s="123">
        <v>121</v>
      </c>
      <c r="AL7" s="123">
        <v>124</v>
      </c>
      <c r="AM7" s="138">
        <f t="shared" si="8"/>
        <v>1671.3976340480001</v>
      </c>
      <c r="AN7" s="139">
        <f t="shared" si="9"/>
        <v>1642.7249902079998</v>
      </c>
      <c r="AO7" s="139">
        <f t="shared" si="10"/>
        <v>1657.2467527679999</v>
      </c>
      <c r="AP7" s="140">
        <v>8.83</v>
      </c>
      <c r="AQ7" s="141">
        <v>8.68</v>
      </c>
      <c r="AR7" s="141">
        <v>8.7799999999999994</v>
      </c>
      <c r="AS7" s="138">
        <f t="shared" si="11"/>
        <v>21.971865599999997</v>
      </c>
      <c r="AT7" s="139">
        <f t="shared" si="12"/>
        <v>21.598617599999994</v>
      </c>
      <c r="AU7" s="139">
        <f t="shared" si="13"/>
        <v>21.847449599999994</v>
      </c>
      <c r="AW7" s="33" t="s">
        <v>256</v>
      </c>
      <c r="AX7" s="25">
        <v>2000</v>
      </c>
    </row>
    <row r="8" spans="1:51" ht="14.25" customHeight="1" x14ac:dyDescent="0.25">
      <c r="A8" s="35" t="s">
        <v>54</v>
      </c>
      <c r="B8" s="120" t="s">
        <v>332</v>
      </c>
      <c r="C8" s="121" t="s">
        <v>527</v>
      </c>
      <c r="D8" s="135" t="str">
        <f>IF(ISNUMBER(MATCH(Table21[[#This Row],[General]],COVENANTS!$A$2:$A$100,0)), "Y","N")</f>
        <v>Y</v>
      </c>
      <c r="E8" s="135" t="str">
        <f>IF(ISNUMBER(MATCH(Table21[[#This Row],[General]],COVENANTS!$B$2:$B$100,0)), "Y","N")</f>
        <v>N</v>
      </c>
      <c r="F8" s="135" t="str">
        <f>IF(ISNUMBER(MATCH(Table21[[#This Row],[General]],COVENANTS!$C$2:$C$100,0)), "Y","N")</f>
        <v>N</v>
      </c>
      <c r="G8" s="135" t="str">
        <f>IF(ISNUMBER(MATCH(Table21[[#This Row],[General]],COVENANTS!$D$2:$D$100,0)), "Y","N")</f>
        <v>Y</v>
      </c>
      <c r="H8" s="122">
        <v>25</v>
      </c>
      <c r="I8" s="123">
        <v>25</v>
      </c>
      <c r="J8" s="123">
        <v>25</v>
      </c>
      <c r="K8" s="123">
        <v>12</v>
      </c>
      <c r="L8" s="122">
        <v>45</v>
      </c>
      <c r="M8" s="123">
        <v>40</v>
      </c>
      <c r="N8" s="123">
        <v>45</v>
      </c>
      <c r="O8" s="123">
        <v>0</v>
      </c>
      <c r="P8" s="122">
        <v>120</v>
      </c>
      <c r="Q8" s="123">
        <v>65</v>
      </c>
      <c r="R8" s="123">
        <v>60</v>
      </c>
      <c r="S8" s="123">
        <v>22</v>
      </c>
      <c r="T8" s="122">
        <v>65</v>
      </c>
      <c r="U8" s="123">
        <v>55</v>
      </c>
      <c r="V8" s="123">
        <v>45</v>
      </c>
      <c r="W8" s="123">
        <v>0</v>
      </c>
      <c r="X8" s="122">
        <v>15</v>
      </c>
      <c r="Y8" s="123">
        <v>10</v>
      </c>
      <c r="Z8" s="123">
        <v>10</v>
      </c>
      <c r="AA8" s="123">
        <v>0</v>
      </c>
      <c r="AB8" s="136">
        <f t="shared" si="0"/>
        <v>251.14392535039997</v>
      </c>
      <c r="AC8" s="137">
        <f t="shared" si="1"/>
        <v>252.68726635519999</v>
      </c>
      <c r="AD8" s="137">
        <f t="shared" si="2"/>
        <v>256.71095987199993</v>
      </c>
      <c r="AE8" s="122">
        <f t="shared" si="3"/>
        <v>451.14392535039997</v>
      </c>
      <c r="AF8" s="123">
        <f t="shared" si="4"/>
        <v>382.68726635519999</v>
      </c>
      <c r="AG8" s="123">
        <f t="shared" si="5"/>
        <v>371.71095987199993</v>
      </c>
      <c r="AH8" s="123">
        <f t="shared" si="6"/>
        <v>22</v>
      </c>
      <c r="AI8" s="298">
        <f t="shared" si="7"/>
        <v>39701535363.5849</v>
      </c>
      <c r="AJ8" s="122">
        <v>128</v>
      </c>
      <c r="AK8" s="123">
        <v>131</v>
      </c>
      <c r="AL8" s="123">
        <v>135</v>
      </c>
      <c r="AM8" s="138">
        <f t="shared" si="8"/>
        <v>1705.7196267519998</v>
      </c>
      <c r="AN8" s="139">
        <f t="shared" si="9"/>
        <v>1713.4363317759999</v>
      </c>
      <c r="AO8" s="139">
        <f t="shared" si="10"/>
        <v>1733.5547993599996</v>
      </c>
      <c r="AP8" s="140">
        <v>9.17</v>
      </c>
      <c r="AQ8" s="141">
        <v>9.2100000000000009</v>
      </c>
      <c r="AR8" s="141">
        <v>9.35</v>
      </c>
      <c r="AS8" s="138">
        <f t="shared" si="11"/>
        <v>22.817894399999997</v>
      </c>
      <c r="AT8" s="139">
        <f t="shared" si="12"/>
        <v>22.917427199999999</v>
      </c>
      <c r="AU8" s="139">
        <f t="shared" si="13"/>
        <v>23.265791999999994</v>
      </c>
      <c r="AW8" s="33" t="s">
        <v>258</v>
      </c>
      <c r="AX8" s="25">
        <v>3055100</v>
      </c>
    </row>
    <row r="9" spans="1:51" ht="14.25" customHeight="1" x14ac:dyDescent="0.25">
      <c r="A9" s="35" t="s">
        <v>55</v>
      </c>
      <c r="B9" s="120" t="s">
        <v>333</v>
      </c>
      <c r="C9" s="121" t="s">
        <v>171</v>
      </c>
      <c r="D9" s="135" t="str">
        <f>IF(ISNUMBER(MATCH(Table21[[#This Row],[General]],COVENANTS!$A$2:$A$100,0)), "Y","N")</f>
        <v>Y</v>
      </c>
      <c r="E9" s="135" t="str">
        <f>IF(ISNUMBER(MATCH(Table21[[#This Row],[General]],COVENANTS!$B$2:$B$100,0)), "Y","N")</f>
        <v>N</v>
      </c>
      <c r="F9" s="135" t="str">
        <f>IF(ISNUMBER(MATCH(Table21[[#This Row],[General]],COVENANTS!$C$2:$C$100,0)), "Y","N")</f>
        <v>N</v>
      </c>
      <c r="G9" s="135" t="str">
        <f>IF(ISNUMBER(MATCH(Table21[[#This Row],[General]],COVENANTS!$D$2:$D$100,0)), "Y","N")</f>
        <v>Y</v>
      </c>
      <c r="H9" s="122">
        <v>0</v>
      </c>
      <c r="I9" s="123">
        <v>25</v>
      </c>
      <c r="J9" s="123">
        <v>25</v>
      </c>
      <c r="K9" s="123">
        <v>12</v>
      </c>
      <c r="L9" s="122">
        <v>50</v>
      </c>
      <c r="M9" s="123">
        <v>40</v>
      </c>
      <c r="N9" s="123">
        <v>40</v>
      </c>
      <c r="O9" s="123">
        <v>0</v>
      </c>
      <c r="P9" s="122">
        <v>125</v>
      </c>
      <c r="Q9" s="123">
        <v>95</v>
      </c>
      <c r="R9" s="123">
        <v>80</v>
      </c>
      <c r="S9" s="123">
        <v>8</v>
      </c>
      <c r="T9" s="122">
        <v>75</v>
      </c>
      <c r="U9" s="123">
        <v>40</v>
      </c>
      <c r="V9" s="123">
        <v>50</v>
      </c>
      <c r="W9" s="123">
        <v>0</v>
      </c>
      <c r="X9" s="122">
        <v>10</v>
      </c>
      <c r="Y9" s="123">
        <v>5</v>
      </c>
      <c r="Z9" s="123">
        <v>10</v>
      </c>
      <c r="AA9" s="123">
        <v>10</v>
      </c>
      <c r="AB9" s="136">
        <f t="shared" si="0"/>
        <v>251.28174909439997</v>
      </c>
      <c r="AC9" s="137">
        <f t="shared" si="1"/>
        <v>243.20469155839996</v>
      </c>
      <c r="AD9" s="137">
        <f t="shared" si="2"/>
        <v>245.20170306559996</v>
      </c>
      <c r="AE9" s="122">
        <f t="shared" si="3"/>
        <v>461.28174909439997</v>
      </c>
      <c r="AF9" s="123">
        <f t="shared" si="4"/>
        <v>383.20469155839999</v>
      </c>
      <c r="AG9" s="123">
        <f t="shared" si="5"/>
        <v>385.20170306559999</v>
      </c>
      <c r="AH9" s="123">
        <f t="shared" si="6"/>
        <v>18</v>
      </c>
      <c r="AI9" s="298">
        <f t="shared" si="7"/>
        <v>39148969098.348602</v>
      </c>
      <c r="AJ9" s="122">
        <v>134</v>
      </c>
      <c r="AK9" s="123">
        <v>128</v>
      </c>
      <c r="AL9" s="123">
        <v>131</v>
      </c>
      <c r="AM9" s="138">
        <f t="shared" si="8"/>
        <v>1706.4087454719997</v>
      </c>
      <c r="AN9" s="139">
        <f t="shared" si="9"/>
        <v>1666.0234577919998</v>
      </c>
      <c r="AO9" s="139">
        <f t="shared" si="10"/>
        <v>1676.0085153279997</v>
      </c>
      <c r="AP9" s="140">
        <v>9.1199999999999992</v>
      </c>
      <c r="AQ9" s="141">
        <v>8.82</v>
      </c>
      <c r="AR9" s="141">
        <v>8.8800000000000008</v>
      </c>
      <c r="AS9" s="138">
        <f t="shared" si="11"/>
        <v>22.693478399999993</v>
      </c>
      <c r="AT9" s="139">
        <f t="shared" si="12"/>
        <v>21.946982399999996</v>
      </c>
      <c r="AU9" s="139">
        <f t="shared" si="13"/>
        <v>22.096281599999998</v>
      </c>
      <c r="AW9" s="33" t="s">
        <v>278</v>
      </c>
      <c r="AX9" s="25">
        <v>44</v>
      </c>
    </row>
    <row r="10" spans="1:51" ht="14.25" customHeight="1" x14ac:dyDescent="0.25">
      <c r="A10" s="35" t="s">
        <v>56</v>
      </c>
      <c r="B10" s="120" t="s">
        <v>333</v>
      </c>
      <c r="C10" s="121" t="s">
        <v>799</v>
      </c>
      <c r="D10" s="135" t="str">
        <f>IF(ISNUMBER(MATCH(Table21[[#This Row],[General]],COVENANTS!$A$2:$A$100,0)), "Y","N")</f>
        <v>Y</v>
      </c>
      <c r="E10" s="135" t="str">
        <f>IF(ISNUMBER(MATCH(Table21[[#This Row],[General]],COVENANTS!$B$2:$B$100,0)), "Y","N")</f>
        <v>N</v>
      </c>
      <c r="F10" s="135" t="str">
        <f>IF(ISNUMBER(MATCH(Table21[[#This Row],[General]],COVENANTS!$C$2:$C$100,0)), "Y","N")</f>
        <v>N</v>
      </c>
      <c r="G10" s="135" t="str">
        <f>IF(ISNUMBER(MATCH(Table21[[#This Row],[General]],COVENANTS!$D$2:$D$100,0)), "Y","N")</f>
        <v>N</v>
      </c>
      <c r="H10" s="122">
        <v>25</v>
      </c>
      <c r="I10" s="123">
        <v>25</v>
      </c>
      <c r="J10" s="123">
        <v>25</v>
      </c>
      <c r="K10" s="123">
        <v>12</v>
      </c>
      <c r="L10" s="122">
        <v>55</v>
      </c>
      <c r="M10" s="123">
        <v>40</v>
      </c>
      <c r="N10" s="123">
        <v>55</v>
      </c>
      <c r="O10" s="123">
        <v>0</v>
      </c>
      <c r="P10" s="122">
        <v>125</v>
      </c>
      <c r="Q10" s="123">
        <v>75</v>
      </c>
      <c r="R10" s="123">
        <v>110</v>
      </c>
      <c r="S10" s="123">
        <v>6</v>
      </c>
      <c r="T10" s="122">
        <v>85</v>
      </c>
      <c r="U10" s="123">
        <v>50</v>
      </c>
      <c r="V10" s="123">
        <v>60</v>
      </c>
      <c r="W10" s="123">
        <v>0</v>
      </c>
      <c r="X10" s="122">
        <v>10</v>
      </c>
      <c r="Y10" s="123">
        <v>10</v>
      </c>
      <c r="Z10" s="123">
        <v>10</v>
      </c>
      <c r="AA10" s="123">
        <v>10</v>
      </c>
      <c r="AB10" s="136">
        <f t="shared" si="0"/>
        <v>246.54787932159999</v>
      </c>
      <c r="AC10" s="137">
        <f t="shared" si="1"/>
        <v>242.37152680960003</v>
      </c>
      <c r="AD10" s="137">
        <f t="shared" si="2"/>
        <v>239.59016279040003</v>
      </c>
      <c r="AE10" s="122">
        <f t="shared" si="3"/>
        <v>466.54787932160002</v>
      </c>
      <c r="AF10" s="123">
        <f t="shared" si="4"/>
        <v>377.37152680960003</v>
      </c>
      <c r="AG10" s="123">
        <f t="shared" si="5"/>
        <v>419.59016279040003</v>
      </c>
      <c r="AH10" s="123">
        <f t="shared" si="6"/>
        <v>16</v>
      </c>
      <c r="AI10" s="298">
        <f t="shared" si="7"/>
        <v>38883409960.966309</v>
      </c>
      <c r="AJ10" s="122">
        <v>132</v>
      </c>
      <c r="AK10" s="123">
        <v>123</v>
      </c>
      <c r="AL10" s="123">
        <v>127</v>
      </c>
      <c r="AM10" s="138">
        <f t="shared" si="8"/>
        <v>1682.7393966079999</v>
      </c>
      <c r="AN10" s="139">
        <f t="shared" si="9"/>
        <v>1661.8576340480001</v>
      </c>
      <c r="AO10" s="139">
        <f t="shared" si="10"/>
        <v>1647.9508139520001</v>
      </c>
      <c r="AP10" s="140">
        <v>8.93</v>
      </c>
      <c r="AQ10" s="141">
        <v>8.83</v>
      </c>
      <c r="AR10" s="141">
        <v>8.67</v>
      </c>
      <c r="AS10" s="138">
        <f t="shared" si="11"/>
        <v>22.220697599999998</v>
      </c>
      <c r="AT10" s="139">
        <f t="shared" si="12"/>
        <v>21.971865599999997</v>
      </c>
      <c r="AU10" s="139">
        <f t="shared" si="13"/>
        <v>21.573734399999999</v>
      </c>
      <c r="AW10" s="33" t="s">
        <v>802</v>
      </c>
      <c r="AX10" s="25" t="s">
        <v>808</v>
      </c>
      <c r="AY10" s="206">
        <f>VLOOKUP(AX10,Calculator!X2:Y13,2,0)</f>
        <v>0.06</v>
      </c>
    </row>
    <row r="11" spans="1:51" ht="14.25" customHeight="1" x14ac:dyDescent="0.25">
      <c r="A11" s="35" t="s">
        <v>57</v>
      </c>
      <c r="B11" s="120" t="s">
        <v>333</v>
      </c>
      <c r="C11" s="121" t="s">
        <v>172</v>
      </c>
      <c r="D11" s="135" t="str">
        <f>IF(ISNUMBER(MATCH(Table21[[#This Row],[General]],COVENANTS!$A$2:$A$100,0)), "Y","N")</f>
        <v>Y</v>
      </c>
      <c r="E11" s="135" t="str">
        <f>IF(ISNUMBER(MATCH(Table21[[#This Row],[General]],COVENANTS!$B$2:$B$100,0)), "Y","N")</f>
        <v>N</v>
      </c>
      <c r="F11" s="135" t="str">
        <f>IF(ISNUMBER(MATCH(Table21[[#This Row],[General]],COVENANTS!$C$2:$C$100,0)), "Y","N")</f>
        <v>N</v>
      </c>
      <c r="G11" s="135" t="str">
        <f>IF(ISNUMBER(MATCH(Table21[[#This Row],[General]],COVENANTS!$D$2:$D$100,0)), "Y","N")</f>
        <v>N</v>
      </c>
      <c r="H11" s="122">
        <v>0</v>
      </c>
      <c r="I11" s="123">
        <v>25</v>
      </c>
      <c r="J11" s="123">
        <v>25</v>
      </c>
      <c r="K11" s="123">
        <v>12</v>
      </c>
      <c r="L11" s="122">
        <v>45</v>
      </c>
      <c r="M11" s="123">
        <v>35</v>
      </c>
      <c r="N11" s="123">
        <v>35</v>
      </c>
      <c r="O11" s="123">
        <v>0</v>
      </c>
      <c r="P11" s="122">
        <v>120</v>
      </c>
      <c r="Q11" s="123">
        <v>65</v>
      </c>
      <c r="R11" s="123">
        <v>45</v>
      </c>
      <c r="S11" s="123">
        <v>16</v>
      </c>
      <c r="T11" s="122">
        <v>75</v>
      </c>
      <c r="U11" s="123">
        <v>50</v>
      </c>
      <c r="V11" s="123">
        <v>40</v>
      </c>
      <c r="W11" s="123">
        <v>0</v>
      </c>
      <c r="X11" s="122">
        <v>10</v>
      </c>
      <c r="Y11" s="123">
        <v>5</v>
      </c>
      <c r="Z11" s="123">
        <v>10</v>
      </c>
      <c r="AA11" s="123">
        <v>0</v>
      </c>
      <c r="AB11" s="136">
        <f t="shared" si="0"/>
        <v>239.96535055359996</v>
      </c>
      <c r="AC11" s="137">
        <f t="shared" si="1"/>
        <v>250.87258434559999</v>
      </c>
      <c r="AD11" s="137">
        <f t="shared" si="2"/>
        <v>242.85486781439991</v>
      </c>
      <c r="AE11" s="122">
        <f t="shared" si="3"/>
        <v>444.96535055359993</v>
      </c>
      <c r="AF11" s="123">
        <f t="shared" si="4"/>
        <v>370.87258434559999</v>
      </c>
      <c r="AG11" s="123">
        <f t="shared" si="5"/>
        <v>337.85486781439988</v>
      </c>
      <c r="AH11" s="123">
        <f t="shared" si="6"/>
        <v>16</v>
      </c>
      <c r="AI11" s="298">
        <f t="shared" si="7"/>
        <v>37283678828.286713</v>
      </c>
      <c r="AJ11" s="122">
        <v>117</v>
      </c>
      <c r="AK11" s="123">
        <v>131</v>
      </c>
      <c r="AL11" s="123">
        <v>121</v>
      </c>
      <c r="AM11" s="138">
        <f t="shared" si="8"/>
        <v>1649.8267527679998</v>
      </c>
      <c r="AN11" s="139">
        <f t="shared" si="9"/>
        <v>1704.3629217279999</v>
      </c>
      <c r="AO11" s="139">
        <f t="shared" si="10"/>
        <v>1664.2743390719995</v>
      </c>
      <c r="AP11" s="140">
        <v>8.7799999999999994</v>
      </c>
      <c r="AQ11" s="141">
        <v>9.1300000000000008</v>
      </c>
      <c r="AR11" s="141">
        <v>8.8699999999999992</v>
      </c>
      <c r="AS11" s="138">
        <f t="shared" si="11"/>
        <v>21.847449599999994</v>
      </c>
      <c r="AT11" s="139">
        <f t="shared" si="12"/>
        <v>22.718361600000001</v>
      </c>
      <c r="AU11" s="139">
        <f t="shared" si="13"/>
        <v>22.071398399999993</v>
      </c>
    </row>
    <row r="12" spans="1:51" ht="14.25" customHeight="1" x14ac:dyDescent="0.25">
      <c r="A12" s="35" t="s">
        <v>58</v>
      </c>
      <c r="B12" s="120" t="s">
        <v>333</v>
      </c>
      <c r="C12" s="121" t="s">
        <v>326</v>
      </c>
      <c r="D12" s="135" t="str">
        <f>IF(ISNUMBER(MATCH(Table21[[#This Row],[General]],COVENANTS!$A$2:$A$100,0)), "Y","N")</f>
        <v>Y</v>
      </c>
      <c r="E12" s="135" t="str">
        <f>IF(ISNUMBER(MATCH(Table21[[#This Row],[General]],COVENANTS!$B$2:$B$100,0)), "Y","N")</f>
        <v>N</v>
      </c>
      <c r="F12" s="135" t="str">
        <f>IF(ISNUMBER(MATCH(Table21[[#This Row],[General]],COVENANTS!$C$2:$C$100,0)), "Y","N")</f>
        <v>N</v>
      </c>
      <c r="G12" s="135" t="str">
        <f>IF(ISNUMBER(MATCH(Table21[[#This Row],[General]],COVENANTS!$D$2:$D$100,0)), "Y","N")</f>
        <v>Y</v>
      </c>
      <c r="H12" s="122">
        <v>25</v>
      </c>
      <c r="I12" s="123">
        <v>25</v>
      </c>
      <c r="J12" s="123">
        <v>25</v>
      </c>
      <c r="K12" s="123">
        <v>12</v>
      </c>
      <c r="L12" s="122">
        <v>50</v>
      </c>
      <c r="M12" s="123">
        <v>40</v>
      </c>
      <c r="N12" s="123">
        <v>50</v>
      </c>
      <c r="O12" s="123">
        <v>0</v>
      </c>
      <c r="P12" s="122">
        <v>120</v>
      </c>
      <c r="Q12" s="123">
        <v>80</v>
      </c>
      <c r="R12" s="123">
        <v>110</v>
      </c>
      <c r="S12" s="123">
        <v>0</v>
      </c>
      <c r="T12" s="122">
        <v>75</v>
      </c>
      <c r="U12" s="123">
        <v>55</v>
      </c>
      <c r="V12" s="123">
        <v>45</v>
      </c>
      <c r="W12" s="123">
        <v>6</v>
      </c>
      <c r="X12" s="122">
        <v>10</v>
      </c>
      <c r="Y12" s="123">
        <v>10</v>
      </c>
      <c r="Z12" s="123">
        <v>10</v>
      </c>
      <c r="AA12" s="123">
        <v>6</v>
      </c>
      <c r="AB12" s="136">
        <f t="shared" si="0"/>
        <v>245.41370306559995</v>
      </c>
      <c r="AC12" s="137">
        <f t="shared" si="1"/>
        <v>238.48565703679998</v>
      </c>
      <c r="AD12" s="137">
        <f t="shared" si="2"/>
        <v>236.98682178559994</v>
      </c>
      <c r="AE12" s="122">
        <f t="shared" si="3"/>
        <v>450.41370306559998</v>
      </c>
      <c r="AF12" s="123">
        <f t="shared" si="4"/>
        <v>383.48565703679998</v>
      </c>
      <c r="AG12" s="123">
        <f t="shared" si="5"/>
        <v>401.98682178559994</v>
      </c>
      <c r="AH12" s="123">
        <f t="shared" si="6"/>
        <v>12</v>
      </c>
      <c r="AI12" s="298">
        <f t="shared" si="7"/>
        <v>36381299442.711029</v>
      </c>
      <c r="AJ12" s="122">
        <v>132</v>
      </c>
      <c r="AK12" s="123">
        <v>125</v>
      </c>
      <c r="AL12" s="123">
        <v>119</v>
      </c>
      <c r="AM12" s="138">
        <f t="shared" si="8"/>
        <v>1677.0685153279996</v>
      </c>
      <c r="AN12" s="139">
        <f t="shared" si="9"/>
        <v>1642.4282851839998</v>
      </c>
      <c r="AO12" s="139">
        <f t="shared" si="10"/>
        <v>1634.9341089279997</v>
      </c>
      <c r="AP12" s="140">
        <v>8.8800000000000008</v>
      </c>
      <c r="AQ12" s="141">
        <v>8.64</v>
      </c>
      <c r="AR12" s="141">
        <v>8.6300000000000008</v>
      </c>
      <c r="AS12" s="138">
        <f t="shared" si="11"/>
        <v>22.096281599999998</v>
      </c>
      <c r="AT12" s="139">
        <f t="shared" si="12"/>
        <v>21.499084799999995</v>
      </c>
      <c r="AU12" s="139">
        <f t="shared" si="13"/>
        <v>21.474201599999997</v>
      </c>
    </row>
    <row r="13" spans="1:51" ht="14.25" customHeight="1" x14ac:dyDescent="0.25">
      <c r="A13" s="35" t="s">
        <v>59</v>
      </c>
      <c r="B13" s="120" t="s">
        <v>333</v>
      </c>
      <c r="C13" s="121" t="s">
        <v>173</v>
      </c>
      <c r="D13" s="135" t="str">
        <f>IF(ISNUMBER(MATCH(Table21[[#This Row],[General]],COVENANTS!$A$2:$A$100,0)), "Y","N")</f>
        <v>Y</v>
      </c>
      <c r="E13" s="135" t="str">
        <f>IF(ISNUMBER(MATCH(Table21[[#This Row],[General]],COVENANTS!$B$2:$B$100,0)), "Y","N")</f>
        <v>N</v>
      </c>
      <c r="F13" s="135" t="str">
        <f>IF(ISNUMBER(MATCH(Table21[[#This Row],[General]],COVENANTS!$C$2:$C$100,0)), "Y","N")</f>
        <v>N</v>
      </c>
      <c r="G13" s="135" t="str">
        <f>IF(ISNUMBER(MATCH(Table21[[#This Row],[General]],COVENANTS!$D$2:$D$100,0)), "Y","N")</f>
        <v>N</v>
      </c>
      <c r="H13" s="122">
        <v>0</v>
      </c>
      <c r="I13" s="123">
        <v>25</v>
      </c>
      <c r="J13" s="123">
        <v>25</v>
      </c>
      <c r="K13" s="123">
        <v>12</v>
      </c>
      <c r="L13" s="122">
        <v>45</v>
      </c>
      <c r="M13" s="123">
        <v>20</v>
      </c>
      <c r="N13" s="123">
        <v>20</v>
      </c>
      <c r="O13" s="123">
        <v>0</v>
      </c>
      <c r="P13" s="122">
        <v>110</v>
      </c>
      <c r="Q13" s="123">
        <v>70</v>
      </c>
      <c r="R13" s="123">
        <v>35</v>
      </c>
      <c r="S13" s="123">
        <v>8</v>
      </c>
      <c r="T13" s="122">
        <v>70</v>
      </c>
      <c r="U13" s="123">
        <v>10</v>
      </c>
      <c r="V13" s="123">
        <v>20</v>
      </c>
      <c r="W13" s="123">
        <v>0</v>
      </c>
      <c r="X13" s="122">
        <v>15</v>
      </c>
      <c r="Y13" s="123">
        <v>5</v>
      </c>
      <c r="Z13" s="123">
        <v>5</v>
      </c>
      <c r="AA13" s="123">
        <v>5</v>
      </c>
      <c r="AB13" s="136">
        <f t="shared" si="0"/>
        <v>243.05203256320002</v>
      </c>
      <c r="AC13" s="137">
        <f t="shared" si="1"/>
        <v>242.54954982399997</v>
      </c>
      <c r="AD13" s="137">
        <f t="shared" si="2"/>
        <v>244.54656133119994</v>
      </c>
      <c r="AE13" s="122">
        <f t="shared" si="3"/>
        <v>438.05203256319999</v>
      </c>
      <c r="AF13" s="123">
        <f t="shared" si="4"/>
        <v>327.549549824</v>
      </c>
      <c r="AG13" s="123">
        <f t="shared" si="5"/>
        <v>304.54656133119994</v>
      </c>
      <c r="AH13" s="123">
        <f t="shared" si="6"/>
        <v>13</v>
      </c>
      <c r="AI13" s="298">
        <f t="shared" si="7"/>
        <v>35796336229.047638</v>
      </c>
      <c r="AJ13" s="122">
        <v>123</v>
      </c>
      <c r="AK13" s="123">
        <v>111</v>
      </c>
      <c r="AL13" s="123">
        <v>114</v>
      </c>
      <c r="AM13" s="138">
        <f t="shared" si="8"/>
        <v>1665.260162816</v>
      </c>
      <c r="AN13" s="139">
        <f t="shared" si="9"/>
        <v>1662.7477491199998</v>
      </c>
      <c r="AO13" s="139">
        <f t="shared" si="10"/>
        <v>1672.7328066559996</v>
      </c>
      <c r="AP13" s="140">
        <v>8.86</v>
      </c>
      <c r="AQ13" s="141">
        <v>8.9499999999999993</v>
      </c>
      <c r="AR13" s="141">
        <v>9.01</v>
      </c>
      <c r="AS13" s="138">
        <f t="shared" si="11"/>
        <v>22.046515199999998</v>
      </c>
      <c r="AT13" s="139">
        <f t="shared" si="12"/>
        <v>22.270463999999993</v>
      </c>
      <c r="AU13" s="139">
        <f t="shared" si="13"/>
        <v>22.419763199999995</v>
      </c>
    </row>
    <row r="14" spans="1:51" ht="14.25" customHeight="1" x14ac:dyDescent="0.25">
      <c r="A14" s="35" t="s">
        <v>60</v>
      </c>
      <c r="B14" s="120" t="s">
        <v>333</v>
      </c>
      <c r="C14" s="121" t="s">
        <v>665</v>
      </c>
      <c r="D14" s="135" t="str">
        <f>IF(ISNUMBER(MATCH(Table21[[#This Row],[General]],COVENANTS!$A$2:$A$100,0)), "Y","N")</f>
        <v>Y</v>
      </c>
      <c r="E14" s="135" t="str">
        <f>IF(ISNUMBER(MATCH(Table21[[#This Row],[General]],COVENANTS!$B$2:$B$100,0)), "Y","N")</f>
        <v>N</v>
      </c>
      <c r="F14" s="135" t="str">
        <f>IF(ISNUMBER(MATCH(Table21[[#This Row],[General]],COVENANTS!$C$2:$C$100,0)), "Y","N")</f>
        <v>N</v>
      </c>
      <c r="G14" s="135" t="str">
        <f>IF(ISNUMBER(MATCH(Table21[[#This Row],[General]],COVENANTS!$D$2:$D$100,0)), "Y","N")</f>
        <v>N</v>
      </c>
      <c r="H14" s="122">
        <v>25</v>
      </c>
      <c r="I14" s="123">
        <v>25</v>
      </c>
      <c r="J14" s="123">
        <v>25</v>
      </c>
      <c r="K14" s="123">
        <v>12</v>
      </c>
      <c r="L14" s="122">
        <v>55</v>
      </c>
      <c r="M14" s="123">
        <v>40</v>
      </c>
      <c r="N14" s="123">
        <v>55</v>
      </c>
      <c r="O14" s="123">
        <v>0</v>
      </c>
      <c r="P14" s="122">
        <v>115</v>
      </c>
      <c r="Q14" s="123">
        <v>105</v>
      </c>
      <c r="R14" s="123">
        <v>130</v>
      </c>
      <c r="S14" s="123">
        <v>0</v>
      </c>
      <c r="T14" s="122">
        <v>75</v>
      </c>
      <c r="U14" s="123">
        <v>60</v>
      </c>
      <c r="V14" s="123">
        <v>60</v>
      </c>
      <c r="W14" s="123">
        <v>0</v>
      </c>
      <c r="X14" s="122">
        <v>15</v>
      </c>
      <c r="Y14" s="123">
        <v>10</v>
      </c>
      <c r="Z14" s="123">
        <v>5</v>
      </c>
      <c r="AA14" s="123">
        <v>10</v>
      </c>
      <c r="AB14" s="136">
        <f t="shared" si="0"/>
        <v>244.97486781439994</v>
      </c>
      <c r="AC14" s="137">
        <f t="shared" si="1"/>
        <v>242.56869155839999</v>
      </c>
      <c r="AD14" s="137">
        <f t="shared" si="2"/>
        <v>241.88818580479989</v>
      </c>
      <c r="AE14" s="122">
        <f t="shared" si="3"/>
        <v>449.97486781439994</v>
      </c>
      <c r="AF14" s="123">
        <f t="shared" si="4"/>
        <v>417.56869155840002</v>
      </c>
      <c r="AG14" s="123">
        <f t="shared" si="5"/>
        <v>436.88818580479989</v>
      </c>
      <c r="AH14" s="123">
        <f t="shared" si="6"/>
        <v>10</v>
      </c>
      <c r="AI14" s="298">
        <f t="shared" si="7"/>
        <v>35695999470.244751</v>
      </c>
      <c r="AJ14" s="122">
        <v>131</v>
      </c>
      <c r="AK14" s="123">
        <v>125</v>
      </c>
      <c r="AL14" s="123">
        <v>125</v>
      </c>
      <c r="AM14" s="138">
        <f t="shared" si="8"/>
        <v>1674.8743390719997</v>
      </c>
      <c r="AN14" s="139">
        <f t="shared" si="9"/>
        <v>1662.843457792</v>
      </c>
      <c r="AO14" s="139">
        <f t="shared" si="10"/>
        <v>1659.4409290239994</v>
      </c>
      <c r="AP14" s="140">
        <v>8.8699999999999992</v>
      </c>
      <c r="AQ14" s="141">
        <v>8.82</v>
      </c>
      <c r="AR14" s="141">
        <v>8.7899999999999991</v>
      </c>
      <c r="AS14" s="138">
        <f t="shared" si="11"/>
        <v>22.071398399999993</v>
      </c>
      <c r="AT14" s="139">
        <f t="shared" si="12"/>
        <v>21.946982399999996</v>
      </c>
      <c r="AU14" s="139">
        <f t="shared" si="13"/>
        <v>21.872332799999992</v>
      </c>
    </row>
    <row r="15" spans="1:51" ht="14.25" customHeight="1" x14ac:dyDescent="0.25">
      <c r="A15" s="35" t="s">
        <v>61</v>
      </c>
      <c r="B15" s="120" t="s">
        <v>332</v>
      </c>
      <c r="C15" s="121" t="s">
        <v>209</v>
      </c>
      <c r="D15" s="135" t="str">
        <f>IF(ISNUMBER(MATCH(Table21[[#This Row],[General]],COVENANTS!$A$2:$A$100,0)), "Y","N")</f>
        <v>Y</v>
      </c>
      <c r="E15" s="135" t="str">
        <f>IF(ISNUMBER(MATCH(Table21[[#This Row],[General]],COVENANTS!$B$2:$B$100,0)), "Y","N")</f>
        <v>N</v>
      </c>
      <c r="F15" s="135" t="str">
        <f>IF(ISNUMBER(MATCH(Table21[[#This Row],[General]],COVENANTS!$C$2:$C$100,0)), "Y","N")</f>
        <v>N</v>
      </c>
      <c r="G15" s="135" t="str">
        <f>IF(ISNUMBER(MATCH(Table21[[#This Row],[General]],COVENANTS!$D$2:$D$100,0)), "Y","N")</f>
        <v>Y</v>
      </c>
      <c r="H15" s="122">
        <v>25</v>
      </c>
      <c r="I15" s="123">
        <v>25</v>
      </c>
      <c r="J15" s="123">
        <v>25</v>
      </c>
      <c r="K15" s="123">
        <v>12</v>
      </c>
      <c r="L15" s="122">
        <v>50</v>
      </c>
      <c r="M15" s="123">
        <v>50</v>
      </c>
      <c r="N15" s="123">
        <v>40</v>
      </c>
      <c r="O15" s="123">
        <v>0</v>
      </c>
      <c r="P15" s="122">
        <v>125</v>
      </c>
      <c r="Q15" s="123">
        <v>120</v>
      </c>
      <c r="R15" s="123">
        <v>90</v>
      </c>
      <c r="S15" s="123">
        <v>0</v>
      </c>
      <c r="T15" s="122">
        <v>75</v>
      </c>
      <c r="U15" s="123">
        <v>55</v>
      </c>
      <c r="V15" s="123">
        <v>45</v>
      </c>
      <c r="W15" s="123">
        <v>0</v>
      </c>
      <c r="X15" s="122">
        <v>15</v>
      </c>
      <c r="Y15" s="123">
        <v>10</v>
      </c>
      <c r="Z15" s="123">
        <v>10</v>
      </c>
      <c r="AA15" s="123">
        <v>5</v>
      </c>
      <c r="AB15" s="136">
        <f t="shared" si="0"/>
        <v>254.41293685759993</v>
      </c>
      <c r="AC15" s="137">
        <f t="shared" si="1"/>
        <v>238.09132753919994</v>
      </c>
      <c r="AD15" s="137">
        <f t="shared" si="2"/>
        <v>243.00752680959999</v>
      </c>
      <c r="AE15" s="122">
        <f t="shared" si="3"/>
        <v>469.4129368575999</v>
      </c>
      <c r="AF15" s="123">
        <f t="shared" si="4"/>
        <v>423.09132753919994</v>
      </c>
      <c r="AG15" s="123">
        <f t="shared" si="5"/>
        <v>388.00752680959999</v>
      </c>
      <c r="AH15" s="123">
        <f t="shared" si="6"/>
        <v>5</v>
      </c>
      <c r="AI15" s="298">
        <f t="shared" si="7"/>
        <v>35476908595.537811</v>
      </c>
      <c r="AJ15" s="122">
        <v>137</v>
      </c>
      <c r="AK15" s="123">
        <v>121</v>
      </c>
      <c r="AL15" s="123">
        <v>126</v>
      </c>
      <c r="AM15" s="138">
        <f t="shared" si="8"/>
        <v>1722.0646842879996</v>
      </c>
      <c r="AN15" s="139">
        <f t="shared" si="9"/>
        <v>1640.4566376959997</v>
      </c>
      <c r="AO15" s="139">
        <f t="shared" si="10"/>
        <v>1665.037634048</v>
      </c>
      <c r="AP15" s="140">
        <v>9.23</v>
      </c>
      <c r="AQ15" s="141">
        <v>8.66</v>
      </c>
      <c r="AR15" s="141">
        <v>8.83</v>
      </c>
      <c r="AS15" s="138">
        <f t="shared" si="11"/>
        <v>22.967193599999998</v>
      </c>
      <c r="AT15" s="139">
        <f t="shared" si="12"/>
        <v>21.548851199999994</v>
      </c>
      <c r="AU15" s="139">
        <f t="shared" si="13"/>
        <v>21.971865599999997</v>
      </c>
    </row>
    <row r="16" spans="1:51" ht="14.25" customHeight="1" x14ac:dyDescent="0.25">
      <c r="A16" s="35" t="s">
        <v>62</v>
      </c>
      <c r="B16" s="120" t="s">
        <v>332</v>
      </c>
      <c r="C16" s="121" t="s">
        <v>174</v>
      </c>
      <c r="D16" s="135" t="str">
        <f>IF(ISNUMBER(MATCH(Table21[[#This Row],[General]],COVENANTS!$A$2:$A$100,0)), "Y","N")</f>
        <v>Y</v>
      </c>
      <c r="E16" s="135" t="str">
        <f>IF(ISNUMBER(MATCH(Table21[[#This Row],[General]],COVENANTS!$B$2:$B$100,0)), "Y","N")</f>
        <v>Y</v>
      </c>
      <c r="F16" s="135" t="str">
        <f>IF(ISNUMBER(MATCH(Table21[[#This Row],[General]],COVENANTS!$C$2:$C$100,0)), "Y","N")</f>
        <v>N</v>
      </c>
      <c r="G16" s="135" t="str">
        <f>IF(ISNUMBER(MATCH(Table21[[#This Row],[General]],COVENANTS!$D$2:$D$100,0)), "Y","N")</f>
        <v>N</v>
      </c>
      <c r="H16" s="122">
        <v>25</v>
      </c>
      <c r="I16" s="123">
        <v>25</v>
      </c>
      <c r="J16" s="123">
        <v>25</v>
      </c>
      <c r="K16" s="123">
        <v>12</v>
      </c>
      <c r="L16" s="122">
        <v>45</v>
      </c>
      <c r="M16" s="123">
        <v>45</v>
      </c>
      <c r="N16" s="123">
        <v>30</v>
      </c>
      <c r="O16" s="123">
        <v>0</v>
      </c>
      <c r="P16" s="122">
        <v>120</v>
      </c>
      <c r="Q16" s="123">
        <v>90</v>
      </c>
      <c r="R16" s="123">
        <v>70</v>
      </c>
      <c r="S16" s="123">
        <v>0</v>
      </c>
      <c r="T16" s="122">
        <v>70</v>
      </c>
      <c r="U16" s="123">
        <v>45</v>
      </c>
      <c r="V16" s="123">
        <v>35</v>
      </c>
      <c r="W16" s="123">
        <v>0</v>
      </c>
      <c r="X16" s="122">
        <v>8</v>
      </c>
      <c r="Y16" s="123">
        <v>10</v>
      </c>
      <c r="Z16" s="123">
        <v>20</v>
      </c>
      <c r="AA16" s="123">
        <v>10</v>
      </c>
      <c r="AB16" s="136">
        <f t="shared" si="0"/>
        <v>247.61840808959994</v>
      </c>
      <c r="AC16" s="137">
        <f t="shared" si="1"/>
        <v>244.03354982399998</v>
      </c>
      <c r="AD16" s="137">
        <f t="shared" si="2"/>
        <v>250.96159585279995</v>
      </c>
      <c r="AE16" s="122">
        <f t="shared" si="3"/>
        <v>445.61840808959994</v>
      </c>
      <c r="AF16" s="123">
        <f t="shared" si="4"/>
        <v>389.03354982399998</v>
      </c>
      <c r="AG16" s="123">
        <f t="shared" si="5"/>
        <v>375.96159585279997</v>
      </c>
      <c r="AH16" s="123">
        <f t="shared" si="6"/>
        <v>10</v>
      </c>
      <c r="AI16" s="298">
        <f t="shared" si="7"/>
        <v>35376438598.855194</v>
      </c>
      <c r="AJ16" s="122">
        <v>121</v>
      </c>
      <c r="AK16" s="123">
        <v>118</v>
      </c>
      <c r="AL16" s="123">
        <v>125</v>
      </c>
      <c r="AM16" s="138">
        <f t="shared" si="8"/>
        <v>1688.0920404479996</v>
      </c>
      <c r="AN16" s="139">
        <f t="shared" si="9"/>
        <v>1670.1677491199998</v>
      </c>
      <c r="AO16" s="139">
        <f t="shared" si="10"/>
        <v>1704.8079792639996</v>
      </c>
      <c r="AP16" s="140">
        <v>9.08</v>
      </c>
      <c r="AQ16" s="141">
        <v>8.9499999999999993</v>
      </c>
      <c r="AR16" s="141">
        <v>9.19</v>
      </c>
      <c r="AS16" s="138">
        <f t="shared" si="11"/>
        <v>22.593945599999994</v>
      </c>
      <c r="AT16" s="139">
        <f t="shared" si="12"/>
        <v>22.270463999999993</v>
      </c>
      <c r="AU16" s="139">
        <f t="shared" si="13"/>
        <v>22.867660799999992</v>
      </c>
    </row>
    <row r="17" spans="1:47" ht="14.25" customHeight="1" x14ac:dyDescent="0.25">
      <c r="A17" s="35" t="s">
        <v>63</v>
      </c>
      <c r="B17" s="120" t="s">
        <v>332</v>
      </c>
      <c r="C17" s="121" t="s">
        <v>522</v>
      </c>
      <c r="D17" s="135" t="str">
        <f>IF(ISNUMBER(MATCH(Table21[[#This Row],[General]],COVENANTS!$A$2:$A$100,0)), "Y","N")</f>
        <v>Y</v>
      </c>
      <c r="E17" s="135" t="str">
        <f>IF(ISNUMBER(MATCH(Table21[[#This Row],[General]],COVENANTS!$B$2:$B$100,0)), "Y","N")</f>
        <v>N</v>
      </c>
      <c r="F17" s="135" t="str">
        <f>IF(ISNUMBER(MATCH(Table21[[#This Row],[General]],COVENANTS!$C$2:$C$100,0)), "Y","N")</f>
        <v>N</v>
      </c>
      <c r="G17" s="135" t="str">
        <f>IF(ISNUMBER(MATCH(Table21[[#This Row],[General]],COVENANTS!$D$2:$D$100,0)), "Y","N")</f>
        <v>Y</v>
      </c>
      <c r="H17" s="122">
        <v>25</v>
      </c>
      <c r="I17" s="123">
        <v>25</v>
      </c>
      <c r="J17" s="123">
        <v>25</v>
      </c>
      <c r="K17" s="123">
        <v>12</v>
      </c>
      <c r="L17" s="122">
        <v>45</v>
      </c>
      <c r="M17" s="123">
        <v>45</v>
      </c>
      <c r="N17" s="123">
        <v>0</v>
      </c>
      <c r="O17" s="123">
        <v>8</v>
      </c>
      <c r="P17" s="122">
        <v>90</v>
      </c>
      <c r="Q17" s="123">
        <v>95</v>
      </c>
      <c r="R17" s="123">
        <v>30</v>
      </c>
      <c r="S17" s="123">
        <v>13</v>
      </c>
      <c r="T17" s="122">
        <v>70</v>
      </c>
      <c r="U17" s="123">
        <v>45</v>
      </c>
      <c r="V17" s="123">
        <v>35</v>
      </c>
      <c r="W17" s="123">
        <v>0</v>
      </c>
      <c r="X17" s="122">
        <v>10</v>
      </c>
      <c r="Y17" s="123">
        <v>10</v>
      </c>
      <c r="Z17" s="123">
        <v>10</v>
      </c>
      <c r="AA17" s="123">
        <v>0</v>
      </c>
      <c r="AB17" s="136">
        <f t="shared" si="0"/>
        <v>255.16761886719996</v>
      </c>
      <c r="AC17" s="137">
        <f t="shared" si="1"/>
        <v>238.81633904639997</v>
      </c>
      <c r="AD17" s="137">
        <f t="shared" si="2"/>
        <v>244.18620881919992</v>
      </c>
      <c r="AE17" s="122">
        <f t="shared" si="3"/>
        <v>425.16761886719996</v>
      </c>
      <c r="AF17" s="123">
        <f t="shared" si="4"/>
        <v>388.8163390464</v>
      </c>
      <c r="AG17" s="123">
        <f t="shared" si="5"/>
        <v>319.18620881919992</v>
      </c>
      <c r="AH17" s="123">
        <f t="shared" si="6"/>
        <v>13</v>
      </c>
      <c r="AI17" s="298">
        <f t="shared" si="7"/>
        <v>34846272289.515381</v>
      </c>
      <c r="AJ17" s="122">
        <v>132</v>
      </c>
      <c r="AK17" s="123">
        <v>118</v>
      </c>
      <c r="AL17" s="123">
        <v>123</v>
      </c>
      <c r="AM17" s="138">
        <f t="shared" si="8"/>
        <v>1725.8380943359998</v>
      </c>
      <c r="AN17" s="139">
        <f t="shared" si="9"/>
        <v>1644.0816952319999</v>
      </c>
      <c r="AO17" s="139">
        <f t="shared" si="10"/>
        <v>1670.9310440959996</v>
      </c>
      <c r="AP17" s="140">
        <v>9.31</v>
      </c>
      <c r="AQ17" s="141">
        <v>8.7200000000000006</v>
      </c>
      <c r="AR17" s="141">
        <v>8.91</v>
      </c>
      <c r="AS17" s="138">
        <f t="shared" si="11"/>
        <v>23.166259199999995</v>
      </c>
      <c r="AT17" s="139">
        <f t="shared" si="12"/>
        <v>21.698150399999999</v>
      </c>
      <c r="AU17" s="139">
        <f t="shared" si="13"/>
        <v>22.170931199999995</v>
      </c>
    </row>
    <row r="18" spans="1:47" ht="14.25" customHeight="1" x14ac:dyDescent="0.25">
      <c r="A18" s="35" t="s">
        <v>64</v>
      </c>
      <c r="B18" s="120" t="s">
        <v>332</v>
      </c>
      <c r="C18" s="121" t="s">
        <v>176</v>
      </c>
      <c r="D18" s="135" t="str">
        <f>IF(ISNUMBER(MATCH(Table21[[#This Row],[General]],COVENANTS!$A$2:$A$100,0)), "Y","N")</f>
        <v>N</v>
      </c>
      <c r="E18" s="135" t="str">
        <f>IF(ISNUMBER(MATCH(Table21[[#This Row],[General]],COVENANTS!$B$2:$B$100,0)), "Y","N")</f>
        <v>N</v>
      </c>
      <c r="F18" s="135" t="str">
        <f>IF(ISNUMBER(MATCH(Table21[[#This Row],[General]],COVENANTS!$C$2:$C$100,0)), "Y","N")</f>
        <v>N</v>
      </c>
      <c r="G18" s="135" t="str">
        <f>IF(ISNUMBER(MATCH(Table21[[#This Row],[General]],COVENANTS!$D$2:$D$100,0)), "Y","N")</f>
        <v>N</v>
      </c>
      <c r="H18" s="122">
        <v>25</v>
      </c>
      <c r="I18" s="123">
        <v>25</v>
      </c>
      <c r="J18" s="123">
        <v>25</v>
      </c>
      <c r="K18" s="123">
        <v>12</v>
      </c>
      <c r="L18" s="122">
        <v>45</v>
      </c>
      <c r="M18" s="123">
        <v>35</v>
      </c>
      <c r="N18" s="123">
        <v>10</v>
      </c>
      <c r="O18" s="123">
        <v>0</v>
      </c>
      <c r="P18" s="122">
        <v>95</v>
      </c>
      <c r="Q18" s="123">
        <v>90</v>
      </c>
      <c r="R18" s="123">
        <v>50</v>
      </c>
      <c r="S18" s="123">
        <v>8</v>
      </c>
      <c r="T18" s="122">
        <v>61</v>
      </c>
      <c r="U18" s="123">
        <v>40</v>
      </c>
      <c r="V18" s="123">
        <v>0</v>
      </c>
      <c r="W18" s="123">
        <v>6</v>
      </c>
      <c r="X18" s="122">
        <v>10</v>
      </c>
      <c r="Y18" s="123">
        <v>0</v>
      </c>
      <c r="Z18" s="123">
        <v>0</v>
      </c>
      <c r="AA18" s="123">
        <v>0</v>
      </c>
      <c r="AB18" s="136">
        <f t="shared" si="0"/>
        <v>247.40640808959995</v>
      </c>
      <c r="AC18" s="137">
        <f t="shared" si="1"/>
        <v>243.79187932159999</v>
      </c>
      <c r="AD18" s="137">
        <f t="shared" si="2"/>
        <v>239.57102105599998</v>
      </c>
      <c r="AE18" s="122">
        <f t="shared" si="3"/>
        <v>413.40640808959995</v>
      </c>
      <c r="AF18" s="123">
        <f t="shared" si="4"/>
        <v>373.79187932159999</v>
      </c>
      <c r="AG18" s="123">
        <f t="shared" si="5"/>
        <v>289.57102105599995</v>
      </c>
      <c r="AH18" s="123">
        <f t="shared" si="6"/>
        <v>14</v>
      </c>
      <c r="AI18" s="298">
        <f t="shared" si="7"/>
        <v>34300847036.742371</v>
      </c>
      <c r="AJ18" s="122">
        <v>120</v>
      </c>
      <c r="AK18" s="123">
        <v>119</v>
      </c>
      <c r="AL18" s="123">
        <v>113</v>
      </c>
      <c r="AM18" s="138">
        <f t="shared" si="8"/>
        <v>1687.0320404479996</v>
      </c>
      <c r="AN18" s="139">
        <f t="shared" si="9"/>
        <v>1668.9593966079999</v>
      </c>
      <c r="AO18" s="139">
        <f t="shared" si="10"/>
        <v>1647.8551052799999</v>
      </c>
      <c r="AP18" s="140">
        <v>9.08</v>
      </c>
      <c r="AQ18" s="141">
        <v>8.93</v>
      </c>
      <c r="AR18" s="141">
        <v>8.8000000000000007</v>
      </c>
      <c r="AS18" s="138">
        <f t="shared" si="11"/>
        <v>22.593945599999994</v>
      </c>
      <c r="AT18" s="139">
        <f t="shared" si="12"/>
        <v>22.220697599999998</v>
      </c>
      <c r="AU18" s="139">
        <f t="shared" si="13"/>
        <v>21.897215999999997</v>
      </c>
    </row>
    <row r="19" spans="1:47" ht="14.25" customHeight="1" x14ac:dyDescent="0.25">
      <c r="A19" s="35" t="s">
        <v>65</v>
      </c>
      <c r="B19" s="120" t="s">
        <v>332</v>
      </c>
      <c r="C19" s="121" t="s">
        <v>509</v>
      </c>
      <c r="D19" s="135" t="str">
        <f>IF(ISNUMBER(MATCH(Table21[[#This Row],[General]],COVENANTS!$A$2:$A$100,0)), "Y","N")</f>
        <v>Y</v>
      </c>
      <c r="E19" s="135" t="str">
        <f>IF(ISNUMBER(MATCH(Table21[[#This Row],[General]],COVENANTS!$B$2:$B$100,0)), "Y","N")</f>
        <v>N</v>
      </c>
      <c r="F19" s="135" t="str">
        <f>IF(ISNUMBER(MATCH(Table21[[#This Row],[General]],COVENANTS!$C$2:$C$100,0)), "Y","N")</f>
        <v>Y</v>
      </c>
      <c r="G19" s="135" t="str">
        <f>IF(ISNUMBER(MATCH(Table21[[#This Row],[General]],COVENANTS!$D$2:$D$100,0)), "Y","N")</f>
        <v>Y</v>
      </c>
      <c r="H19" s="122">
        <v>25</v>
      </c>
      <c r="I19" s="123">
        <v>25</v>
      </c>
      <c r="J19" s="123">
        <v>25</v>
      </c>
      <c r="K19" s="123">
        <v>12</v>
      </c>
      <c r="L19" s="122">
        <v>45</v>
      </c>
      <c r="M19" s="123">
        <v>15</v>
      </c>
      <c r="N19" s="123">
        <v>15</v>
      </c>
      <c r="O19" s="123">
        <v>0</v>
      </c>
      <c r="P19" s="122">
        <v>95</v>
      </c>
      <c r="Q19" s="123">
        <v>85</v>
      </c>
      <c r="R19" s="123">
        <v>35</v>
      </c>
      <c r="S19" s="123">
        <v>10</v>
      </c>
      <c r="T19" s="122">
        <v>70</v>
      </c>
      <c r="U19" s="123">
        <v>35</v>
      </c>
      <c r="V19" s="123">
        <v>45</v>
      </c>
      <c r="W19" s="123">
        <v>0</v>
      </c>
      <c r="X19" s="122">
        <v>20</v>
      </c>
      <c r="Y19" s="123">
        <v>0</v>
      </c>
      <c r="Z19" s="123">
        <v>5</v>
      </c>
      <c r="AA19" s="123">
        <v>0</v>
      </c>
      <c r="AB19" s="136">
        <f t="shared" si="0"/>
        <v>241.22251530239996</v>
      </c>
      <c r="AC19" s="137">
        <f t="shared" si="1"/>
        <v>243.72823183359998</v>
      </c>
      <c r="AD19" s="137">
        <f t="shared" si="2"/>
        <v>244.98539658239997</v>
      </c>
      <c r="AE19" s="122">
        <f t="shared" si="3"/>
        <v>426.22251530239998</v>
      </c>
      <c r="AF19" s="123">
        <f t="shared" si="4"/>
        <v>363.72823183359998</v>
      </c>
      <c r="AG19" s="123">
        <f t="shared" si="5"/>
        <v>329.98539658239997</v>
      </c>
      <c r="AH19" s="123">
        <f t="shared" si="6"/>
        <v>10</v>
      </c>
      <c r="AI19" s="298">
        <f t="shared" si="7"/>
        <v>33953685080.632141</v>
      </c>
      <c r="AJ19" s="122">
        <v>124</v>
      </c>
      <c r="AK19" s="123">
        <v>108</v>
      </c>
      <c r="AL19" s="123">
        <v>115</v>
      </c>
      <c r="AM19" s="138">
        <f t="shared" si="8"/>
        <v>1656.1125765119998</v>
      </c>
      <c r="AN19" s="139">
        <f t="shared" si="9"/>
        <v>1668.6411591679998</v>
      </c>
      <c r="AO19" s="139">
        <f t="shared" si="10"/>
        <v>1674.9269829119999</v>
      </c>
      <c r="AP19" s="140">
        <v>8.77</v>
      </c>
      <c r="AQ19" s="141">
        <v>9.0299999999999994</v>
      </c>
      <c r="AR19" s="141">
        <v>9.02</v>
      </c>
      <c r="AS19" s="138">
        <f t="shared" si="11"/>
        <v>21.822566399999992</v>
      </c>
      <c r="AT19" s="139">
        <f t="shared" si="12"/>
        <v>22.469529599999994</v>
      </c>
      <c r="AU19" s="139">
        <f t="shared" si="13"/>
        <v>22.444646399999996</v>
      </c>
    </row>
    <row r="20" spans="1:47" ht="14.25" customHeight="1" x14ac:dyDescent="0.25">
      <c r="A20" s="35" t="s">
        <v>66</v>
      </c>
      <c r="B20" s="120" t="s">
        <v>333</v>
      </c>
      <c r="C20" s="121" t="s">
        <v>180</v>
      </c>
      <c r="D20" s="135" t="str">
        <f>IF(ISNUMBER(MATCH(Table21[[#This Row],[General]],COVENANTS!$A$2:$A$100,0)), "Y","N")</f>
        <v>Y</v>
      </c>
      <c r="E20" s="135" t="str">
        <f>IF(ISNUMBER(MATCH(Table21[[#This Row],[General]],COVENANTS!$B$2:$B$100,0)), "Y","N")</f>
        <v>Y</v>
      </c>
      <c r="F20" s="135" t="str">
        <f>IF(ISNUMBER(MATCH(Table21[[#This Row],[General]],COVENANTS!$C$2:$C$100,0)), "Y","N")</f>
        <v>N</v>
      </c>
      <c r="G20" s="135" t="str">
        <f>IF(ISNUMBER(MATCH(Table21[[#This Row],[General]],COVENANTS!$D$2:$D$100,0)), "Y","N")</f>
        <v>N</v>
      </c>
      <c r="H20" s="122">
        <v>25</v>
      </c>
      <c r="I20" s="123">
        <v>25</v>
      </c>
      <c r="J20" s="123">
        <v>25</v>
      </c>
      <c r="K20" s="123">
        <v>12</v>
      </c>
      <c r="L20" s="122">
        <v>40</v>
      </c>
      <c r="M20" s="123">
        <v>40</v>
      </c>
      <c r="N20" s="123">
        <v>40</v>
      </c>
      <c r="O20" s="123">
        <v>8</v>
      </c>
      <c r="P20" s="122">
        <v>90</v>
      </c>
      <c r="Q20" s="123">
        <v>60</v>
      </c>
      <c r="R20" s="123">
        <v>75</v>
      </c>
      <c r="S20" s="123">
        <v>8</v>
      </c>
      <c r="T20" s="122">
        <v>56</v>
      </c>
      <c r="U20" s="123">
        <v>35</v>
      </c>
      <c r="V20" s="123">
        <v>25</v>
      </c>
      <c r="W20" s="123">
        <v>0</v>
      </c>
      <c r="X20" s="122">
        <v>10</v>
      </c>
      <c r="Y20" s="123">
        <v>5</v>
      </c>
      <c r="Z20" s="123">
        <v>5</v>
      </c>
      <c r="AA20" s="123">
        <v>5</v>
      </c>
      <c r="AB20" s="136">
        <f t="shared" si="0"/>
        <v>247.09056133119995</v>
      </c>
      <c r="AC20" s="137">
        <f t="shared" si="1"/>
        <v>242.65770306559995</v>
      </c>
      <c r="AD20" s="137">
        <f t="shared" si="2"/>
        <v>238.43684479999999</v>
      </c>
      <c r="AE20" s="122">
        <f t="shared" si="3"/>
        <v>403.09056133119998</v>
      </c>
      <c r="AF20" s="123">
        <f t="shared" si="4"/>
        <v>342.65770306559995</v>
      </c>
      <c r="AG20" s="123">
        <f t="shared" si="5"/>
        <v>343.43684480000002</v>
      </c>
      <c r="AH20" s="123">
        <f t="shared" si="6"/>
        <v>13</v>
      </c>
      <c r="AI20" s="298">
        <f t="shared" si="7"/>
        <v>33218366142.536896</v>
      </c>
      <c r="AJ20" s="122">
        <v>126</v>
      </c>
      <c r="AK20" s="123">
        <v>119</v>
      </c>
      <c r="AL20" s="123">
        <v>113</v>
      </c>
      <c r="AM20" s="138">
        <f t="shared" si="8"/>
        <v>1685.4528066559997</v>
      </c>
      <c r="AN20" s="139">
        <f t="shared" si="9"/>
        <v>1663.2885153279997</v>
      </c>
      <c r="AO20" s="139">
        <f t="shared" si="10"/>
        <v>1642.1842239999999</v>
      </c>
      <c r="AP20" s="140">
        <v>9.01</v>
      </c>
      <c r="AQ20" s="141">
        <v>8.8800000000000008</v>
      </c>
      <c r="AR20" s="141">
        <v>8.75</v>
      </c>
      <c r="AS20" s="138">
        <f t="shared" si="11"/>
        <v>22.419763199999995</v>
      </c>
      <c r="AT20" s="139">
        <f t="shared" si="12"/>
        <v>22.096281599999998</v>
      </c>
      <c r="AU20" s="139">
        <f t="shared" si="13"/>
        <v>21.772799999999997</v>
      </c>
    </row>
    <row r="21" spans="1:47" ht="14.25" customHeight="1" x14ac:dyDescent="0.25">
      <c r="A21" s="35" t="s">
        <v>67</v>
      </c>
      <c r="B21" s="120" t="s">
        <v>332</v>
      </c>
      <c r="C21" s="142" t="s">
        <v>177</v>
      </c>
      <c r="D21" s="135" t="str">
        <f>IF(ISNUMBER(MATCH(Table21[[#This Row],[General]],COVENANTS!$A$2:$A$100,0)), "Y","N")</f>
        <v>N</v>
      </c>
      <c r="E21" s="135" t="str">
        <f>IF(ISNUMBER(MATCH(Table21[[#This Row],[General]],COVENANTS!$B$2:$B$100,0)), "Y","N")</f>
        <v>N</v>
      </c>
      <c r="F21" s="135" t="str">
        <f>IF(ISNUMBER(MATCH(Table21[[#This Row],[General]],COVENANTS!$C$2:$C$100,0)), "Y","N")</f>
        <v>Y</v>
      </c>
      <c r="G21" s="135" t="str">
        <f>IF(ISNUMBER(MATCH(Table21[[#This Row],[General]],COVENANTS!$D$2:$D$100,0)), "Y","N")</f>
        <v>N</v>
      </c>
      <c r="H21" s="122">
        <v>25</v>
      </c>
      <c r="I21" s="123">
        <v>25</v>
      </c>
      <c r="J21" s="123">
        <v>25</v>
      </c>
      <c r="K21" s="123">
        <v>12</v>
      </c>
      <c r="L21" s="122">
        <v>40</v>
      </c>
      <c r="M21" s="123">
        <v>0</v>
      </c>
      <c r="N21" s="123">
        <v>35</v>
      </c>
      <c r="O21" s="123">
        <v>0</v>
      </c>
      <c r="P21" s="122">
        <v>75</v>
      </c>
      <c r="Q21" s="123">
        <v>55</v>
      </c>
      <c r="R21" s="123">
        <v>45</v>
      </c>
      <c r="S21" s="123">
        <v>14</v>
      </c>
      <c r="T21" s="122">
        <v>50</v>
      </c>
      <c r="U21" s="123">
        <v>35</v>
      </c>
      <c r="V21" s="123">
        <v>20</v>
      </c>
      <c r="W21" s="123">
        <v>6</v>
      </c>
      <c r="X21" s="122">
        <v>0</v>
      </c>
      <c r="Y21" s="123">
        <v>0</v>
      </c>
      <c r="Z21" s="123">
        <v>0</v>
      </c>
      <c r="AA21" s="123">
        <v>0</v>
      </c>
      <c r="AB21" s="136">
        <f t="shared" si="0"/>
        <v>241.58286781439992</v>
      </c>
      <c r="AC21" s="137">
        <f t="shared" si="1"/>
        <v>239.79785630719994</v>
      </c>
      <c r="AD21" s="137">
        <f t="shared" si="2"/>
        <v>248.72291384319999</v>
      </c>
      <c r="AE21" s="122">
        <f t="shared" si="3"/>
        <v>366.58286781439995</v>
      </c>
      <c r="AF21" s="123">
        <f t="shared" si="4"/>
        <v>329.79785630719994</v>
      </c>
      <c r="AG21" s="123">
        <f t="shared" si="5"/>
        <v>313.72291384319999</v>
      </c>
      <c r="AH21" s="123">
        <f t="shared" si="6"/>
        <v>20</v>
      </c>
      <c r="AI21" s="298">
        <f t="shared" si="7"/>
        <v>32737130444.914307</v>
      </c>
      <c r="AJ21" s="122">
        <v>115</v>
      </c>
      <c r="AK21" s="123">
        <v>113</v>
      </c>
      <c r="AL21" s="123">
        <v>123</v>
      </c>
      <c r="AM21" s="138">
        <f t="shared" si="8"/>
        <v>1657.9143390719996</v>
      </c>
      <c r="AN21" s="139">
        <f t="shared" si="9"/>
        <v>1648.9892815359997</v>
      </c>
      <c r="AO21" s="139">
        <f t="shared" si="10"/>
        <v>1693.6145692159998</v>
      </c>
      <c r="AP21" s="140">
        <v>8.8699999999999992</v>
      </c>
      <c r="AQ21" s="141">
        <v>8.81</v>
      </c>
      <c r="AR21" s="141">
        <v>9.11</v>
      </c>
      <c r="AS21" s="138">
        <f t="shared" si="11"/>
        <v>22.071398399999993</v>
      </c>
      <c r="AT21" s="139">
        <f t="shared" si="12"/>
        <v>21.922099199999998</v>
      </c>
      <c r="AU21" s="139">
        <f t="shared" si="13"/>
        <v>22.668595199999995</v>
      </c>
    </row>
    <row r="22" spans="1:47" ht="14.25" customHeight="1" x14ac:dyDescent="0.25">
      <c r="A22" s="35" t="s">
        <v>68</v>
      </c>
      <c r="B22" s="120" t="s">
        <v>332</v>
      </c>
      <c r="C22" s="121" t="s">
        <v>179</v>
      </c>
      <c r="D22" s="135" t="str">
        <f>IF(ISNUMBER(MATCH(Table21[[#This Row],[General]],COVENANTS!$A$2:$A$100,0)), "Y","N")</f>
        <v>N</v>
      </c>
      <c r="E22" s="135" t="str">
        <f>IF(ISNUMBER(MATCH(Table21[[#This Row],[General]],COVENANTS!$B$2:$B$100,0)), "Y","N")</f>
        <v>N</v>
      </c>
      <c r="F22" s="135" t="str">
        <f>IF(ISNUMBER(MATCH(Table21[[#This Row],[General]],COVENANTS!$C$2:$C$100,0)), "Y","N")</f>
        <v>Y</v>
      </c>
      <c r="G22" s="135" t="str">
        <f>IF(ISNUMBER(MATCH(Table21[[#This Row],[General]],COVENANTS!$D$2:$D$100,0)), "Y","N")</f>
        <v>Y</v>
      </c>
      <c r="H22" s="122">
        <v>25</v>
      </c>
      <c r="I22" s="123">
        <v>25</v>
      </c>
      <c r="J22" s="123">
        <v>25</v>
      </c>
      <c r="K22" s="123">
        <v>12</v>
      </c>
      <c r="L22" s="122">
        <v>25</v>
      </c>
      <c r="M22" s="123">
        <v>0</v>
      </c>
      <c r="N22" s="123">
        <v>0</v>
      </c>
      <c r="O22" s="123">
        <v>0</v>
      </c>
      <c r="P22" s="122">
        <v>60</v>
      </c>
      <c r="Q22" s="123">
        <v>35</v>
      </c>
      <c r="R22" s="123">
        <v>25</v>
      </c>
      <c r="S22" s="123">
        <v>14</v>
      </c>
      <c r="T22" s="122">
        <v>60</v>
      </c>
      <c r="U22" s="123">
        <v>10</v>
      </c>
      <c r="V22" s="123">
        <v>20</v>
      </c>
      <c r="W22" s="123">
        <v>6</v>
      </c>
      <c r="X22" s="122">
        <v>0</v>
      </c>
      <c r="Y22" s="123">
        <v>0</v>
      </c>
      <c r="Z22" s="123">
        <v>0</v>
      </c>
      <c r="AA22" s="123">
        <v>0</v>
      </c>
      <c r="AB22" s="136">
        <f t="shared" si="0"/>
        <v>243.60954982399994</v>
      </c>
      <c r="AC22" s="137">
        <f t="shared" si="1"/>
        <v>241.59770306559994</v>
      </c>
      <c r="AD22" s="137">
        <f t="shared" si="2"/>
        <v>243.5798793216</v>
      </c>
      <c r="AE22" s="122">
        <f t="shared" si="3"/>
        <v>363.60954982399994</v>
      </c>
      <c r="AF22" s="123">
        <f t="shared" si="4"/>
        <v>286.59770306559994</v>
      </c>
      <c r="AG22" s="123">
        <f t="shared" si="5"/>
        <v>288.5798793216</v>
      </c>
      <c r="AH22" s="123">
        <f t="shared" si="6"/>
        <v>20</v>
      </c>
      <c r="AI22" s="298">
        <f t="shared" si="7"/>
        <v>32515220603.081451</v>
      </c>
      <c r="AJ22" s="122">
        <v>116</v>
      </c>
      <c r="AK22" s="123">
        <v>114</v>
      </c>
      <c r="AL22" s="123">
        <v>118</v>
      </c>
      <c r="AM22" s="138">
        <f t="shared" si="8"/>
        <v>1668.0477491199997</v>
      </c>
      <c r="AN22" s="139">
        <f t="shared" si="9"/>
        <v>1657.9885153279997</v>
      </c>
      <c r="AO22" s="139">
        <f t="shared" si="10"/>
        <v>1667.899396608</v>
      </c>
      <c r="AP22" s="140">
        <v>8.9499999999999993</v>
      </c>
      <c r="AQ22" s="141">
        <v>8.8800000000000008</v>
      </c>
      <c r="AR22" s="141">
        <v>8.93</v>
      </c>
      <c r="AS22" s="138">
        <f t="shared" si="11"/>
        <v>22.270463999999993</v>
      </c>
      <c r="AT22" s="139">
        <f t="shared" si="12"/>
        <v>22.096281599999998</v>
      </c>
      <c r="AU22" s="139">
        <f t="shared" si="13"/>
        <v>22.220697599999998</v>
      </c>
    </row>
    <row r="23" spans="1:47" ht="14.25" customHeight="1" x14ac:dyDescent="0.25">
      <c r="A23" s="35" t="s">
        <v>69</v>
      </c>
      <c r="B23" s="120" t="s">
        <v>332</v>
      </c>
      <c r="C23" s="142" t="s">
        <v>181</v>
      </c>
      <c r="D23" s="135" t="str">
        <f>IF(ISNUMBER(MATCH(Table21[[#This Row],[General]],COVENANTS!$A$2:$A$100,0)), "Y","N")</f>
        <v>N</v>
      </c>
      <c r="E23" s="135" t="str">
        <f>IF(ISNUMBER(MATCH(Table21[[#This Row],[General]],COVENANTS!$B$2:$B$100,0)), "Y","N")</f>
        <v>N</v>
      </c>
      <c r="F23" s="135" t="str">
        <f>IF(ISNUMBER(MATCH(Table21[[#This Row],[General]],COVENANTS!$C$2:$C$100,0)), "Y","N")</f>
        <v>Y</v>
      </c>
      <c r="G23" s="135" t="str">
        <f>IF(ISNUMBER(MATCH(Table21[[#This Row],[General]],COVENANTS!$D$2:$D$100,0)), "Y","N")</f>
        <v>N</v>
      </c>
      <c r="H23" s="122">
        <v>25</v>
      </c>
      <c r="I23" s="123">
        <v>25</v>
      </c>
      <c r="J23" s="123">
        <v>25</v>
      </c>
      <c r="K23" s="123">
        <v>12</v>
      </c>
      <c r="L23" s="122">
        <v>30</v>
      </c>
      <c r="M23" s="123">
        <v>0</v>
      </c>
      <c r="N23" s="123">
        <v>0</v>
      </c>
      <c r="O23" s="123">
        <v>0</v>
      </c>
      <c r="P23" s="122">
        <v>70</v>
      </c>
      <c r="Q23" s="123">
        <v>45</v>
      </c>
      <c r="R23" s="123">
        <v>40</v>
      </c>
      <c r="S23" s="123">
        <v>10</v>
      </c>
      <c r="T23" s="122">
        <v>60</v>
      </c>
      <c r="U23" s="123">
        <v>25</v>
      </c>
      <c r="V23" s="123">
        <v>20</v>
      </c>
      <c r="W23" s="123">
        <v>6</v>
      </c>
      <c r="X23" s="122">
        <v>0</v>
      </c>
      <c r="Y23" s="123">
        <v>0</v>
      </c>
      <c r="Z23" s="123">
        <v>0</v>
      </c>
      <c r="AA23" s="123">
        <v>0</v>
      </c>
      <c r="AB23" s="136">
        <f t="shared" si="0"/>
        <v>246.48423183359998</v>
      </c>
      <c r="AC23" s="137">
        <f t="shared" si="1"/>
        <v>239.52651530239996</v>
      </c>
      <c r="AD23" s="137">
        <f t="shared" si="2"/>
        <v>246.04539658239997</v>
      </c>
      <c r="AE23" s="122">
        <f t="shared" si="3"/>
        <v>376.48423183360001</v>
      </c>
      <c r="AF23" s="123">
        <f t="shared" si="4"/>
        <v>309.52651530239996</v>
      </c>
      <c r="AG23" s="123">
        <f t="shared" si="5"/>
        <v>306.04539658239997</v>
      </c>
      <c r="AH23" s="123">
        <f t="shared" si="6"/>
        <v>16</v>
      </c>
      <c r="AI23" s="298">
        <f t="shared" si="7"/>
        <v>32207750108.592712</v>
      </c>
      <c r="AJ23" s="122">
        <v>121</v>
      </c>
      <c r="AK23" s="123">
        <v>116</v>
      </c>
      <c r="AL23" s="123">
        <v>120</v>
      </c>
      <c r="AM23" s="138">
        <f t="shared" si="8"/>
        <v>1682.4211591679998</v>
      </c>
      <c r="AN23" s="139">
        <f t="shared" si="9"/>
        <v>1647.6325765119998</v>
      </c>
      <c r="AO23" s="139">
        <f t="shared" si="10"/>
        <v>1680.2269829119998</v>
      </c>
      <c r="AP23" s="140">
        <v>9.0299999999999994</v>
      </c>
      <c r="AQ23" s="141">
        <v>8.77</v>
      </c>
      <c r="AR23" s="141">
        <v>9.02</v>
      </c>
      <c r="AS23" s="138">
        <f t="shared" si="11"/>
        <v>22.469529599999994</v>
      </c>
      <c r="AT23" s="139">
        <f t="shared" si="12"/>
        <v>21.822566399999992</v>
      </c>
      <c r="AU23" s="139">
        <f t="shared" si="13"/>
        <v>22.444646399999996</v>
      </c>
    </row>
    <row r="24" spans="1:47" ht="14.25" customHeight="1" x14ac:dyDescent="0.25">
      <c r="A24" s="35" t="s">
        <v>70</v>
      </c>
      <c r="B24" s="120" t="s">
        <v>333</v>
      </c>
      <c r="C24" s="121" t="s">
        <v>523</v>
      </c>
      <c r="D24" s="135" t="str">
        <f>IF(ISNUMBER(MATCH(Table21[[#This Row],[General]],COVENANTS!$A$2:$A$100,0)), "Y","N")</f>
        <v>N</v>
      </c>
      <c r="E24" s="135" t="str">
        <f>IF(ISNUMBER(MATCH(Table21[[#This Row],[General]],COVENANTS!$B$2:$B$100,0)), "Y","N")</f>
        <v>N</v>
      </c>
      <c r="F24" s="135" t="str">
        <f>IF(ISNUMBER(MATCH(Table21[[#This Row],[General]],COVENANTS!$C$2:$C$100,0)), "Y","N")</f>
        <v>Y</v>
      </c>
      <c r="G24" s="135" t="str">
        <f>IF(ISNUMBER(MATCH(Table21[[#This Row],[General]],COVENANTS!$D$2:$D$100,0)), "Y","N")</f>
        <v>Y</v>
      </c>
      <c r="H24" s="122">
        <v>0</v>
      </c>
      <c r="I24" s="123">
        <v>25</v>
      </c>
      <c r="J24" s="123">
        <v>25</v>
      </c>
      <c r="K24" s="123">
        <v>12</v>
      </c>
      <c r="L24" s="122">
        <v>35</v>
      </c>
      <c r="M24" s="123">
        <v>0</v>
      </c>
      <c r="N24" s="123">
        <v>20</v>
      </c>
      <c r="O24" s="123">
        <v>0</v>
      </c>
      <c r="P24" s="122">
        <v>70</v>
      </c>
      <c r="Q24" s="123">
        <v>35</v>
      </c>
      <c r="R24" s="123">
        <v>45</v>
      </c>
      <c r="S24" s="123">
        <v>10</v>
      </c>
      <c r="T24" s="122">
        <v>60</v>
      </c>
      <c r="U24" s="123">
        <v>40</v>
      </c>
      <c r="V24" s="123">
        <v>10</v>
      </c>
      <c r="W24" s="123">
        <v>6</v>
      </c>
      <c r="X24" s="122">
        <v>0</v>
      </c>
      <c r="Y24" s="123">
        <v>0</v>
      </c>
      <c r="Z24" s="123">
        <v>0</v>
      </c>
      <c r="AA24" s="123">
        <v>0</v>
      </c>
      <c r="AB24" s="136">
        <f t="shared" si="0"/>
        <v>246.01572608000004</v>
      </c>
      <c r="AC24" s="137">
        <f t="shared" si="1"/>
        <v>244.03354982399998</v>
      </c>
      <c r="AD24" s="137">
        <f t="shared" si="2"/>
        <v>243.35304407039999</v>
      </c>
      <c r="AE24" s="122">
        <f t="shared" si="3"/>
        <v>376.01572608000004</v>
      </c>
      <c r="AF24" s="123">
        <f t="shared" si="4"/>
        <v>319.03354982399998</v>
      </c>
      <c r="AG24" s="123">
        <f t="shared" si="5"/>
        <v>298.35304407039996</v>
      </c>
      <c r="AH24" s="123">
        <f t="shared" si="6"/>
        <v>16</v>
      </c>
      <c r="AI24" s="298">
        <f t="shared" si="7"/>
        <v>32173023721.89682</v>
      </c>
      <c r="AJ24" s="122">
        <v>122</v>
      </c>
      <c r="AK24" s="123">
        <v>118</v>
      </c>
      <c r="AL24" s="123">
        <v>118</v>
      </c>
      <c r="AM24" s="138">
        <f t="shared" si="8"/>
        <v>1680.0786304000001</v>
      </c>
      <c r="AN24" s="139">
        <f t="shared" si="9"/>
        <v>1670.1677491199998</v>
      </c>
      <c r="AO24" s="139">
        <f t="shared" si="10"/>
        <v>1666.7652203519999</v>
      </c>
      <c r="AP24" s="140">
        <v>9</v>
      </c>
      <c r="AQ24" s="141">
        <v>8.9499999999999993</v>
      </c>
      <c r="AR24" s="141">
        <v>8.92</v>
      </c>
      <c r="AS24" s="138">
        <f t="shared" si="11"/>
        <v>22.394879999999997</v>
      </c>
      <c r="AT24" s="139">
        <f t="shared" si="12"/>
        <v>22.270463999999993</v>
      </c>
      <c r="AU24" s="139">
        <f t="shared" si="13"/>
        <v>22.195814399999993</v>
      </c>
    </row>
    <row r="25" spans="1:47" ht="14.25" customHeight="1" x14ac:dyDescent="0.25">
      <c r="A25" s="35" t="s">
        <v>71</v>
      </c>
      <c r="B25" s="120" t="s">
        <v>332</v>
      </c>
      <c r="C25" s="121" t="s">
        <v>183</v>
      </c>
      <c r="D25" s="135" t="str">
        <f>IF(ISNUMBER(MATCH(Table21[[#This Row],[General]],COVENANTS!$A$2:$A$100,0)), "Y","N")</f>
        <v>N</v>
      </c>
      <c r="E25" s="135" t="str">
        <f>IF(ISNUMBER(MATCH(Table21[[#This Row],[General]],COVENANTS!$B$2:$B$100,0)), "Y","N")</f>
        <v>N</v>
      </c>
      <c r="F25" s="135" t="str">
        <f>IF(ISNUMBER(MATCH(Table21[[#This Row],[General]],COVENANTS!$C$2:$C$100,0)), "Y","N")</f>
        <v>N</v>
      </c>
      <c r="G25" s="135" t="str">
        <f>IF(ISNUMBER(MATCH(Table21[[#This Row],[General]],COVENANTS!$D$2:$D$100,0)), "Y","N")</f>
        <v>N</v>
      </c>
      <c r="H25" s="122">
        <v>25</v>
      </c>
      <c r="I25" s="123">
        <v>25</v>
      </c>
      <c r="J25" s="123">
        <v>25</v>
      </c>
      <c r="K25" s="123">
        <v>12</v>
      </c>
      <c r="L25" s="122">
        <v>40</v>
      </c>
      <c r="M25" s="123">
        <v>20</v>
      </c>
      <c r="N25" s="123">
        <v>0</v>
      </c>
      <c r="O25" s="123">
        <v>0</v>
      </c>
      <c r="P25" s="122">
        <v>70</v>
      </c>
      <c r="Q25" s="123">
        <v>40</v>
      </c>
      <c r="R25" s="123">
        <v>40</v>
      </c>
      <c r="S25" s="123">
        <v>14</v>
      </c>
      <c r="T25" s="122">
        <v>60</v>
      </c>
      <c r="U25" s="123">
        <v>10</v>
      </c>
      <c r="V25" s="123">
        <v>35</v>
      </c>
      <c r="W25" s="123">
        <v>0</v>
      </c>
      <c r="X25" s="122">
        <v>0</v>
      </c>
      <c r="Y25" s="123">
        <v>0</v>
      </c>
      <c r="Z25" s="123">
        <v>0</v>
      </c>
      <c r="AA25" s="123">
        <v>0</v>
      </c>
      <c r="AB25" s="136">
        <f t="shared" si="0"/>
        <v>246.46939658239995</v>
      </c>
      <c r="AC25" s="137">
        <f t="shared" si="1"/>
        <v>237.80084479999996</v>
      </c>
      <c r="AD25" s="137">
        <f t="shared" si="2"/>
        <v>245.39456133119995</v>
      </c>
      <c r="AE25" s="122">
        <f t="shared" si="3"/>
        <v>376.46939658239995</v>
      </c>
      <c r="AF25" s="123">
        <f t="shared" si="4"/>
        <v>287.80084479999994</v>
      </c>
      <c r="AG25" s="123">
        <f t="shared" si="5"/>
        <v>320.39456133119995</v>
      </c>
      <c r="AH25" s="123">
        <f t="shared" si="6"/>
        <v>14</v>
      </c>
      <c r="AI25" s="298">
        <f t="shared" si="7"/>
        <v>31572476213.257294</v>
      </c>
      <c r="AJ25" s="122">
        <v>122</v>
      </c>
      <c r="AK25" s="123">
        <v>110</v>
      </c>
      <c r="AL25" s="123">
        <v>118</v>
      </c>
      <c r="AM25" s="138">
        <f t="shared" si="8"/>
        <v>1682.3469829119997</v>
      </c>
      <c r="AN25" s="139">
        <f t="shared" si="9"/>
        <v>1639.0042239999998</v>
      </c>
      <c r="AO25" s="139">
        <f t="shared" si="10"/>
        <v>1676.9728066559996</v>
      </c>
      <c r="AP25" s="140">
        <v>9.02</v>
      </c>
      <c r="AQ25" s="141">
        <v>8.75</v>
      </c>
      <c r="AR25" s="141">
        <v>9.01</v>
      </c>
      <c r="AS25" s="138">
        <f t="shared" si="11"/>
        <v>22.444646399999996</v>
      </c>
      <c r="AT25" s="139">
        <f t="shared" si="12"/>
        <v>21.772799999999997</v>
      </c>
      <c r="AU25" s="139">
        <f t="shared" si="13"/>
        <v>22.419763199999995</v>
      </c>
    </row>
    <row r="26" spans="1:47" ht="14.25" customHeight="1" x14ac:dyDescent="0.25">
      <c r="A26" s="35" t="s">
        <v>72</v>
      </c>
      <c r="B26" s="120" t="s">
        <v>332</v>
      </c>
      <c r="C26" s="121" t="s">
        <v>185</v>
      </c>
      <c r="D26" s="135" t="str">
        <f>IF(ISNUMBER(MATCH(Table21[[#This Row],[General]],COVENANTS!$A$2:$A$100,0)), "Y","N")</f>
        <v>N</v>
      </c>
      <c r="E26" s="135" t="str">
        <f>IF(ISNUMBER(MATCH(Table21[[#This Row],[General]],COVENANTS!$B$2:$B$100,0)), "Y","N")</f>
        <v>N</v>
      </c>
      <c r="F26" s="135" t="str">
        <f>IF(ISNUMBER(MATCH(Table21[[#This Row],[General]],COVENANTS!$C$2:$C$100,0)), "Y","N")</f>
        <v>N</v>
      </c>
      <c r="G26" s="135" t="str">
        <f>IF(ISNUMBER(MATCH(Table21[[#This Row],[General]],COVENANTS!$D$2:$D$100,0)), "Y","N")</f>
        <v>N</v>
      </c>
      <c r="H26" s="122">
        <v>25</v>
      </c>
      <c r="I26" s="123">
        <v>25</v>
      </c>
      <c r="J26" s="123">
        <v>25</v>
      </c>
      <c r="K26" s="123">
        <v>12</v>
      </c>
      <c r="L26" s="122">
        <v>40</v>
      </c>
      <c r="M26" s="123">
        <v>0</v>
      </c>
      <c r="N26" s="123">
        <v>40</v>
      </c>
      <c r="O26" s="123">
        <v>12</v>
      </c>
      <c r="P26" s="122">
        <v>75</v>
      </c>
      <c r="Q26" s="123">
        <v>40</v>
      </c>
      <c r="R26" s="123">
        <v>80</v>
      </c>
      <c r="S26" s="123">
        <v>12</v>
      </c>
      <c r="T26" s="122">
        <v>60</v>
      </c>
      <c r="U26" s="123">
        <v>45</v>
      </c>
      <c r="V26" s="123">
        <v>45</v>
      </c>
      <c r="W26" s="123">
        <v>0</v>
      </c>
      <c r="X26" s="122">
        <v>0</v>
      </c>
      <c r="Y26" s="123">
        <v>0</v>
      </c>
      <c r="Z26" s="123">
        <v>10</v>
      </c>
      <c r="AA26" s="123">
        <v>0</v>
      </c>
      <c r="AB26" s="136">
        <f t="shared" si="0"/>
        <v>243.12620881919995</v>
      </c>
      <c r="AC26" s="137">
        <f t="shared" si="1"/>
        <v>239.13218580479989</v>
      </c>
      <c r="AD26" s="137">
        <f t="shared" si="2"/>
        <v>244.69922032640002</v>
      </c>
      <c r="AE26" s="122">
        <f t="shared" si="3"/>
        <v>378.12620881919997</v>
      </c>
      <c r="AF26" s="123">
        <f t="shared" si="4"/>
        <v>324.13218580479986</v>
      </c>
      <c r="AG26" s="123">
        <f t="shared" si="5"/>
        <v>379.6992203264</v>
      </c>
      <c r="AH26" s="123">
        <f t="shared" si="6"/>
        <v>12</v>
      </c>
      <c r="AI26" s="298">
        <f t="shared" si="7"/>
        <v>31060258917.980194</v>
      </c>
      <c r="AJ26" s="122">
        <v>118</v>
      </c>
      <c r="AK26" s="123">
        <v>112</v>
      </c>
      <c r="AL26" s="123">
        <v>119</v>
      </c>
      <c r="AM26" s="138">
        <f t="shared" si="8"/>
        <v>1665.6310440959996</v>
      </c>
      <c r="AN26" s="139">
        <f t="shared" si="9"/>
        <v>1645.6609290239994</v>
      </c>
      <c r="AO26" s="139">
        <f t="shared" si="10"/>
        <v>1673.4961016320001</v>
      </c>
      <c r="AP26" s="140">
        <v>8.91</v>
      </c>
      <c r="AQ26" s="141">
        <v>8.7899999999999991</v>
      </c>
      <c r="AR26" s="141">
        <v>8.9700000000000006</v>
      </c>
      <c r="AS26" s="138">
        <f t="shared" si="11"/>
        <v>22.170931199999995</v>
      </c>
      <c r="AT26" s="139">
        <f t="shared" si="12"/>
        <v>21.872332799999992</v>
      </c>
      <c r="AU26" s="139">
        <f t="shared" si="13"/>
        <v>22.3202304</v>
      </c>
    </row>
    <row r="27" spans="1:47" ht="14.25" customHeight="1" x14ac:dyDescent="0.25">
      <c r="A27" s="35" t="s">
        <v>73</v>
      </c>
      <c r="B27" s="120" t="s">
        <v>333</v>
      </c>
      <c r="C27" s="142" t="s">
        <v>184</v>
      </c>
      <c r="D27" s="135" t="str">
        <f>IF(ISNUMBER(MATCH(Table21[[#This Row],[General]],COVENANTS!$A$2:$A$100,0)), "Y","N")</f>
        <v>N</v>
      </c>
      <c r="E27" s="135" t="str">
        <f>IF(ISNUMBER(MATCH(Table21[[#This Row],[General]],COVENANTS!$B$2:$B$100,0)), "Y","N")</f>
        <v>N</v>
      </c>
      <c r="F27" s="135" t="str">
        <f>IF(ISNUMBER(MATCH(Table21[[#This Row],[General]],COVENANTS!$C$2:$C$100,0)), "Y","N")</f>
        <v>N</v>
      </c>
      <c r="G27" s="135" t="str">
        <f>IF(ISNUMBER(MATCH(Table21[[#This Row],[General]],COVENANTS!$D$2:$D$100,0)), "Y","N")</f>
        <v>N</v>
      </c>
      <c r="H27" s="122">
        <v>25</v>
      </c>
      <c r="I27" s="123">
        <v>25</v>
      </c>
      <c r="J27" s="123">
        <v>25</v>
      </c>
      <c r="K27" s="123">
        <v>12</v>
      </c>
      <c r="L27" s="122">
        <v>30</v>
      </c>
      <c r="M27" s="123">
        <v>0</v>
      </c>
      <c r="N27" s="123">
        <v>0</v>
      </c>
      <c r="O27" s="123">
        <v>0</v>
      </c>
      <c r="P27" s="122">
        <v>50</v>
      </c>
      <c r="Q27" s="123">
        <v>20</v>
      </c>
      <c r="R27" s="123">
        <v>0</v>
      </c>
      <c r="S27" s="123">
        <v>14</v>
      </c>
      <c r="T27" s="122">
        <v>46</v>
      </c>
      <c r="U27" s="123">
        <v>10</v>
      </c>
      <c r="V27" s="123">
        <v>20</v>
      </c>
      <c r="W27" s="123">
        <v>6</v>
      </c>
      <c r="X27" s="122">
        <v>0</v>
      </c>
      <c r="Y27" s="123">
        <v>0</v>
      </c>
      <c r="Z27" s="123">
        <v>0</v>
      </c>
      <c r="AA27" s="123">
        <v>0</v>
      </c>
      <c r="AB27" s="136">
        <f t="shared" si="0"/>
        <v>241.05502105599999</v>
      </c>
      <c r="AC27" s="137">
        <f t="shared" si="1"/>
        <v>243.39754982399995</v>
      </c>
      <c r="AD27" s="137">
        <f t="shared" si="2"/>
        <v>239.55618580479992</v>
      </c>
      <c r="AE27" s="122">
        <f t="shared" si="3"/>
        <v>337.05502105599999</v>
      </c>
      <c r="AF27" s="123">
        <f t="shared" si="4"/>
        <v>273.39754982399995</v>
      </c>
      <c r="AG27" s="123">
        <f t="shared" si="5"/>
        <v>259.55618580479995</v>
      </c>
      <c r="AH27" s="123">
        <f t="shared" si="6"/>
        <v>20</v>
      </c>
      <c r="AI27" s="298">
        <f t="shared" si="7"/>
        <v>30533356807.188049</v>
      </c>
      <c r="AJ27" s="122">
        <v>120</v>
      </c>
      <c r="AK27" s="123">
        <v>115</v>
      </c>
      <c r="AL27" s="123">
        <v>114</v>
      </c>
      <c r="AM27" s="138">
        <f t="shared" si="8"/>
        <v>1655.2751052799999</v>
      </c>
      <c r="AN27" s="139">
        <f t="shared" si="9"/>
        <v>1666.9877491199998</v>
      </c>
      <c r="AO27" s="139">
        <f t="shared" si="10"/>
        <v>1647.7809290239995</v>
      </c>
      <c r="AP27" s="140">
        <v>8.8000000000000007</v>
      </c>
      <c r="AQ27" s="141">
        <v>8.9499999999999993</v>
      </c>
      <c r="AR27" s="141">
        <v>8.7899999999999991</v>
      </c>
      <c r="AS27" s="138">
        <f t="shared" si="11"/>
        <v>21.897215999999997</v>
      </c>
      <c r="AT27" s="139">
        <f t="shared" si="12"/>
        <v>22.270463999999993</v>
      </c>
      <c r="AU27" s="139">
        <f t="shared" si="13"/>
        <v>21.872332799999992</v>
      </c>
    </row>
    <row r="28" spans="1:47" ht="14.25" customHeight="1" x14ac:dyDescent="0.25">
      <c r="A28" s="35" t="s">
        <v>74</v>
      </c>
      <c r="B28" s="120" t="s">
        <v>333</v>
      </c>
      <c r="C28" s="121" t="s">
        <v>187</v>
      </c>
      <c r="D28" s="135" t="str">
        <f>IF(ISNUMBER(MATCH(Table21[[#This Row],[General]],COVENANTS!$A$2:$A$100,0)), "Y","N")</f>
        <v>N</v>
      </c>
      <c r="E28" s="135" t="str">
        <f>IF(ISNUMBER(MATCH(Table21[[#This Row],[General]],COVENANTS!$B$2:$B$100,0)), "Y","N")</f>
        <v>N</v>
      </c>
      <c r="F28" s="135" t="str">
        <f>IF(ISNUMBER(MATCH(Table21[[#This Row],[General]],COVENANTS!$C$2:$C$100,0)), "Y","N")</f>
        <v>N</v>
      </c>
      <c r="G28" s="135" t="str">
        <f>IF(ISNUMBER(MATCH(Table21[[#This Row],[General]],COVENANTS!$D$2:$D$100,0)), "Y","N")</f>
        <v>Y</v>
      </c>
      <c r="H28" s="122">
        <v>0</v>
      </c>
      <c r="I28" s="123">
        <v>25</v>
      </c>
      <c r="J28" s="123">
        <v>25</v>
      </c>
      <c r="K28" s="123">
        <v>12</v>
      </c>
      <c r="L28" s="122">
        <v>45</v>
      </c>
      <c r="M28" s="123">
        <v>20</v>
      </c>
      <c r="N28" s="123">
        <v>0</v>
      </c>
      <c r="O28" s="123">
        <v>0</v>
      </c>
      <c r="P28" s="122">
        <v>80</v>
      </c>
      <c r="Q28" s="123">
        <v>110</v>
      </c>
      <c r="R28" s="123">
        <v>0</v>
      </c>
      <c r="S28" s="123">
        <v>0</v>
      </c>
      <c r="T28" s="122">
        <v>70</v>
      </c>
      <c r="U28" s="123">
        <v>45</v>
      </c>
      <c r="V28" s="123">
        <v>10</v>
      </c>
      <c r="W28" s="123">
        <v>6</v>
      </c>
      <c r="X28" s="122">
        <v>0</v>
      </c>
      <c r="Y28" s="123">
        <v>10</v>
      </c>
      <c r="Z28" s="123">
        <v>0</v>
      </c>
      <c r="AA28" s="123">
        <v>0</v>
      </c>
      <c r="AB28" s="136">
        <f t="shared" si="0"/>
        <v>244.66954982399994</v>
      </c>
      <c r="AC28" s="137">
        <f t="shared" si="1"/>
        <v>245.02990233599999</v>
      </c>
      <c r="AD28" s="137">
        <f t="shared" si="2"/>
        <v>239.76818580479991</v>
      </c>
      <c r="AE28" s="122">
        <f t="shared" si="3"/>
        <v>394.66954982399994</v>
      </c>
      <c r="AF28" s="123">
        <f t="shared" si="4"/>
        <v>410.02990233599996</v>
      </c>
      <c r="AG28" s="123">
        <f t="shared" si="5"/>
        <v>249.76818580479991</v>
      </c>
      <c r="AH28" s="123">
        <f t="shared" si="6"/>
        <v>6</v>
      </c>
      <c r="AI28" s="298">
        <f t="shared" si="7"/>
        <v>30361499719.248962</v>
      </c>
      <c r="AJ28" s="122">
        <v>121</v>
      </c>
      <c r="AK28" s="123">
        <v>112</v>
      </c>
      <c r="AL28" s="123">
        <v>115</v>
      </c>
      <c r="AM28" s="138">
        <f t="shared" si="8"/>
        <v>1673.3477491199997</v>
      </c>
      <c r="AN28" s="139">
        <f t="shared" si="9"/>
        <v>1675.1495116799999</v>
      </c>
      <c r="AO28" s="139">
        <f t="shared" si="10"/>
        <v>1648.8409290239995</v>
      </c>
      <c r="AP28" s="140">
        <v>8.9499999999999993</v>
      </c>
      <c r="AQ28" s="141">
        <v>9.0500000000000007</v>
      </c>
      <c r="AR28" s="141">
        <v>8.7899999999999991</v>
      </c>
      <c r="AS28" s="138">
        <f t="shared" si="11"/>
        <v>22.270463999999993</v>
      </c>
      <c r="AT28" s="139">
        <f t="shared" si="12"/>
        <v>22.519295999999997</v>
      </c>
      <c r="AU28" s="139">
        <f t="shared" si="13"/>
        <v>21.872332799999992</v>
      </c>
    </row>
    <row r="29" spans="1:47" ht="14.25" customHeight="1" x14ac:dyDescent="0.25">
      <c r="A29" s="35" t="s">
        <v>75</v>
      </c>
      <c r="B29" s="120" t="s">
        <v>332</v>
      </c>
      <c r="C29" s="142" t="s">
        <v>507</v>
      </c>
      <c r="D29" s="135" t="str">
        <f>IF(ISNUMBER(MATCH(Table21[[#This Row],[General]],COVENANTS!$A$2:$A$100,0)), "Y","N")</f>
        <v>N</v>
      </c>
      <c r="E29" s="135" t="str">
        <f>IF(ISNUMBER(MATCH(Table21[[#This Row],[General]],COVENANTS!$B$2:$B$100,0)), "Y","N")</f>
        <v>Y</v>
      </c>
      <c r="F29" s="135" t="str">
        <f>IF(ISNUMBER(MATCH(Table21[[#This Row],[General]],COVENANTS!$C$2:$C$100,0)), "Y","N")</f>
        <v>N</v>
      </c>
      <c r="G29" s="135" t="str">
        <f>IF(ISNUMBER(MATCH(Table21[[#This Row],[General]],COVENANTS!$D$2:$D$100,0)), "Y","N")</f>
        <v>Y</v>
      </c>
      <c r="H29" s="122">
        <v>25</v>
      </c>
      <c r="I29" s="123">
        <v>25</v>
      </c>
      <c r="J29" s="123">
        <v>25</v>
      </c>
      <c r="K29" s="123">
        <v>12</v>
      </c>
      <c r="L29" s="122">
        <v>30</v>
      </c>
      <c r="M29" s="123">
        <v>0</v>
      </c>
      <c r="N29" s="123">
        <v>0</v>
      </c>
      <c r="O29" s="123">
        <v>0</v>
      </c>
      <c r="P29" s="122">
        <v>60</v>
      </c>
      <c r="Q29" s="123">
        <v>20</v>
      </c>
      <c r="R29" s="123">
        <v>0</v>
      </c>
      <c r="S29" s="123">
        <v>0</v>
      </c>
      <c r="T29" s="122">
        <v>42</v>
      </c>
      <c r="U29" s="123">
        <v>0</v>
      </c>
      <c r="V29" s="123">
        <v>10</v>
      </c>
      <c r="W29" s="123">
        <v>16</v>
      </c>
      <c r="X29" s="122">
        <v>0</v>
      </c>
      <c r="Y29" s="123">
        <v>0</v>
      </c>
      <c r="Z29" s="123">
        <v>0</v>
      </c>
      <c r="AA29" s="123">
        <v>0</v>
      </c>
      <c r="AB29" s="136">
        <f t="shared" si="0"/>
        <v>240.49319731199998</v>
      </c>
      <c r="AC29" s="137">
        <f t="shared" si="1"/>
        <v>236.16849228800001</v>
      </c>
      <c r="AD29" s="137">
        <f t="shared" si="2"/>
        <v>250.82377210879997</v>
      </c>
      <c r="AE29" s="122">
        <f t="shared" si="3"/>
        <v>342.49319731200001</v>
      </c>
      <c r="AF29" s="123">
        <f t="shared" si="4"/>
        <v>256.16849228800004</v>
      </c>
      <c r="AG29" s="123">
        <f t="shared" si="5"/>
        <v>260.82377210879997</v>
      </c>
      <c r="AH29" s="123">
        <f t="shared" si="6"/>
        <v>16</v>
      </c>
      <c r="AI29" s="298">
        <f t="shared" si="7"/>
        <v>29688280924.017212</v>
      </c>
      <c r="AJ29" s="122">
        <v>112</v>
      </c>
      <c r="AK29" s="123">
        <v>113</v>
      </c>
      <c r="AL29" s="123">
        <v>119</v>
      </c>
      <c r="AM29" s="138">
        <f t="shared" si="8"/>
        <v>1652.4659865599999</v>
      </c>
      <c r="AN29" s="139">
        <f t="shared" si="9"/>
        <v>1630.8424614400001</v>
      </c>
      <c r="AO29" s="139">
        <f t="shared" si="10"/>
        <v>1704.1188605439997</v>
      </c>
      <c r="AP29" s="140">
        <v>8.85</v>
      </c>
      <c r="AQ29" s="141">
        <v>8.65</v>
      </c>
      <c r="AR29" s="141">
        <v>9.24</v>
      </c>
      <c r="AS29" s="138">
        <f t="shared" si="11"/>
        <v>22.021631999999993</v>
      </c>
      <c r="AT29" s="139">
        <f t="shared" si="12"/>
        <v>21.523968</v>
      </c>
      <c r="AU29" s="139">
        <f t="shared" si="13"/>
        <v>22.992076799999992</v>
      </c>
    </row>
    <row r="30" spans="1:47" ht="14.25" customHeight="1" x14ac:dyDescent="0.25">
      <c r="A30" s="35" t="s">
        <v>76</v>
      </c>
      <c r="B30" s="120" t="s">
        <v>333</v>
      </c>
      <c r="C30" s="121" t="s">
        <v>299</v>
      </c>
      <c r="D30" s="135" t="str">
        <f>IF(ISNUMBER(MATCH(Table21[[#This Row],[General]],COVENANTS!$A$2:$A$100,0)), "Y","N")</f>
        <v>N</v>
      </c>
      <c r="E30" s="135" t="str">
        <f>IF(ISNUMBER(MATCH(Table21[[#This Row],[General]],COVENANTS!$B$2:$B$100,0)), "Y","N")</f>
        <v>N</v>
      </c>
      <c r="F30" s="135" t="str">
        <f>IF(ISNUMBER(MATCH(Table21[[#This Row],[General]],COVENANTS!$C$2:$C$100,0)), "Y","N")</f>
        <v>N</v>
      </c>
      <c r="G30" s="135" t="str">
        <f>IF(ISNUMBER(MATCH(Table21[[#This Row],[General]],COVENANTS!$D$2:$D$100,0)), "Y","N")</f>
        <v>N</v>
      </c>
      <c r="H30" s="122">
        <v>25</v>
      </c>
      <c r="I30" s="123">
        <v>25</v>
      </c>
      <c r="J30" s="123">
        <v>25</v>
      </c>
      <c r="K30" s="123">
        <v>12</v>
      </c>
      <c r="L30" s="122">
        <v>40</v>
      </c>
      <c r="M30" s="123">
        <v>45</v>
      </c>
      <c r="N30" s="123">
        <v>40</v>
      </c>
      <c r="O30" s="123">
        <v>0</v>
      </c>
      <c r="P30" s="122">
        <v>100</v>
      </c>
      <c r="Q30" s="123">
        <v>85</v>
      </c>
      <c r="R30" s="123">
        <v>90</v>
      </c>
      <c r="S30" s="123">
        <v>0</v>
      </c>
      <c r="T30" s="122">
        <v>65</v>
      </c>
      <c r="U30" s="123">
        <v>50</v>
      </c>
      <c r="V30" s="123">
        <v>40</v>
      </c>
      <c r="W30" s="123">
        <v>0</v>
      </c>
      <c r="X30" s="122">
        <v>0</v>
      </c>
      <c r="Y30" s="123">
        <v>0</v>
      </c>
      <c r="Z30" s="123">
        <v>0</v>
      </c>
      <c r="AA30" s="123">
        <v>0</v>
      </c>
      <c r="AB30" s="136">
        <f t="shared" si="0"/>
        <v>244.27522032640002</v>
      </c>
      <c r="AC30" s="137">
        <f t="shared" si="1"/>
        <v>242.92904407039995</v>
      </c>
      <c r="AD30" s="137">
        <f t="shared" si="2"/>
        <v>249.67476060160004</v>
      </c>
      <c r="AE30" s="122">
        <f t="shared" si="3"/>
        <v>409.27522032640002</v>
      </c>
      <c r="AF30" s="123">
        <f t="shared" si="4"/>
        <v>377.92904407039998</v>
      </c>
      <c r="AG30" s="123">
        <f t="shared" si="5"/>
        <v>379.67476060160004</v>
      </c>
      <c r="AH30" s="123">
        <f t="shared" si="6"/>
        <v>0</v>
      </c>
      <c r="AI30" s="298">
        <f t="shared" si="7"/>
        <v>29497668398.071411</v>
      </c>
      <c r="AJ30" s="122">
        <v>117</v>
      </c>
      <c r="AK30" s="123">
        <v>116</v>
      </c>
      <c r="AL30" s="123">
        <v>120</v>
      </c>
      <c r="AM30" s="138">
        <f t="shared" si="8"/>
        <v>1671.376101632</v>
      </c>
      <c r="AN30" s="139">
        <f t="shared" si="9"/>
        <v>1664.6452203519998</v>
      </c>
      <c r="AO30" s="139">
        <f t="shared" si="10"/>
        <v>1698.3738030080001</v>
      </c>
      <c r="AP30" s="140">
        <v>8.9700000000000006</v>
      </c>
      <c r="AQ30" s="141">
        <v>8.92</v>
      </c>
      <c r="AR30" s="141">
        <v>9.18</v>
      </c>
      <c r="AS30" s="138">
        <f t="shared" si="11"/>
        <v>22.3202304</v>
      </c>
      <c r="AT30" s="139">
        <f t="shared" si="12"/>
        <v>22.195814399999993</v>
      </c>
      <c r="AU30" s="139">
        <f t="shared" si="13"/>
        <v>22.842777599999998</v>
      </c>
    </row>
    <row r="31" spans="1:47" ht="14.25" customHeight="1" x14ac:dyDescent="0.25">
      <c r="A31" s="35" t="s">
        <v>77</v>
      </c>
      <c r="B31" s="120" t="s">
        <v>333</v>
      </c>
      <c r="C31" s="142" t="s">
        <v>288</v>
      </c>
      <c r="D31" s="135" t="str">
        <f>IF(ISNUMBER(MATCH(Table21[[#This Row],[General]],COVENANTS!$A$2:$A$100,0)), "Y","N")</f>
        <v>N</v>
      </c>
      <c r="E31" s="135" t="str">
        <f>IF(ISNUMBER(MATCH(Table21[[#This Row],[General]],COVENANTS!$B$2:$B$100,0)), "Y","N")</f>
        <v>N</v>
      </c>
      <c r="F31" s="135" t="str">
        <f>IF(ISNUMBER(MATCH(Table21[[#This Row],[General]],COVENANTS!$C$2:$C$100,0)), "Y","N")</f>
        <v>N</v>
      </c>
      <c r="G31" s="135" t="str">
        <f>IF(ISNUMBER(MATCH(Table21[[#This Row],[General]],COVENANTS!$D$2:$D$100,0)), "Y","N")</f>
        <v>N</v>
      </c>
      <c r="H31" s="122">
        <v>0</v>
      </c>
      <c r="I31" s="123">
        <v>25</v>
      </c>
      <c r="J31" s="123">
        <v>25</v>
      </c>
      <c r="K31" s="123">
        <v>12</v>
      </c>
      <c r="L31" s="122">
        <v>35</v>
      </c>
      <c r="M31" s="123">
        <v>0</v>
      </c>
      <c r="N31" s="123">
        <v>0</v>
      </c>
      <c r="O31" s="123">
        <v>0</v>
      </c>
      <c r="P31" s="122">
        <v>60</v>
      </c>
      <c r="Q31" s="123">
        <v>25</v>
      </c>
      <c r="R31" s="123">
        <v>25</v>
      </c>
      <c r="S31" s="123">
        <v>10</v>
      </c>
      <c r="T31" s="122">
        <v>46</v>
      </c>
      <c r="U31" s="123">
        <v>36</v>
      </c>
      <c r="V31" s="123">
        <v>0</v>
      </c>
      <c r="W31" s="123">
        <v>6</v>
      </c>
      <c r="X31" s="122">
        <v>0</v>
      </c>
      <c r="Y31" s="123">
        <v>0</v>
      </c>
      <c r="Z31" s="123">
        <v>0</v>
      </c>
      <c r="AA31" s="123">
        <v>0</v>
      </c>
      <c r="AB31" s="136">
        <f t="shared" si="0"/>
        <v>218.12551895039996</v>
      </c>
      <c r="AC31" s="137">
        <f t="shared" si="1"/>
        <v>214.81200168959992</v>
      </c>
      <c r="AD31" s="137">
        <f t="shared" si="2"/>
        <v>214.81200168959992</v>
      </c>
      <c r="AE31" s="122">
        <f t="shared" si="3"/>
        <v>324.12551895039996</v>
      </c>
      <c r="AF31" s="123">
        <f t="shared" si="4"/>
        <v>275.81200168959992</v>
      </c>
      <c r="AG31" s="123">
        <f t="shared" si="5"/>
        <v>239.81200168959992</v>
      </c>
      <c r="AH31" s="123">
        <f t="shared" si="6"/>
        <v>16</v>
      </c>
      <c r="AI31" s="298">
        <f t="shared" si="7"/>
        <v>28326839582.923584</v>
      </c>
      <c r="AJ31" s="122">
        <v>106</v>
      </c>
      <c r="AK31" s="123">
        <v>100</v>
      </c>
      <c r="AL31" s="123">
        <v>100</v>
      </c>
      <c r="AM31" s="138">
        <f t="shared" si="8"/>
        <v>1540.6275947519998</v>
      </c>
      <c r="AN31" s="139">
        <f t="shared" si="9"/>
        <v>1524.0600084479995</v>
      </c>
      <c r="AO31" s="139">
        <f t="shared" si="10"/>
        <v>1524.0600084479995</v>
      </c>
      <c r="AP31" s="140">
        <v>7.92</v>
      </c>
      <c r="AQ31" s="141">
        <v>7.83</v>
      </c>
      <c r="AR31" s="141">
        <v>7.83</v>
      </c>
      <c r="AS31" s="138">
        <f t="shared" si="11"/>
        <v>19.707494399999998</v>
      </c>
      <c r="AT31" s="139">
        <f t="shared" si="12"/>
        <v>19.483545599999992</v>
      </c>
      <c r="AU31" s="139">
        <f t="shared" si="13"/>
        <v>19.483545599999992</v>
      </c>
    </row>
    <row r="32" spans="1:47" ht="14.25" customHeight="1" x14ac:dyDescent="0.25">
      <c r="A32" s="35" t="s">
        <v>78</v>
      </c>
      <c r="B32" s="120" t="s">
        <v>332</v>
      </c>
      <c r="C32" s="142" t="s">
        <v>300</v>
      </c>
      <c r="D32" s="135" t="str">
        <f>IF(ISNUMBER(MATCH(Table21[[#This Row],[General]],COVENANTS!$A$2:$A$100,0)), "Y","N")</f>
        <v>N</v>
      </c>
      <c r="E32" s="135" t="str">
        <f>IF(ISNUMBER(MATCH(Table21[[#This Row],[General]],COVENANTS!$B$2:$B$100,0)), "Y","N")</f>
        <v>Y</v>
      </c>
      <c r="F32" s="135" t="str">
        <f>IF(ISNUMBER(MATCH(Table21[[#This Row],[General]],COVENANTS!$C$2:$C$100,0)), "Y","N")</f>
        <v>Y</v>
      </c>
      <c r="G32" s="135" t="str">
        <f>IF(ISNUMBER(MATCH(Table21[[#This Row],[General]],COVENANTS!$D$2:$D$100,0)), "Y","N")</f>
        <v>N</v>
      </c>
      <c r="H32" s="122">
        <v>25</v>
      </c>
      <c r="I32" s="123">
        <v>25</v>
      </c>
      <c r="J32" s="123">
        <v>25</v>
      </c>
      <c r="K32" s="123">
        <v>12</v>
      </c>
      <c r="L32" s="122">
        <v>10</v>
      </c>
      <c r="M32" s="123"/>
      <c r="N32" s="123"/>
      <c r="O32" s="123">
        <v>10</v>
      </c>
      <c r="P32" s="122">
        <v>25</v>
      </c>
      <c r="Q32" s="123">
        <v>15</v>
      </c>
      <c r="R32" s="123">
        <v>15</v>
      </c>
      <c r="S32" s="123">
        <v>10</v>
      </c>
      <c r="T32" s="122">
        <v>50</v>
      </c>
      <c r="U32" s="123"/>
      <c r="V32" s="123">
        <v>10</v>
      </c>
      <c r="W32" s="123">
        <v>10</v>
      </c>
      <c r="X32" s="122">
        <v>0</v>
      </c>
      <c r="Y32" s="123">
        <v>0</v>
      </c>
      <c r="Z32" s="123">
        <v>0</v>
      </c>
      <c r="AA32" s="123">
        <v>0</v>
      </c>
      <c r="AB32" s="136">
        <f t="shared" si="0"/>
        <v>227.33675274239991</v>
      </c>
      <c r="AC32" s="137">
        <f t="shared" si="1"/>
        <v>227.77558799359994</v>
      </c>
      <c r="AD32" s="137">
        <f t="shared" si="2"/>
        <v>241.35603256320002</v>
      </c>
      <c r="AE32" s="122">
        <f t="shared" si="3"/>
        <v>302.33675274239988</v>
      </c>
      <c r="AF32" s="123">
        <f t="shared" si="4"/>
        <v>242.77558799359994</v>
      </c>
      <c r="AG32" s="123">
        <f t="shared" si="5"/>
        <v>266.35603256320002</v>
      </c>
      <c r="AH32" s="123">
        <f t="shared" si="6"/>
        <v>20</v>
      </c>
      <c r="AI32" s="298">
        <f t="shared" si="7"/>
        <v>27942202596.620544</v>
      </c>
      <c r="AJ32" s="122">
        <v>112</v>
      </c>
      <c r="AK32" s="123">
        <v>113</v>
      </c>
      <c r="AL32" s="123">
        <v>115</v>
      </c>
      <c r="AM32" s="138">
        <f t="shared" si="8"/>
        <v>1586.6837637119995</v>
      </c>
      <c r="AN32" s="139">
        <f t="shared" si="9"/>
        <v>1588.8779399679997</v>
      </c>
      <c r="AO32" s="139">
        <f t="shared" si="10"/>
        <v>1656.780162816</v>
      </c>
      <c r="AP32" s="140">
        <v>8.27</v>
      </c>
      <c r="AQ32" s="141">
        <v>8.2799999999999994</v>
      </c>
      <c r="AR32" s="141">
        <v>8.86</v>
      </c>
      <c r="AS32" s="138">
        <f t="shared" si="11"/>
        <v>20.578406399999995</v>
      </c>
      <c r="AT32" s="139">
        <f t="shared" si="12"/>
        <v>20.603289599999997</v>
      </c>
      <c r="AU32" s="139">
        <f t="shared" si="13"/>
        <v>22.046515199999998</v>
      </c>
    </row>
    <row r="33" spans="1:47" ht="14.25" customHeight="1" x14ac:dyDescent="0.25">
      <c r="A33" s="35" t="s">
        <v>79</v>
      </c>
      <c r="B33" s="120" t="s">
        <v>333</v>
      </c>
      <c r="C33" s="121" t="s">
        <v>188</v>
      </c>
      <c r="D33" s="135" t="str">
        <f>IF(ISNUMBER(MATCH(Table21[[#This Row],[General]],COVENANTS!$A$2:$A$100,0)), "Y","N")</f>
        <v>N</v>
      </c>
      <c r="E33" s="135" t="str">
        <f>IF(ISNUMBER(MATCH(Table21[[#This Row],[General]],COVENANTS!$B$2:$B$100,0)), "Y","N")</f>
        <v>N</v>
      </c>
      <c r="F33" s="135" t="str">
        <f>IF(ISNUMBER(MATCH(Table21[[#This Row],[General]],COVENANTS!$C$2:$C$100,0)), "Y","N")</f>
        <v>Y</v>
      </c>
      <c r="G33" s="135" t="str">
        <f>IF(ISNUMBER(MATCH(Table21[[#This Row],[General]],COVENANTS!$D$2:$D$100,0)), "Y","N")</f>
        <v>N</v>
      </c>
      <c r="H33" s="122">
        <v>0</v>
      </c>
      <c r="I33" s="123">
        <v>25</v>
      </c>
      <c r="J33" s="123">
        <v>25</v>
      </c>
      <c r="K33" s="123">
        <v>12</v>
      </c>
      <c r="L33" s="122">
        <v>40</v>
      </c>
      <c r="M33" s="123">
        <v>0</v>
      </c>
      <c r="N33" s="123">
        <v>0</v>
      </c>
      <c r="O33" s="123">
        <v>0</v>
      </c>
      <c r="P33" s="122">
        <v>65</v>
      </c>
      <c r="Q33" s="123">
        <v>35</v>
      </c>
      <c r="R33" s="123">
        <v>35</v>
      </c>
      <c r="S33" s="123">
        <v>0</v>
      </c>
      <c r="T33" s="122">
        <v>55</v>
      </c>
      <c r="U33" s="123">
        <v>30</v>
      </c>
      <c r="V33" s="123">
        <v>40</v>
      </c>
      <c r="W33" s="123">
        <v>6</v>
      </c>
      <c r="X33" s="122">
        <v>0</v>
      </c>
      <c r="Y33" s="123">
        <v>0</v>
      </c>
      <c r="Z33" s="123">
        <v>0</v>
      </c>
      <c r="AA33" s="123">
        <v>0</v>
      </c>
      <c r="AB33" s="136">
        <f t="shared" si="0"/>
        <v>243.33820881919993</v>
      </c>
      <c r="AC33" s="137">
        <f t="shared" si="1"/>
        <v>240.88752680960002</v>
      </c>
      <c r="AD33" s="137">
        <f t="shared" si="2"/>
        <v>246.31673758720001</v>
      </c>
      <c r="AE33" s="122">
        <f t="shared" si="3"/>
        <v>363.33820881919996</v>
      </c>
      <c r="AF33" s="123">
        <f t="shared" si="4"/>
        <v>305.88752680959999</v>
      </c>
      <c r="AG33" s="123">
        <f t="shared" si="5"/>
        <v>321.31673758720001</v>
      </c>
      <c r="AH33" s="123">
        <f t="shared" si="6"/>
        <v>6</v>
      </c>
      <c r="AI33" s="298">
        <f t="shared" si="7"/>
        <v>28079287869.476929</v>
      </c>
      <c r="AJ33" s="122">
        <v>119</v>
      </c>
      <c r="AK33" s="123">
        <v>116</v>
      </c>
      <c r="AL33" s="123">
        <v>117</v>
      </c>
      <c r="AM33" s="138">
        <f t="shared" si="8"/>
        <v>1666.6910440959996</v>
      </c>
      <c r="AN33" s="139">
        <f t="shared" si="9"/>
        <v>1654.4376340480001</v>
      </c>
      <c r="AO33" s="139">
        <f t="shared" si="10"/>
        <v>1681.5836879359999</v>
      </c>
      <c r="AP33" s="140">
        <v>8.91</v>
      </c>
      <c r="AQ33" s="141">
        <v>8.83</v>
      </c>
      <c r="AR33" s="141">
        <v>9.06</v>
      </c>
      <c r="AS33" s="138">
        <f t="shared" si="11"/>
        <v>22.170931199999995</v>
      </c>
      <c r="AT33" s="139">
        <f t="shared" si="12"/>
        <v>21.971865599999997</v>
      </c>
      <c r="AU33" s="139">
        <f t="shared" si="13"/>
        <v>22.544179199999999</v>
      </c>
    </row>
    <row r="34" spans="1:47" ht="14.25" customHeight="1" x14ac:dyDescent="0.25">
      <c r="A34" s="35" t="s">
        <v>80</v>
      </c>
      <c r="B34" s="120" t="s">
        <v>333</v>
      </c>
      <c r="C34" s="121" t="s">
        <v>192</v>
      </c>
      <c r="D34" s="135" t="str">
        <f>IF(ISNUMBER(MATCH(Table21[[#This Row],[General]],COVENANTS!$A$2:$A$100,0)), "Y","N")</f>
        <v>N</v>
      </c>
      <c r="E34" s="135" t="str">
        <f>IF(ISNUMBER(MATCH(Table21[[#This Row],[General]],COVENANTS!$B$2:$B$100,0)), "Y","N")</f>
        <v>N</v>
      </c>
      <c r="F34" s="135" t="str">
        <f>IF(ISNUMBER(MATCH(Table21[[#This Row],[General]],COVENANTS!$C$2:$C$100,0)), "Y","N")</f>
        <v>N</v>
      </c>
      <c r="G34" s="135" t="str">
        <f>IF(ISNUMBER(MATCH(Table21[[#This Row],[General]],COVENANTS!$D$2:$D$100,0)), "Y","N")</f>
        <v>Y</v>
      </c>
      <c r="H34" s="122">
        <v>25</v>
      </c>
      <c r="I34" s="123">
        <v>25</v>
      </c>
      <c r="J34" s="123">
        <v>25</v>
      </c>
      <c r="K34" s="123">
        <v>12</v>
      </c>
      <c r="L34" s="122">
        <v>40</v>
      </c>
      <c r="M34" s="123">
        <v>30</v>
      </c>
      <c r="N34" s="123">
        <v>0</v>
      </c>
      <c r="O34" s="123">
        <v>0</v>
      </c>
      <c r="P34" s="122">
        <v>75</v>
      </c>
      <c r="Q34" s="123">
        <v>70</v>
      </c>
      <c r="R34" s="123">
        <v>55</v>
      </c>
      <c r="S34" s="123">
        <v>0</v>
      </c>
      <c r="T34" s="122">
        <v>65</v>
      </c>
      <c r="U34" s="123">
        <v>20</v>
      </c>
      <c r="V34" s="123">
        <v>35</v>
      </c>
      <c r="W34" s="123">
        <v>0</v>
      </c>
      <c r="X34" s="122">
        <v>0</v>
      </c>
      <c r="Y34" s="123">
        <v>0</v>
      </c>
      <c r="Z34" s="123">
        <v>0</v>
      </c>
      <c r="AA34" s="123">
        <v>0</v>
      </c>
      <c r="AB34" s="136">
        <f t="shared" si="0"/>
        <v>245.60656133119994</v>
      </c>
      <c r="AC34" s="137">
        <f t="shared" si="1"/>
        <v>244.95572607999998</v>
      </c>
      <c r="AD34" s="137">
        <f t="shared" si="2"/>
        <v>238.3775037952</v>
      </c>
      <c r="AE34" s="122">
        <f t="shared" si="3"/>
        <v>385.60656133119994</v>
      </c>
      <c r="AF34" s="123">
        <f t="shared" si="4"/>
        <v>334.95572607999998</v>
      </c>
      <c r="AG34" s="123">
        <f t="shared" si="5"/>
        <v>328.37750379520003</v>
      </c>
      <c r="AH34" s="123">
        <f t="shared" si="6"/>
        <v>0</v>
      </c>
      <c r="AI34" s="298">
        <f t="shared" si="7"/>
        <v>27791798558.429901</v>
      </c>
      <c r="AJ34" s="122">
        <v>119</v>
      </c>
      <c r="AK34" s="123">
        <v>117</v>
      </c>
      <c r="AL34" s="123">
        <v>117</v>
      </c>
      <c r="AM34" s="138">
        <f t="shared" si="8"/>
        <v>1678.0328066559996</v>
      </c>
      <c r="AN34" s="139">
        <f t="shared" si="9"/>
        <v>1674.7786303999999</v>
      </c>
      <c r="AO34" s="139">
        <f t="shared" si="10"/>
        <v>1641.8875189759999</v>
      </c>
      <c r="AP34" s="140">
        <v>9.01</v>
      </c>
      <c r="AQ34" s="141">
        <v>9</v>
      </c>
      <c r="AR34" s="141">
        <v>8.7100000000000009</v>
      </c>
      <c r="AS34" s="138">
        <f t="shared" si="11"/>
        <v>22.419763199999995</v>
      </c>
      <c r="AT34" s="139">
        <f t="shared" si="12"/>
        <v>22.394879999999997</v>
      </c>
      <c r="AU34" s="139">
        <f t="shared" si="13"/>
        <v>21.673267199999994</v>
      </c>
    </row>
    <row r="35" spans="1:47" ht="14.25" customHeight="1" x14ac:dyDescent="0.25">
      <c r="A35" s="35" t="s">
        <v>81</v>
      </c>
      <c r="B35" s="120" t="s">
        <v>333</v>
      </c>
      <c r="C35" s="142" t="s">
        <v>189</v>
      </c>
      <c r="D35" s="135" t="str">
        <f>IF(ISNUMBER(MATCH(Table21[[#This Row],[General]],COVENANTS!$A$2:$A$100,0)), "Y","N")</f>
        <v>N</v>
      </c>
      <c r="E35" s="135" t="str">
        <f>IF(ISNUMBER(MATCH(Table21[[#This Row],[General]],COVENANTS!$B$2:$B$100,0)), "Y","N")</f>
        <v>N</v>
      </c>
      <c r="F35" s="135" t="str">
        <f>IF(ISNUMBER(MATCH(Table21[[#This Row],[General]],COVENANTS!$C$2:$C$100,0)), "Y","N")</f>
        <v>N</v>
      </c>
      <c r="G35" s="135" t="str">
        <f>IF(ISNUMBER(MATCH(Table21[[#This Row],[General]],COVENANTS!$D$2:$D$100,0)), "Y","N")</f>
        <v>N</v>
      </c>
      <c r="H35" s="122">
        <v>25</v>
      </c>
      <c r="I35" s="123">
        <v>25</v>
      </c>
      <c r="J35" s="123">
        <v>25</v>
      </c>
      <c r="K35" s="123">
        <v>12</v>
      </c>
      <c r="L35" s="122">
        <v>20</v>
      </c>
      <c r="M35" s="123">
        <v>0</v>
      </c>
      <c r="N35" s="123">
        <v>0</v>
      </c>
      <c r="O35" s="123">
        <v>0</v>
      </c>
      <c r="P35" s="122">
        <v>50</v>
      </c>
      <c r="Q35" s="123">
        <v>0</v>
      </c>
      <c r="R35" s="123">
        <v>0</v>
      </c>
      <c r="S35" s="123">
        <v>10</v>
      </c>
      <c r="T35" s="122">
        <v>50</v>
      </c>
      <c r="U35" s="123">
        <v>10</v>
      </c>
      <c r="V35" s="123">
        <v>20</v>
      </c>
      <c r="W35" s="123">
        <v>0</v>
      </c>
      <c r="X35" s="122">
        <v>0</v>
      </c>
      <c r="Y35" s="123">
        <v>0</v>
      </c>
      <c r="Z35" s="123">
        <v>0</v>
      </c>
      <c r="AA35" s="123">
        <v>0</v>
      </c>
      <c r="AB35" s="136">
        <f t="shared" ref="AB35:AB51" si="14">900*0.1+(AM35-900)*0.2</f>
        <v>233.68813977599993</v>
      </c>
      <c r="AC35" s="137">
        <f t="shared" ref="AC35:AC51" si="15">900*0.1+(AN35-900)*0.2</f>
        <v>224.88607073279999</v>
      </c>
      <c r="AD35" s="137">
        <f t="shared" ref="AD35:AD51" si="16">900*0.1+(AO35-900)*0.2</f>
        <v>252.25895987199993</v>
      </c>
      <c r="AE35" s="122">
        <f t="shared" ref="AE35:AE51" si="17">P35+T35+X35+AB35</f>
        <v>333.68813977599996</v>
      </c>
      <c r="AF35" s="123">
        <f t="shared" ref="AF35:AF51" si="18">Q35+U35+Y35+AC35</f>
        <v>234.88607073279999</v>
      </c>
      <c r="AG35" s="123">
        <f t="shared" ref="AG35:AG51" si="19">R35+V35+Z35+AD35</f>
        <v>272.25895987199993</v>
      </c>
      <c r="AH35" s="123">
        <f t="shared" ref="AH35:AH51" si="20">S35+W35+AA35</f>
        <v>10</v>
      </c>
      <c r="AI35" s="298">
        <f t="shared" ref="AI35:AI51" si="21">(AW$2*(AH35/100)+AW$2+AW$3)*(AX$2*(AE35/100)+AX$2+AX$3)-AY$2</f>
        <v>27165979570.956421</v>
      </c>
      <c r="AJ35" s="122">
        <v>112</v>
      </c>
      <c r="AK35" s="123">
        <v>109</v>
      </c>
      <c r="AL35" s="123">
        <v>114</v>
      </c>
      <c r="AM35" s="138">
        <f t="shared" ref="AM35:AM51" si="22">(AJ35+AS35*(AX$9-1))+500+((AJ35+AS35*(AX$9-1))+500)*$AY$10</f>
        <v>1618.4406988799997</v>
      </c>
      <c r="AN35" s="139">
        <f t="shared" ref="AN35:AN51" si="23">(AK35+AT35*(AX$9-1))+500+((AK35+AT35*(AX$9-1))+500)*$AY$10</f>
        <v>1574.430353664</v>
      </c>
      <c r="AO35" s="139">
        <f t="shared" ref="AO35:AO51" si="24">(AL35+AU35*(AX$9-1))+500+((AL35+AU35*(AX$9-1))+500)*$AY$10</f>
        <v>1711.2947993599996</v>
      </c>
      <c r="AP35" s="140">
        <v>8.5500000000000007</v>
      </c>
      <c r="AQ35" s="141">
        <v>8.19</v>
      </c>
      <c r="AR35" s="141">
        <v>9.35</v>
      </c>
      <c r="AS35" s="138">
        <f t="shared" ref="AS35:AS51" si="25">(((((1+20/100)*$AP35)*(1+20/100)))*(1+20/100))*(1+20/100)*(1+20/100)</f>
        <v>21.275135999999993</v>
      </c>
      <c r="AT35" s="139">
        <f t="shared" ref="AT35:AT51" si="26">(((((1+20/100)*$AQ35)*(1+20/100)))*(1+20/100))*(1+20/100)*(1+20/100)</f>
        <v>20.379340799999998</v>
      </c>
      <c r="AU35" s="139">
        <f t="shared" ref="AU35:AU51" si="27">(((((1+20/100)*$AR35)*(1+20/100)))*(1+20/100))*(1+20/100)*(1+20/100)</f>
        <v>23.265791999999994</v>
      </c>
    </row>
    <row r="36" spans="1:47" ht="14.25" customHeight="1" x14ac:dyDescent="0.25">
      <c r="A36" s="35" t="s">
        <v>207</v>
      </c>
      <c r="B36" s="120" t="s">
        <v>333</v>
      </c>
      <c r="C36" s="142" t="s">
        <v>26</v>
      </c>
      <c r="D36" s="135" t="str">
        <f>IF(ISNUMBER(MATCH(Table21[[#This Row],[General]],COVENANTS!$A$2:$A$100,0)), "Y","N")</f>
        <v>N</v>
      </c>
      <c r="E36" s="135" t="str">
        <f>IF(ISNUMBER(MATCH(Table21[[#This Row],[General]],COVENANTS!$B$2:$B$100,0)), "Y","N")</f>
        <v>Y</v>
      </c>
      <c r="F36" s="135" t="str">
        <f>IF(ISNUMBER(MATCH(Table21[[#This Row],[General]],COVENANTS!$C$2:$C$100,0)), "Y","N")</f>
        <v>N</v>
      </c>
      <c r="G36" s="135" t="str">
        <f>IF(ISNUMBER(MATCH(Table21[[#This Row],[General]],COVENANTS!$D$2:$D$100,0)), "Y","N")</f>
        <v>N</v>
      </c>
      <c r="H36" s="122">
        <v>25</v>
      </c>
      <c r="I36" s="123">
        <v>25</v>
      </c>
      <c r="J36" s="123">
        <v>25</v>
      </c>
      <c r="K36" s="123">
        <v>12</v>
      </c>
      <c r="L36" s="122">
        <v>20</v>
      </c>
      <c r="M36" s="123">
        <v>0</v>
      </c>
      <c r="N36" s="123">
        <v>0</v>
      </c>
      <c r="O36" s="123">
        <v>0</v>
      </c>
      <c r="P36" s="122">
        <v>45</v>
      </c>
      <c r="Q36" s="123">
        <v>0</v>
      </c>
      <c r="R36" s="123">
        <v>0</v>
      </c>
      <c r="S36" s="123">
        <v>10</v>
      </c>
      <c r="T36" s="122">
        <v>46</v>
      </c>
      <c r="U36" s="123">
        <v>0</v>
      </c>
      <c r="V36" s="123">
        <v>36</v>
      </c>
      <c r="W36" s="123">
        <v>0</v>
      </c>
      <c r="X36" s="122">
        <v>0</v>
      </c>
      <c r="Y36" s="123">
        <v>0</v>
      </c>
      <c r="Z36" s="123">
        <v>0</v>
      </c>
      <c r="AA36" s="123">
        <v>0</v>
      </c>
      <c r="AB36" s="136">
        <f t="shared" si="14"/>
        <v>236.62216279039998</v>
      </c>
      <c r="AC36" s="137">
        <f t="shared" si="15"/>
        <v>236.89350379519996</v>
      </c>
      <c r="AD36" s="137">
        <f t="shared" si="16"/>
        <v>227.4702700032</v>
      </c>
      <c r="AE36" s="122">
        <f t="shared" si="17"/>
        <v>327.62216279040001</v>
      </c>
      <c r="AF36" s="123">
        <f t="shared" si="18"/>
        <v>236.89350379519996</v>
      </c>
      <c r="AG36" s="123">
        <f t="shared" si="19"/>
        <v>263.47027000319997</v>
      </c>
      <c r="AH36" s="123">
        <f t="shared" si="20"/>
        <v>10</v>
      </c>
      <c r="AI36" s="298">
        <f t="shared" si="21"/>
        <v>26721019898.699554</v>
      </c>
      <c r="AJ36" s="122">
        <v>113</v>
      </c>
      <c r="AK36" s="123">
        <v>110</v>
      </c>
      <c r="AL36" s="123">
        <v>103</v>
      </c>
      <c r="AM36" s="138">
        <f t="shared" si="22"/>
        <v>1633.1108139519999</v>
      </c>
      <c r="AN36" s="139">
        <f t="shared" si="23"/>
        <v>1634.4675189759998</v>
      </c>
      <c r="AO36" s="139">
        <f t="shared" si="24"/>
        <v>1587.351350016</v>
      </c>
      <c r="AP36" s="140">
        <v>8.67</v>
      </c>
      <c r="AQ36" s="141">
        <v>8.7100000000000009</v>
      </c>
      <c r="AR36" s="141">
        <v>8.36</v>
      </c>
      <c r="AS36" s="138">
        <f t="shared" si="25"/>
        <v>21.573734399999999</v>
      </c>
      <c r="AT36" s="139">
        <f t="shared" si="26"/>
        <v>21.673267199999994</v>
      </c>
      <c r="AU36" s="139">
        <f t="shared" si="27"/>
        <v>20.802355199999994</v>
      </c>
    </row>
    <row r="37" spans="1:47" ht="14.25" customHeight="1" x14ac:dyDescent="0.25">
      <c r="A37" s="35" t="s">
        <v>210</v>
      </c>
      <c r="B37" s="120" t="s">
        <v>332</v>
      </c>
      <c r="C37" s="142" t="s">
        <v>193</v>
      </c>
      <c r="D37" s="135" t="str">
        <f>IF(ISNUMBER(MATCH(Table21[[#This Row],[General]],COVENANTS!$A$2:$A$100,0)), "Y","N")</f>
        <v>N</v>
      </c>
      <c r="E37" s="135" t="str">
        <f>IF(ISNUMBER(MATCH(Table21[[#This Row],[General]],COVENANTS!$B$2:$B$100,0)), "Y","N")</f>
        <v>N</v>
      </c>
      <c r="F37" s="135" t="str">
        <f>IF(ISNUMBER(MATCH(Table21[[#This Row],[General]],COVENANTS!$C$2:$C$100,0)), "Y","N")</f>
        <v>N</v>
      </c>
      <c r="G37" s="135" t="str">
        <f>IF(ISNUMBER(MATCH(Table21[[#This Row],[General]],COVENANTS!$D$2:$D$100,0)), "Y","N")</f>
        <v>N</v>
      </c>
      <c r="H37" s="122">
        <v>25</v>
      </c>
      <c r="I37" s="123">
        <v>25</v>
      </c>
      <c r="J37" s="123">
        <v>25</v>
      </c>
      <c r="K37" s="123">
        <v>12</v>
      </c>
      <c r="L37" s="122">
        <v>20</v>
      </c>
      <c r="M37" s="123">
        <v>0</v>
      </c>
      <c r="N37" s="123">
        <v>0</v>
      </c>
      <c r="O37" s="123">
        <v>0</v>
      </c>
      <c r="P37" s="122">
        <v>60</v>
      </c>
      <c r="Q37" s="123">
        <v>15</v>
      </c>
      <c r="R37" s="123">
        <v>20</v>
      </c>
      <c r="S37" s="123">
        <v>0</v>
      </c>
      <c r="T37" s="122">
        <v>46</v>
      </c>
      <c r="U37" s="123">
        <v>0</v>
      </c>
      <c r="V37" s="123">
        <v>10</v>
      </c>
      <c r="W37" s="123">
        <v>6</v>
      </c>
      <c r="X37" s="122">
        <v>0</v>
      </c>
      <c r="Y37" s="123">
        <v>0</v>
      </c>
      <c r="Z37" s="123">
        <v>0</v>
      </c>
      <c r="AA37" s="123">
        <v>0</v>
      </c>
      <c r="AB37" s="136">
        <f t="shared" si="14"/>
        <v>237.95350379519996</v>
      </c>
      <c r="AC37" s="137">
        <f t="shared" si="15"/>
        <v>232.14479877120002</v>
      </c>
      <c r="AD37" s="137">
        <f t="shared" si="16"/>
        <v>241.89871457279992</v>
      </c>
      <c r="AE37" s="122">
        <f t="shared" si="17"/>
        <v>343.95350379519994</v>
      </c>
      <c r="AF37" s="123">
        <f t="shared" si="18"/>
        <v>247.14479877120002</v>
      </c>
      <c r="AG37" s="123">
        <f t="shared" si="19"/>
        <v>271.89871457279992</v>
      </c>
      <c r="AH37" s="123">
        <f t="shared" si="20"/>
        <v>6</v>
      </c>
      <c r="AI37" s="298">
        <f t="shared" si="21"/>
        <v>26667283081.576874</v>
      </c>
      <c r="AJ37" s="122">
        <v>115</v>
      </c>
      <c r="AK37" s="123">
        <v>109</v>
      </c>
      <c r="AL37" s="123">
        <v>109</v>
      </c>
      <c r="AM37" s="138">
        <f t="shared" si="22"/>
        <v>1639.7675189759998</v>
      </c>
      <c r="AN37" s="139">
        <f t="shared" si="23"/>
        <v>1610.7239938560001</v>
      </c>
      <c r="AO37" s="139">
        <f t="shared" si="24"/>
        <v>1659.4935728639996</v>
      </c>
      <c r="AP37" s="140">
        <v>8.7100000000000009</v>
      </c>
      <c r="AQ37" s="141">
        <v>8.51</v>
      </c>
      <c r="AR37" s="141">
        <v>8.94</v>
      </c>
      <c r="AS37" s="138">
        <f t="shared" si="25"/>
        <v>21.673267199999994</v>
      </c>
      <c r="AT37" s="139">
        <f t="shared" si="26"/>
        <v>21.175603199999998</v>
      </c>
      <c r="AU37" s="139">
        <f t="shared" si="27"/>
        <v>22.245580799999995</v>
      </c>
    </row>
    <row r="38" spans="1:47" ht="14.25" customHeight="1" x14ac:dyDescent="0.25">
      <c r="A38" s="35" t="s">
        <v>211</v>
      </c>
      <c r="B38" s="120" t="s">
        <v>333</v>
      </c>
      <c r="C38" s="142" t="s">
        <v>302</v>
      </c>
      <c r="D38" s="135" t="str">
        <f>IF(ISNUMBER(MATCH(Table21[[#This Row],[General]],COVENANTS!$A$2:$A$100,0)), "Y","N")</f>
        <v>N</v>
      </c>
      <c r="E38" s="135" t="str">
        <f>IF(ISNUMBER(MATCH(Table21[[#This Row],[General]],COVENANTS!$B$2:$B$100,0)), "Y","N")</f>
        <v>Y</v>
      </c>
      <c r="F38" s="135" t="str">
        <f>IF(ISNUMBER(MATCH(Table21[[#This Row],[General]],COVENANTS!$C$2:$C$100,0)), "Y","N")</f>
        <v>N</v>
      </c>
      <c r="G38" s="135" t="str">
        <f>IF(ISNUMBER(MATCH(Table21[[#This Row],[General]],COVENANTS!$D$2:$D$100,0)), "Y","N")</f>
        <v>N</v>
      </c>
      <c r="H38" s="122">
        <v>25</v>
      </c>
      <c r="I38" s="123">
        <v>25</v>
      </c>
      <c r="J38" s="123">
        <v>25</v>
      </c>
      <c r="K38" s="123">
        <v>12</v>
      </c>
      <c r="L38" s="122">
        <v>15</v>
      </c>
      <c r="M38" s="123">
        <v>0</v>
      </c>
      <c r="N38" s="123">
        <v>0</v>
      </c>
      <c r="O38" s="123">
        <v>0</v>
      </c>
      <c r="P38" s="122">
        <v>40</v>
      </c>
      <c r="Q38" s="123">
        <v>0</v>
      </c>
      <c r="R38" s="123">
        <v>0</v>
      </c>
      <c r="S38" s="123">
        <v>10</v>
      </c>
      <c r="T38" s="122">
        <v>46</v>
      </c>
      <c r="U38" s="123">
        <v>10</v>
      </c>
      <c r="V38" s="123">
        <v>36</v>
      </c>
      <c r="W38" s="123"/>
      <c r="X38" s="122"/>
      <c r="Y38" s="123"/>
      <c r="Z38" s="123"/>
      <c r="AA38" s="123"/>
      <c r="AB38" s="136">
        <f t="shared" si="14"/>
        <v>237.49983329279991</v>
      </c>
      <c r="AC38" s="137">
        <f t="shared" si="15"/>
        <v>223.95958799359997</v>
      </c>
      <c r="AD38" s="137">
        <f t="shared" si="16"/>
        <v>242.17005557759995</v>
      </c>
      <c r="AE38" s="122">
        <f t="shared" si="17"/>
        <v>323.49983329279991</v>
      </c>
      <c r="AF38" s="123">
        <f t="shared" si="18"/>
        <v>233.95958799359997</v>
      </c>
      <c r="AG38" s="123">
        <f t="shared" si="19"/>
        <v>278.17005557759995</v>
      </c>
      <c r="AH38" s="123">
        <f t="shared" si="20"/>
        <v>10</v>
      </c>
      <c r="AI38" s="298">
        <f t="shared" si="21"/>
        <v>26418633261.470062</v>
      </c>
      <c r="AJ38" s="122">
        <v>115</v>
      </c>
      <c r="AK38" s="123">
        <v>95</v>
      </c>
      <c r="AL38" s="123">
        <v>106</v>
      </c>
      <c r="AM38" s="138">
        <f t="shared" si="22"/>
        <v>1637.4991664639995</v>
      </c>
      <c r="AN38" s="139">
        <f t="shared" si="23"/>
        <v>1569.7979399679998</v>
      </c>
      <c r="AO38" s="139">
        <f t="shared" si="24"/>
        <v>1660.8502778879997</v>
      </c>
      <c r="AP38" s="140">
        <v>8.69</v>
      </c>
      <c r="AQ38" s="141">
        <v>8.2799999999999994</v>
      </c>
      <c r="AR38" s="141">
        <v>8.98</v>
      </c>
      <c r="AS38" s="138">
        <f t="shared" si="25"/>
        <v>21.623500799999992</v>
      </c>
      <c r="AT38" s="139">
        <f t="shared" si="26"/>
        <v>20.603289599999997</v>
      </c>
      <c r="AU38" s="139">
        <f t="shared" si="27"/>
        <v>22.345113599999994</v>
      </c>
    </row>
    <row r="39" spans="1:47" ht="14.25" customHeight="1" x14ac:dyDescent="0.25">
      <c r="A39" s="35" t="s">
        <v>212</v>
      </c>
      <c r="B39" s="120" t="s">
        <v>332</v>
      </c>
      <c r="C39" s="142" t="s">
        <v>510</v>
      </c>
      <c r="D39" s="135" t="str">
        <f>IF(ISNUMBER(MATCH(Table21[[#This Row],[General]],COVENANTS!$A$2:$A$100,0)), "Y","N")</f>
        <v>N</v>
      </c>
      <c r="E39" s="135" t="str">
        <f>IF(ISNUMBER(MATCH(Table21[[#This Row],[General]],COVENANTS!$B$2:$B$100,0)), "Y","N")</f>
        <v>Y</v>
      </c>
      <c r="F39" s="135" t="str">
        <f>IF(ISNUMBER(MATCH(Table21[[#This Row],[General]],COVENANTS!$C$2:$C$100,0)), "Y","N")</f>
        <v>N</v>
      </c>
      <c r="G39" s="135" t="str">
        <f>IF(ISNUMBER(MATCH(Table21[[#This Row],[General]],COVENANTS!$D$2:$D$100,0)), "Y","N")</f>
        <v>N</v>
      </c>
      <c r="H39" s="122">
        <v>25</v>
      </c>
      <c r="I39" s="123">
        <v>25</v>
      </c>
      <c r="J39" s="123">
        <v>25</v>
      </c>
      <c r="K39" s="123">
        <v>12</v>
      </c>
      <c r="L39" s="122">
        <v>20</v>
      </c>
      <c r="M39" s="123">
        <v>0</v>
      </c>
      <c r="N39" s="123">
        <v>0</v>
      </c>
      <c r="O39" s="123">
        <v>5</v>
      </c>
      <c r="P39" s="122">
        <v>50</v>
      </c>
      <c r="Q39" s="123">
        <v>20</v>
      </c>
      <c r="R39" s="123">
        <v>20</v>
      </c>
      <c r="S39" s="123">
        <v>5</v>
      </c>
      <c r="T39" s="122">
        <v>50</v>
      </c>
      <c r="U39" s="123">
        <v>10</v>
      </c>
      <c r="V39" s="123">
        <v>20</v>
      </c>
      <c r="W39" s="123">
        <v>0</v>
      </c>
      <c r="X39" s="122">
        <v>0</v>
      </c>
      <c r="Y39" s="123">
        <v>0</v>
      </c>
      <c r="Z39" s="123">
        <v>0</v>
      </c>
      <c r="AA39" s="123">
        <v>0</v>
      </c>
      <c r="AB39" s="136">
        <f t="shared" si="14"/>
        <v>240.87269155839999</v>
      </c>
      <c r="AC39" s="137">
        <f t="shared" si="15"/>
        <v>242.54954982399997</v>
      </c>
      <c r="AD39" s="137">
        <f t="shared" si="16"/>
        <v>238.07218580479989</v>
      </c>
      <c r="AE39" s="122">
        <f t="shared" si="17"/>
        <v>340.87269155839999</v>
      </c>
      <c r="AF39" s="123">
        <f t="shared" si="18"/>
        <v>272.549549824</v>
      </c>
      <c r="AG39" s="123">
        <f t="shared" si="19"/>
        <v>278.07218580479991</v>
      </c>
      <c r="AH39" s="123">
        <f t="shared" si="20"/>
        <v>5</v>
      </c>
      <c r="AI39" s="298">
        <f t="shared" si="21"/>
        <v>26130343743.462738</v>
      </c>
      <c r="AJ39" s="122">
        <v>117</v>
      </c>
      <c r="AK39" s="123">
        <v>111</v>
      </c>
      <c r="AL39" s="123">
        <v>107</v>
      </c>
      <c r="AM39" s="138">
        <f t="shared" si="22"/>
        <v>1654.363457792</v>
      </c>
      <c r="AN39" s="139">
        <f t="shared" si="23"/>
        <v>1662.7477491199998</v>
      </c>
      <c r="AO39" s="139">
        <f t="shared" si="24"/>
        <v>1640.3609290239995</v>
      </c>
      <c r="AP39" s="140">
        <v>8.82</v>
      </c>
      <c r="AQ39" s="141">
        <v>8.9499999999999993</v>
      </c>
      <c r="AR39" s="141">
        <v>8.7899999999999991</v>
      </c>
      <c r="AS39" s="138">
        <f t="shared" si="25"/>
        <v>21.946982399999996</v>
      </c>
      <c r="AT39" s="139">
        <f t="shared" si="26"/>
        <v>22.270463999999993</v>
      </c>
      <c r="AU39" s="139">
        <f t="shared" si="27"/>
        <v>21.872332799999992</v>
      </c>
    </row>
    <row r="40" spans="1:47" ht="14.25" customHeight="1" x14ac:dyDescent="0.25">
      <c r="A40" s="35" t="s">
        <v>213</v>
      </c>
      <c r="B40" s="120" t="s">
        <v>332</v>
      </c>
      <c r="C40" s="142" t="s">
        <v>190</v>
      </c>
      <c r="D40" s="135" t="str">
        <f>IF(ISNUMBER(MATCH(Table21[[#This Row],[General]],COVENANTS!$A$2:$A$100,0)), "Y","N")</f>
        <v>N</v>
      </c>
      <c r="E40" s="135" t="str">
        <f>IF(ISNUMBER(MATCH(Table21[[#This Row],[General]],COVENANTS!$B$2:$B$100,0)), "Y","N")</f>
        <v>Y</v>
      </c>
      <c r="F40" s="135" t="str">
        <f>IF(ISNUMBER(MATCH(Table21[[#This Row],[General]],COVENANTS!$C$2:$C$100,0)), "Y","N")</f>
        <v>N</v>
      </c>
      <c r="G40" s="135" t="str">
        <f>IF(ISNUMBER(MATCH(Table21[[#This Row],[General]],COVENANTS!$D$2:$D$100,0)), "Y","N")</f>
        <v>N</v>
      </c>
      <c r="H40" s="122">
        <v>25</v>
      </c>
      <c r="I40" s="123">
        <v>25</v>
      </c>
      <c r="J40" s="123">
        <v>25</v>
      </c>
      <c r="K40" s="123">
        <v>12</v>
      </c>
      <c r="L40" s="122">
        <v>15</v>
      </c>
      <c r="M40" s="123">
        <v>0</v>
      </c>
      <c r="N40" s="123">
        <v>0</v>
      </c>
      <c r="O40" s="123">
        <v>0</v>
      </c>
      <c r="P40" s="122">
        <v>30</v>
      </c>
      <c r="Q40" s="123">
        <v>10</v>
      </c>
      <c r="R40" s="123">
        <v>15</v>
      </c>
      <c r="S40" s="123">
        <v>14</v>
      </c>
      <c r="T40" s="122">
        <v>6</v>
      </c>
      <c r="U40" s="123">
        <v>0</v>
      </c>
      <c r="V40" s="123">
        <v>0</v>
      </c>
      <c r="W40" s="123">
        <v>6</v>
      </c>
      <c r="X40" s="122">
        <v>0</v>
      </c>
      <c r="Y40" s="123">
        <v>0</v>
      </c>
      <c r="Z40" s="123">
        <v>0</v>
      </c>
      <c r="AA40" s="123">
        <v>0</v>
      </c>
      <c r="AB40" s="136">
        <f t="shared" si="14"/>
        <v>236.62216279039998</v>
      </c>
      <c r="AC40" s="137">
        <f t="shared" si="15"/>
        <v>241.40053831679998</v>
      </c>
      <c r="AD40" s="137">
        <f t="shared" si="16"/>
        <v>249.11293685759995</v>
      </c>
      <c r="AE40" s="122">
        <f t="shared" si="17"/>
        <v>272.62216279040001</v>
      </c>
      <c r="AF40" s="123">
        <f t="shared" si="18"/>
        <v>251.40053831679998</v>
      </c>
      <c r="AG40" s="123">
        <f t="shared" si="19"/>
        <v>264.11293685759995</v>
      </c>
      <c r="AH40" s="123">
        <f t="shared" si="20"/>
        <v>20</v>
      </c>
      <c r="AI40" s="298">
        <f t="shared" si="21"/>
        <v>25724491615.936371</v>
      </c>
      <c r="AJ40" s="122">
        <v>113</v>
      </c>
      <c r="AK40" s="123">
        <v>112</v>
      </c>
      <c r="AL40" s="123">
        <v>112</v>
      </c>
      <c r="AM40" s="138">
        <f t="shared" si="22"/>
        <v>1633.1108139519999</v>
      </c>
      <c r="AN40" s="139">
        <f t="shared" si="23"/>
        <v>1657.0026915839999</v>
      </c>
      <c r="AO40" s="139">
        <f t="shared" si="24"/>
        <v>1695.5646842879996</v>
      </c>
      <c r="AP40" s="140">
        <v>8.67</v>
      </c>
      <c r="AQ40" s="141">
        <v>8.89</v>
      </c>
      <c r="AR40" s="141">
        <v>9.23</v>
      </c>
      <c r="AS40" s="138">
        <f t="shared" si="25"/>
        <v>21.573734399999999</v>
      </c>
      <c r="AT40" s="139">
        <f t="shared" si="26"/>
        <v>22.121164799999995</v>
      </c>
      <c r="AU40" s="139">
        <f t="shared" si="27"/>
        <v>22.967193599999998</v>
      </c>
    </row>
    <row r="41" spans="1:47" ht="14.25" customHeight="1" x14ac:dyDescent="0.25">
      <c r="A41" s="35" t="s">
        <v>214</v>
      </c>
      <c r="B41" s="120" t="s">
        <v>333</v>
      </c>
      <c r="C41" s="142" t="s">
        <v>191</v>
      </c>
      <c r="D41" s="135" t="str">
        <f>IF(ISNUMBER(MATCH(Table21[[#This Row],[General]],COVENANTS!$A$2:$A$100,0)), "Y","N")</f>
        <v>N</v>
      </c>
      <c r="E41" s="135" t="str">
        <f>IF(ISNUMBER(MATCH(Table21[[#This Row],[General]],COVENANTS!$B$2:$B$100,0)), "Y","N")</f>
        <v>N</v>
      </c>
      <c r="F41" s="135" t="str">
        <f>IF(ISNUMBER(MATCH(Table21[[#This Row],[General]],COVENANTS!$C$2:$C$100,0)), "Y","N")</f>
        <v>N</v>
      </c>
      <c r="G41" s="135" t="str">
        <f>IF(ISNUMBER(MATCH(Table21[[#This Row],[General]],COVENANTS!$D$2:$D$100,0)), "Y","N")</f>
        <v>N</v>
      </c>
      <c r="H41" s="122">
        <v>25</v>
      </c>
      <c r="I41" s="123">
        <v>25</v>
      </c>
      <c r="J41" s="123">
        <v>25</v>
      </c>
      <c r="K41" s="123">
        <v>12</v>
      </c>
      <c r="L41" s="122">
        <v>20</v>
      </c>
      <c r="M41" s="123">
        <v>0</v>
      </c>
      <c r="N41" s="123">
        <v>0</v>
      </c>
      <c r="O41" s="123">
        <v>0</v>
      </c>
      <c r="P41" s="122">
        <v>30</v>
      </c>
      <c r="Q41" s="123">
        <v>15</v>
      </c>
      <c r="R41" s="123">
        <v>20</v>
      </c>
      <c r="S41" s="123">
        <v>10</v>
      </c>
      <c r="T41" s="122">
        <v>26</v>
      </c>
      <c r="U41" s="123">
        <v>16</v>
      </c>
      <c r="V41" s="123">
        <v>0</v>
      </c>
      <c r="W41" s="123">
        <v>6</v>
      </c>
      <c r="X41" s="122">
        <v>0</v>
      </c>
      <c r="Y41" s="123">
        <v>0</v>
      </c>
      <c r="Z41" s="123">
        <v>0</v>
      </c>
      <c r="AA41" s="123">
        <v>0</v>
      </c>
      <c r="AB41" s="136">
        <f t="shared" si="14"/>
        <v>231.87345776640001</v>
      </c>
      <c r="AC41" s="137">
        <f t="shared" si="15"/>
        <v>230.79862251519998</v>
      </c>
      <c r="AD41" s="137">
        <f t="shared" si="16"/>
        <v>246.42058434559999</v>
      </c>
      <c r="AE41" s="122">
        <f t="shared" si="17"/>
        <v>287.87345776640001</v>
      </c>
      <c r="AF41" s="123">
        <f t="shared" si="18"/>
        <v>261.79862251520001</v>
      </c>
      <c r="AG41" s="123">
        <f t="shared" si="19"/>
        <v>266.42058434559999</v>
      </c>
      <c r="AH41" s="123">
        <f t="shared" si="20"/>
        <v>16</v>
      </c>
      <c r="AI41" s="298">
        <f t="shared" si="21"/>
        <v>25639779529.708832</v>
      </c>
      <c r="AJ41" s="122">
        <v>112</v>
      </c>
      <c r="AK41" s="123">
        <v>108</v>
      </c>
      <c r="AL41" s="123">
        <v>110</v>
      </c>
      <c r="AM41" s="138">
        <f t="shared" si="22"/>
        <v>1609.367288832</v>
      </c>
      <c r="AN41" s="139">
        <f t="shared" si="23"/>
        <v>1603.9931125759999</v>
      </c>
      <c r="AO41" s="139">
        <f t="shared" si="24"/>
        <v>1682.102921728</v>
      </c>
      <c r="AP41" s="140">
        <v>8.4700000000000006</v>
      </c>
      <c r="AQ41" s="141">
        <v>8.4600000000000009</v>
      </c>
      <c r="AR41" s="141">
        <v>9.1300000000000008</v>
      </c>
      <c r="AS41" s="138">
        <f t="shared" si="25"/>
        <v>21.076070399999995</v>
      </c>
      <c r="AT41" s="139">
        <f t="shared" si="26"/>
        <v>21.051187200000001</v>
      </c>
      <c r="AU41" s="139">
        <f t="shared" si="27"/>
        <v>22.718361600000001</v>
      </c>
    </row>
    <row r="42" spans="1:47" ht="14.25" customHeight="1" x14ac:dyDescent="0.25">
      <c r="A42" s="35" t="s">
        <v>215</v>
      </c>
      <c r="B42" s="120" t="s">
        <v>333</v>
      </c>
      <c r="C42" s="121" t="s">
        <v>490</v>
      </c>
      <c r="D42" s="135" t="str">
        <f>IF(ISNUMBER(MATCH(Table21[[#This Row],[General]],COVENANTS!$A$2:$A$100,0)), "Y","N")</f>
        <v>N</v>
      </c>
      <c r="E42" s="135" t="str">
        <f>IF(ISNUMBER(MATCH(Table21[[#This Row],[General]],COVENANTS!$B$2:$B$100,0)), "Y","N")</f>
        <v>N</v>
      </c>
      <c r="F42" s="135" t="str">
        <f>IF(ISNUMBER(MATCH(Table21[[#This Row],[General]],COVENANTS!$C$2:$C$100,0)), "Y","N")</f>
        <v>N</v>
      </c>
      <c r="G42" s="135" t="str">
        <f>IF(ISNUMBER(MATCH(Table21[[#This Row],[General]],COVENANTS!$D$2:$D$100,0)), "Y","N")</f>
        <v>Y</v>
      </c>
      <c r="H42" s="122">
        <v>25</v>
      </c>
      <c r="I42" s="123">
        <v>25</v>
      </c>
      <c r="J42" s="123">
        <v>25</v>
      </c>
      <c r="K42" s="123">
        <v>12</v>
      </c>
      <c r="L42" s="122">
        <v>15</v>
      </c>
      <c r="M42" s="123">
        <v>0</v>
      </c>
      <c r="N42" s="123">
        <v>0</v>
      </c>
      <c r="O42" s="123">
        <v>0</v>
      </c>
      <c r="P42" s="122">
        <v>25</v>
      </c>
      <c r="Q42" s="123">
        <v>10</v>
      </c>
      <c r="R42" s="123">
        <v>10</v>
      </c>
      <c r="S42" s="123">
        <v>12</v>
      </c>
      <c r="T42" s="122">
        <v>46</v>
      </c>
      <c r="U42" s="123">
        <v>10</v>
      </c>
      <c r="V42" s="123">
        <v>20</v>
      </c>
      <c r="W42" s="123"/>
      <c r="X42" s="122">
        <v>0</v>
      </c>
      <c r="Y42" s="123">
        <v>0</v>
      </c>
      <c r="Z42" s="123">
        <v>0</v>
      </c>
      <c r="AA42" s="123">
        <v>0</v>
      </c>
      <c r="AB42" s="136">
        <f t="shared" si="14"/>
        <v>228.96910525439995</v>
      </c>
      <c r="AC42" s="137">
        <f t="shared" si="15"/>
        <v>234.2159865344</v>
      </c>
      <c r="AD42" s="137">
        <f t="shared" si="16"/>
        <v>237.77117429759997</v>
      </c>
      <c r="AE42" s="122">
        <f t="shared" si="17"/>
        <v>299.96910525439995</v>
      </c>
      <c r="AF42" s="123">
        <f t="shared" si="18"/>
        <v>254.2159865344</v>
      </c>
      <c r="AG42" s="123">
        <f t="shared" si="19"/>
        <v>267.77117429759994</v>
      </c>
      <c r="AH42" s="123">
        <f t="shared" si="20"/>
        <v>12</v>
      </c>
      <c r="AI42" s="298">
        <f t="shared" si="21"/>
        <v>25307159855.695343</v>
      </c>
      <c r="AJ42" s="122">
        <v>109</v>
      </c>
      <c r="AK42" s="123">
        <v>107</v>
      </c>
      <c r="AL42" s="123">
        <v>112</v>
      </c>
      <c r="AM42" s="138">
        <f t="shared" si="22"/>
        <v>1594.8455262719997</v>
      </c>
      <c r="AN42" s="139">
        <f t="shared" si="23"/>
        <v>1621.079932672</v>
      </c>
      <c r="AO42" s="139">
        <f t="shared" si="24"/>
        <v>1638.8558714879998</v>
      </c>
      <c r="AP42" s="140">
        <v>8.3699999999999992</v>
      </c>
      <c r="AQ42" s="141">
        <v>8.6199999999999992</v>
      </c>
      <c r="AR42" s="141">
        <v>8.73</v>
      </c>
      <c r="AS42" s="138">
        <f t="shared" si="25"/>
        <v>20.827238399999995</v>
      </c>
      <c r="AT42" s="139">
        <f t="shared" si="26"/>
        <v>21.449318399999999</v>
      </c>
      <c r="AU42" s="139">
        <f t="shared" si="27"/>
        <v>21.723033599999997</v>
      </c>
    </row>
    <row r="43" spans="1:47" ht="14.25" customHeight="1" x14ac:dyDescent="0.25">
      <c r="A43" s="35" t="s">
        <v>216</v>
      </c>
      <c r="B43" s="120" t="s">
        <v>333</v>
      </c>
      <c r="C43" s="121" t="s">
        <v>195</v>
      </c>
      <c r="D43" s="135" t="str">
        <f>IF(ISNUMBER(MATCH(Table21[[#This Row],[General]],COVENANTS!$A$2:$A$100,0)), "Y","N")</f>
        <v>N</v>
      </c>
      <c r="E43" s="135" t="str">
        <f>IF(ISNUMBER(MATCH(Table21[[#This Row],[General]],COVENANTS!$B$2:$B$100,0)), "Y","N")</f>
        <v>N</v>
      </c>
      <c r="F43" s="135" t="str">
        <f>IF(ISNUMBER(MATCH(Table21[[#This Row],[General]],COVENANTS!$C$2:$C$100,0)), "Y","N")</f>
        <v>N</v>
      </c>
      <c r="G43" s="135" t="str">
        <f>IF(ISNUMBER(MATCH(Table21[[#This Row],[General]],COVENANTS!$D$2:$D$100,0)), "Y","N")</f>
        <v>N</v>
      </c>
      <c r="H43" s="122">
        <v>25</v>
      </c>
      <c r="I43" s="123">
        <v>25</v>
      </c>
      <c r="J43" s="123">
        <v>25</v>
      </c>
      <c r="K43" s="123">
        <v>12</v>
      </c>
      <c r="L43" s="122">
        <v>20</v>
      </c>
      <c r="M43" s="123">
        <v>20</v>
      </c>
      <c r="N43" s="123">
        <v>0</v>
      </c>
      <c r="O43" s="123">
        <v>0</v>
      </c>
      <c r="P43" s="122">
        <v>50</v>
      </c>
      <c r="Q43" s="123">
        <v>15</v>
      </c>
      <c r="R43" s="123">
        <v>15</v>
      </c>
      <c r="S43" s="123">
        <v>0</v>
      </c>
      <c r="T43" s="122">
        <v>60</v>
      </c>
      <c r="U43" s="123">
        <v>20</v>
      </c>
      <c r="V43" s="123">
        <v>10</v>
      </c>
      <c r="W43" s="123">
        <v>0</v>
      </c>
      <c r="X43" s="122">
        <v>0</v>
      </c>
      <c r="Y43" s="123">
        <v>0</v>
      </c>
      <c r="Z43" s="123">
        <v>0</v>
      </c>
      <c r="AA43" s="123">
        <v>0</v>
      </c>
      <c r="AB43" s="136">
        <f t="shared" si="14"/>
        <v>238.9201858047999</v>
      </c>
      <c r="AC43" s="137">
        <f t="shared" si="15"/>
        <v>232.64297502719998</v>
      </c>
      <c r="AD43" s="137">
        <f t="shared" si="16"/>
        <v>238.43684479999999</v>
      </c>
      <c r="AE43" s="122">
        <f t="shared" si="17"/>
        <v>348.92018580479987</v>
      </c>
      <c r="AF43" s="123">
        <f t="shared" si="18"/>
        <v>267.64297502720001</v>
      </c>
      <c r="AG43" s="123">
        <f t="shared" si="19"/>
        <v>263.43684480000002</v>
      </c>
      <c r="AH43" s="123">
        <f t="shared" si="20"/>
        <v>0</v>
      </c>
      <c r="AI43" s="298">
        <f t="shared" si="21"/>
        <v>25147703616.298187</v>
      </c>
      <c r="AJ43" s="122">
        <v>111</v>
      </c>
      <c r="AK43" s="123">
        <v>106</v>
      </c>
      <c r="AL43" s="123">
        <v>113</v>
      </c>
      <c r="AM43" s="138">
        <f t="shared" si="22"/>
        <v>1644.6009290239995</v>
      </c>
      <c r="AN43" s="139">
        <f t="shared" si="23"/>
        <v>1613.2148751359998</v>
      </c>
      <c r="AO43" s="139">
        <f t="shared" si="24"/>
        <v>1642.1842239999999</v>
      </c>
      <c r="AP43" s="140">
        <v>8.7899999999999991</v>
      </c>
      <c r="AQ43" s="141">
        <v>8.56</v>
      </c>
      <c r="AR43" s="141">
        <v>8.75</v>
      </c>
      <c r="AS43" s="138">
        <f t="shared" si="25"/>
        <v>21.872332799999992</v>
      </c>
      <c r="AT43" s="139">
        <f t="shared" si="26"/>
        <v>21.300019199999998</v>
      </c>
      <c r="AU43" s="139">
        <f t="shared" si="27"/>
        <v>21.772799999999997</v>
      </c>
    </row>
    <row r="44" spans="1:47" ht="14.25" customHeight="1" x14ac:dyDescent="0.25">
      <c r="A44" s="35" t="s">
        <v>217</v>
      </c>
      <c r="B44" s="120" t="s">
        <v>333</v>
      </c>
      <c r="C44" s="121" t="s">
        <v>168</v>
      </c>
      <c r="D44" s="135" t="str">
        <f>IF(ISNUMBER(MATCH(Table21[[#This Row],[General]],COVENANTS!$A$2:$A$100,0)), "Y","N")</f>
        <v>N</v>
      </c>
      <c r="E44" s="135" t="str">
        <f>IF(ISNUMBER(MATCH(Table21[[#This Row],[General]],COVENANTS!$B$2:$B$100,0)), "Y","N")</f>
        <v>N</v>
      </c>
      <c r="F44" s="135" t="str">
        <f>IF(ISNUMBER(MATCH(Table21[[#This Row],[General]],COVENANTS!$C$2:$C$100,0)), "Y","N")</f>
        <v>N</v>
      </c>
      <c r="G44" s="135" t="str">
        <f>IF(ISNUMBER(MATCH(Table21[[#This Row],[General]],COVENANTS!$D$2:$D$100,0)), "Y","N")</f>
        <v>N</v>
      </c>
      <c r="H44" s="122">
        <v>25</v>
      </c>
      <c r="I44" s="123">
        <v>25</v>
      </c>
      <c r="J44" s="123">
        <v>25</v>
      </c>
      <c r="K44" s="123">
        <v>12</v>
      </c>
      <c r="L44" s="122">
        <v>20</v>
      </c>
      <c r="M44" s="123">
        <v>25</v>
      </c>
      <c r="N44" s="123">
        <v>25</v>
      </c>
      <c r="O44" s="123">
        <v>0</v>
      </c>
      <c r="P44" s="122">
        <v>50</v>
      </c>
      <c r="Q44" s="123">
        <v>45</v>
      </c>
      <c r="R44" s="123">
        <v>45</v>
      </c>
      <c r="S44" s="123">
        <v>0</v>
      </c>
      <c r="T44" s="122">
        <v>40</v>
      </c>
      <c r="U44" s="123">
        <v>0</v>
      </c>
      <c r="V44" s="123">
        <v>0</v>
      </c>
      <c r="W44" s="123">
        <v>0</v>
      </c>
      <c r="X44" s="122">
        <v>0</v>
      </c>
      <c r="Y44" s="123">
        <v>0</v>
      </c>
      <c r="Z44" s="123">
        <v>0</v>
      </c>
      <c r="AA44" s="123">
        <v>0</v>
      </c>
      <c r="AB44" s="136">
        <f t="shared" si="14"/>
        <v>239.27000954879995</v>
      </c>
      <c r="AC44" s="137">
        <f t="shared" si="15"/>
        <v>247.36190233600001</v>
      </c>
      <c r="AD44" s="137">
        <f t="shared" si="16"/>
        <v>242.09587932159999</v>
      </c>
      <c r="AE44" s="122">
        <f t="shared" si="17"/>
        <v>329.27000954879998</v>
      </c>
      <c r="AF44" s="123">
        <f t="shared" si="18"/>
        <v>292.36190233600001</v>
      </c>
      <c r="AG44" s="123">
        <f t="shared" si="19"/>
        <v>287.09587932160002</v>
      </c>
      <c r="AH44" s="123">
        <f t="shared" si="20"/>
        <v>0</v>
      </c>
      <c r="AI44" s="298">
        <f t="shared" si="21"/>
        <v>23731457642.010101</v>
      </c>
      <c r="AJ44" s="122">
        <v>118</v>
      </c>
      <c r="AK44" s="123">
        <v>123</v>
      </c>
      <c r="AL44" s="123">
        <v>111</v>
      </c>
      <c r="AM44" s="138">
        <f t="shared" si="22"/>
        <v>1646.3500477439998</v>
      </c>
      <c r="AN44" s="139">
        <f t="shared" si="23"/>
        <v>1686.80951168</v>
      </c>
      <c r="AO44" s="139">
        <f t="shared" si="24"/>
        <v>1660.4793966079999</v>
      </c>
      <c r="AP44" s="140">
        <v>8.74</v>
      </c>
      <c r="AQ44" s="141">
        <v>9.0500000000000007</v>
      </c>
      <c r="AR44" s="141">
        <v>8.93</v>
      </c>
      <c r="AS44" s="138">
        <f t="shared" si="25"/>
        <v>21.747916799999995</v>
      </c>
      <c r="AT44" s="139">
        <f t="shared" si="26"/>
        <v>22.519295999999997</v>
      </c>
      <c r="AU44" s="139">
        <f t="shared" si="27"/>
        <v>22.220697599999998</v>
      </c>
    </row>
    <row r="45" spans="1:47" ht="14.25" customHeight="1" x14ac:dyDescent="0.25">
      <c r="A45" s="35" t="s">
        <v>218</v>
      </c>
      <c r="B45" s="120" t="s">
        <v>332</v>
      </c>
      <c r="C45" s="142" t="s">
        <v>163</v>
      </c>
      <c r="D45" s="135" t="str">
        <f>IF(ISNUMBER(MATCH(Table21[[#This Row],[General]],COVENANTS!$A$2:$A$100,0)), "Y","N")</f>
        <v>N</v>
      </c>
      <c r="E45" s="135" t="str">
        <f>IF(ISNUMBER(MATCH(Table21[[#This Row],[General]],COVENANTS!$B$2:$B$100,0)), "Y","N")</f>
        <v>N</v>
      </c>
      <c r="F45" s="135" t="str">
        <f>IF(ISNUMBER(MATCH(Table21[[#This Row],[General]],COVENANTS!$C$2:$C$100,0)), "Y","N")</f>
        <v>Y</v>
      </c>
      <c r="G45" s="135" t="str">
        <f>IF(ISNUMBER(MATCH(Table21[[#This Row],[General]],COVENANTS!$D$2:$D$100,0)), "Y","N")</f>
        <v>N</v>
      </c>
      <c r="H45" s="122">
        <v>25</v>
      </c>
      <c r="I45" s="123">
        <v>25</v>
      </c>
      <c r="J45" s="123">
        <v>25</v>
      </c>
      <c r="K45" s="123">
        <v>12</v>
      </c>
      <c r="L45" s="122">
        <v>20</v>
      </c>
      <c r="M45" s="123">
        <v>0</v>
      </c>
      <c r="N45" s="123">
        <v>0</v>
      </c>
      <c r="O45" s="123">
        <v>0</v>
      </c>
      <c r="P45" s="122">
        <v>45</v>
      </c>
      <c r="Q45" s="123">
        <v>20</v>
      </c>
      <c r="R45" s="123">
        <v>30</v>
      </c>
      <c r="S45" s="123">
        <v>0</v>
      </c>
      <c r="T45" s="122">
        <v>10</v>
      </c>
      <c r="U45" s="123">
        <v>0</v>
      </c>
      <c r="V45" s="123">
        <v>0</v>
      </c>
      <c r="W45" s="123">
        <v>6</v>
      </c>
      <c r="X45" s="122">
        <v>0</v>
      </c>
      <c r="Y45" s="123">
        <v>0</v>
      </c>
      <c r="Z45" s="123">
        <v>0</v>
      </c>
      <c r="AA45" s="123">
        <v>0</v>
      </c>
      <c r="AB45" s="136">
        <f t="shared" si="14"/>
        <v>235.72965703679998</v>
      </c>
      <c r="AC45" s="137">
        <f t="shared" si="15"/>
        <v>241.79486781439991</v>
      </c>
      <c r="AD45" s="137">
        <f t="shared" si="16"/>
        <v>245.63623183359996</v>
      </c>
      <c r="AE45" s="122">
        <f t="shared" si="17"/>
        <v>290.72965703679995</v>
      </c>
      <c r="AF45" s="123">
        <f t="shared" si="18"/>
        <v>261.79486781439994</v>
      </c>
      <c r="AG45" s="123">
        <f t="shared" si="19"/>
        <v>275.63623183359994</v>
      </c>
      <c r="AH45" s="123">
        <f t="shared" si="20"/>
        <v>6</v>
      </c>
      <c r="AI45" s="298">
        <f t="shared" si="21"/>
        <v>22790395279.555817</v>
      </c>
      <c r="AJ45" s="122">
        <v>112</v>
      </c>
      <c r="AK45" s="123">
        <v>116</v>
      </c>
      <c r="AL45" s="123">
        <v>117</v>
      </c>
      <c r="AM45" s="138">
        <f t="shared" si="22"/>
        <v>1628.6482851839999</v>
      </c>
      <c r="AN45" s="139">
        <f t="shared" si="23"/>
        <v>1658.9743390719996</v>
      </c>
      <c r="AO45" s="139">
        <f t="shared" si="24"/>
        <v>1678.1811591679998</v>
      </c>
      <c r="AP45" s="140">
        <v>8.64</v>
      </c>
      <c r="AQ45" s="141">
        <v>8.8699999999999992</v>
      </c>
      <c r="AR45" s="141">
        <v>9.0299999999999994</v>
      </c>
      <c r="AS45" s="138">
        <f t="shared" si="25"/>
        <v>21.499084799999995</v>
      </c>
      <c r="AT45" s="139">
        <f t="shared" si="26"/>
        <v>22.071398399999993</v>
      </c>
      <c r="AU45" s="139">
        <f t="shared" si="27"/>
        <v>22.469529599999994</v>
      </c>
    </row>
    <row r="46" spans="1:47" ht="14.25" customHeight="1" x14ac:dyDescent="0.25">
      <c r="A46" s="35" t="s">
        <v>434</v>
      </c>
      <c r="B46" s="120" t="s">
        <v>333</v>
      </c>
      <c r="C46" s="121" t="s">
        <v>196</v>
      </c>
      <c r="D46" s="135" t="str">
        <f>IF(ISNUMBER(MATCH(Table21[[#This Row],[General]],COVENANTS!$A$2:$A$100,0)), "Y","N")</f>
        <v>N</v>
      </c>
      <c r="E46" s="135" t="str">
        <f>IF(ISNUMBER(MATCH(Table21[[#This Row],[General]],COVENANTS!$B$2:$B$100,0)), "Y","N")</f>
        <v>N</v>
      </c>
      <c r="F46" s="135" t="str">
        <f>IF(ISNUMBER(MATCH(Table21[[#This Row],[General]],COVENANTS!$C$2:$C$100,0)), "Y","N")</f>
        <v>N</v>
      </c>
      <c r="G46" s="135" t="str">
        <f>IF(ISNUMBER(MATCH(Table21[[#This Row],[General]],COVENANTS!$D$2:$D$100,0)), "Y","N")</f>
        <v>N</v>
      </c>
      <c r="H46" s="122">
        <v>25</v>
      </c>
      <c r="I46" s="123">
        <v>25</v>
      </c>
      <c r="J46" s="123">
        <v>25</v>
      </c>
      <c r="K46" s="123">
        <v>12</v>
      </c>
      <c r="L46" s="122">
        <v>10</v>
      </c>
      <c r="M46" s="123">
        <v>0</v>
      </c>
      <c r="N46" s="123">
        <v>0</v>
      </c>
      <c r="O46" s="123">
        <v>0</v>
      </c>
      <c r="P46" s="122">
        <v>45</v>
      </c>
      <c r="Q46" s="123">
        <v>25</v>
      </c>
      <c r="R46" s="123">
        <v>25</v>
      </c>
      <c r="S46" s="123">
        <v>0</v>
      </c>
      <c r="T46" s="122">
        <v>20</v>
      </c>
      <c r="U46" s="123">
        <v>0</v>
      </c>
      <c r="V46" s="123">
        <v>10</v>
      </c>
      <c r="W46" s="123">
        <v>0</v>
      </c>
      <c r="X46" s="122">
        <v>0</v>
      </c>
      <c r="Y46" s="123">
        <v>0</v>
      </c>
      <c r="Z46" s="123">
        <v>0</v>
      </c>
      <c r="AA46" s="123">
        <v>0</v>
      </c>
      <c r="AB46" s="136">
        <f t="shared" si="14"/>
        <v>228.6786225152</v>
      </c>
      <c r="AC46" s="137">
        <f t="shared" si="15"/>
        <v>219.98470671359993</v>
      </c>
      <c r="AD46" s="137">
        <f t="shared" si="16"/>
        <v>238.02768005119992</v>
      </c>
      <c r="AE46" s="122">
        <f t="shared" si="17"/>
        <v>293.6786225152</v>
      </c>
      <c r="AF46" s="123">
        <f t="shared" si="18"/>
        <v>244.98470671359993</v>
      </c>
      <c r="AG46" s="123">
        <f t="shared" si="19"/>
        <v>273.02768005119992</v>
      </c>
      <c r="AH46" s="123">
        <f t="shared" si="20"/>
        <v>0</v>
      </c>
      <c r="AI46" s="298">
        <f t="shared" si="21"/>
        <v>21166281739.820648</v>
      </c>
      <c r="AJ46" s="122">
        <v>98</v>
      </c>
      <c r="AK46" s="123">
        <v>103</v>
      </c>
      <c r="AL46" s="123">
        <v>110</v>
      </c>
      <c r="AM46" s="138">
        <f t="shared" si="22"/>
        <v>1593.393112576</v>
      </c>
      <c r="AN46" s="139">
        <f t="shared" si="23"/>
        <v>1549.9235335679996</v>
      </c>
      <c r="AO46" s="139">
        <f t="shared" si="24"/>
        <v>1640.1384002559996</v>
      </c>
      <c r="AP46" s="140">
        <v>8.4600000000000009</v>
      </c>
      <c r="AQ46" s="141">
        <v>8.0299999999999994</v>
      </c>
      <c r="AR46" s="141">
        <v>8.76</v>
      </c>
      <c r="AS46" s="138">
        <f t="shared" si="25"/>
        <v>21.051187200000001</v>
      </c>
      <c r="AT46" s="139">
        <f t="shared" si="26"/>
        <v>19.981209599999996</v>
      </c>
      <c r="AU46" s="139">
        <f t="shared" si="27"/>
        <v>21.797683199999991</v>
      </c>
    </row>
    <row r="47" spans="1:47" ht="14.25" customHeight="1" x14ac:dyDescent="0.25">
      <c r="A47" s="35" t="s">
        <v>435</v>
      </c>
      <c r="B47" s="104"/>
      <c r="C47" s="184"/>
      <c r="D47" s="185" t="str">
        <f>IF(ISNUMBER(MATCH(Table21[[#This Row],[General]],COVENANTS!$A$2:$A$100,0)), "Y","N")</f>
        <v>N</v>
      </c>
      <c r="E47" s="185" t="str">
        <f>IF(ISNUMBER(MATCH(Table21[[#This Row],[General]],COVENANTS!$B$2:$B$100,0)), "Y","N")</f>
        <v>N</v>
      </c>
      <c r="F47" s="185" t="str">
        <f>IF(ISNUMBER(MATCH(Table21[[#This Row],[General]],COVENANTS!$C$2:$C$100,0)), "Y","N")</f>
        <v>N</v>
      </c>
      <c r="G47" s="185" t="str">
        <f>IF(ISNUMBER(MATCH(Table21[[#This Row],[General]],COVENANTS!$D$2:$D$100,0)), "Y","N")</f>
        <v>N</v>
      </c>
      <c r="H47" s="106">
        <v>0</v>
      </c>
      <c r="I47" s="105">
        <v>0</v>
      </c>
      <c r="J47" s="105">
        <v>0</v>
      </c>
      <c r="K47" s="105">
        <v>0</v>
      </c>
      <c r="L47" s="106">
        <v>0</v>
      </c>
      <c r="M47" s="105">
        <v>0</v>
      </c>
      <c r="N47" s="105">
        <v>0</v>
      </c>
      <c r="O47" s="105">
        <v>0</v>
      </c>
      <c r="P47" s="106">
        <v>0</v>
      </c>
      <c r="Q47" s="105">
        <v>0</v>
      </c>
      <c r="R47" s="105">
        <v>0</v>
      </c>
      <c r="S47" s="105">
        <v>0</v>
      </c>
      <c r="T47" s="106">
        <v>0</v>
      </c>
      <c r="U47" s="105">
        <v>0</v>
      </c>
      <c r="V47" s="105">
        <v>0</v>
      </c>
      <c r="W47" s="105">
        <v>0</v>
      </c>
      <c r="X47" s="106">
        <v>0</v>
      </c>
      <c r="Y47" s="105">
        <v>0</v>
      </c>
      <c r="Z47" s="105">
        <v>0</v>
      </c>
      <c r="AA47" s="105">
        <v>0</v>
      </c>
      <c r="AB47" s="107">
        <f t="shared" si="14"/>
        <v>16</v>
      </c>
      <c r="AC47" s="108">
        <f t="shared" si="15"/>
        <v>16</v>
      </c>
      <c r="AD47" s="108">
        <f t="shared" si="16"/>
        <v>16</v>
      </c>
      <c r="AE47" s="106">
        <f t="shared" si="17"/>
        <v>16</v>
      </c>
      <c r="AF47" s="105">
        <f t="shared" si="18"/>
        <v>16</v>
      </c>
      <c r="AG47" s="105">
        <f t="shared" si="19"/>
        <v>16</v>
      </c>
      <c r="AH47" s="105">
        <f t="shared" si="20"/>
        <v>0</v>
      </c>
      <c r="AI47" s="297">
        <f t="shared" si="21"/>
        <v>1153167040</v>
      </c>
      <c r="AJ47" s="106">
        <v>0</v>
      </c>
      <c r="AK47" s="105">
        <v>0</v>
      </c>
      <c r="AL47" s="105">
        <v>0</v>
      </c>
      <c r="AM47" s="109">
        <f t="shared" si="22"/>
        <v>530</v>
      </c>
      <c r="AN47" s="110">
        <f t="shared" si="23"/>
        <v>530</v>
      </c>
      <c r="AO47" s="110">
        <f t="shared" si="24"/>
        <v>530</v>
      </c>
      <c r="AP47" s="111">
        <v>0</v>
      </c>
      <c r="AQ47" s="112">
        <v>0</v>
      </c>
      <c r="AR47" s="112">
        <v>0</v>
      </c>
      <c r="AS47" s="109">
        <f t="shared" si="25"/>
        <v>0</v>
      </c>
      <c r="AT47" s="110">
        <f t="shared" si="26"/>
        <v>0</v>
      </c>
      <c r="AU47" s="110">
        <f t="shared" si="27"/>
        <v>0</v>
      </c>
    </row>
    <row r="48" spans="1:47" ht="14.25" customHeight="1" x14ac:dyDescent="0.25">
      <c r="A48" s="35" t="s">
        <v>436</v>
      </c>
      <c r="B48" s="104"/>
      <c r="C48" s="184"/>
      <c r="D48" s="185" t="str">
        <f>IF(ISNUMBER(MATCH(Table21[[#This Row],[General]],COVENANTS!$A$2:$A$100,0)), "Y","N")</f>
        <v>N</v>
      </c>
      <c r="E48" s="185" t="str">
        <f>IF(ISNUMBER(MATCH(Table21[[#This Row],[General]],COVENANTS!$B$2:$B$100,0)), "Y","N")</f>
        <v>N</v>
      </c>
      <c r="F48" s="185" t="str">
        <f>IF(ISNUMBER(MATCH(Table21[[#This Row],[General]],COVENANTS!$C$2:$C$100,0)), "Y","N")</f>
        <v>N</v>
      </c>
      <c r="G48" s="185" t="str">
        <f>IF(ISNUMBER(MATCH(Table21[[#This Row],[General]],COVENANTS!$D$2:$D$100,0)), "Y","N")</f>
        <v>N</v>
      </c>
      <c r="H48" s="106">
        <v>0</v>
      </c>
      <c r="I48" s="105">
        <v>0</v>
      </c>
      <c r="J48" s="105">
        <v>0</v>
      </c>
      <c r="K48" s="105">
        <v>0</v>
      </c>
      <c r="L48" s="106">
        <v>0</v>
      </c>
      <c r="M48" s="105">
        <v>0</v>
      </c>
      <c r="N48" s="105">
        <v>0</v>
      </c>
      <c r="O48" s="105">
        <v>0</v>
      </c>
      <c r="P48" s="106">
        <v>0</v>
      </c>
      <c r="Q48" s="105">
        <v>0</v>
      </c>
      <c r="R48" s="105">
        <v>0</v>
      </c>
      <c r="S48" s="105">
        <v>0</v>
      </c>
      <c r="T48" s="106">
        <v>0</v>
      </c>
      <c r="U48" s="105">
        <v>0</v>
      </c>
      <c r="V48" s="105">
        <v>0</v>
      </c>
      <c r="W48" s="105">
        <v>0</v>
      </c>
      <c r="X48" s="106">
        <v>0</v>
      </c>
      <c r="Y48" s="105">
        <v>0</v>
      </c>
      <c r="Z48" s="105">
        <v>0</v>
      </c>
      <c r="AA48" s="105">
        <v>0</v>
      </c>
      <c r="AB48" s="107">
        <f t="shared" si="14"/>
        <v>16</v>
      </c>
      <c r="AC48" s="108">
        <f t="shared" si="15"/>
        <v>16</v>
      </c>
      <c r="AD48" s="108">
        <f t="shared" si="16"/>
        <v>16</v>
      </c>
      <c r="AE48" s="106">
        <f t="shared" si="17"/>
        <v>16</v>
      </c>
      <c r="AF48" s="105">
        <f t="shared" si="18"/>
        <v>16</v>
      </c>
      <c r="AG48" s="105">
        <f t="shared" si="19"/>
        <v>16</v>
      </c>
      <c r="AH48" s="105">
        <f t="shared" si="20"/>
        <v>0</v>
      </c>
      <c r="AI48" s="297">
        <f t="shared" si="21"/>
        <v>1153167040</v>
      </c>
      <c r="AJ48" s="106">
        <v>0</v>
      </c>
      <c r="AK48" s="105">
        <v>0</v>
      </c>
      <c r="AL48" s="105">
        <v>0</v>
      </c>
      <c r="AM48" s="109">
        <f t="shared" si="22"/>
        <v>530</v>
      </c>
      <c r="AN48" s="110">
        <f t="shared" si="23"/>
        <v>530</v>
      </c>
      <c r="AO48" s="110">
        <f t="shared" si="24"/>
        <v>530</v>
      </c>
      <c r="AP48" s="111">
        <v>0</v>
      </c>
      <c r="AQ48" s="112">
        <v>0</v>
      </c>
      <c r="AR48" s="112">
        <v>0</v>
      </c>
      <c r="AS48" s="109">
        <f t="shared" si="25"/>
        <v>0</v>
      </c>
      <c r="AT48" s="110">
        <f t="shared" si="26"/>
        <v>0</v>
      </c>
      <c r="AU48" s="110">
        <f t="shared" si="27"/>
        <v>0</v>
      </c>
    </row>
    <row r="49" spans="1:47" ht="14.25" customHeight="1" x14ac:dyDescent="0.25">
      <c r="A49" s="35" t="s">
        <v>437</v>
      </c>
      <c r="B49" s="104"/>
      <c r="C49" s="184"/>
      <c r="D49" s="185" t="str">
        <f>IF(ISNUMBER(MATCH(Table21[[#This Row],[General]],COVENANTS!$A$2:$A$100,0)), "Y","N")</f>
        <v>N</v>
      </c>
      <c r="E49" s="185" t="str">
        <f>IF(ISNUMBER(MATCH(Table21[[#This Row],[General]],COVENANTS!$B$2:$B$100,0)), "Y","N")</f>
        <v>N</v>
      </c>
      <c r="F49" s="185" t="str">
        <f>IF(ISNUMBER(MATCH(Table21[[#This Row],[General]],COVENANTS!$C$2:$C$100,0)), "Y","N")</f>
        <v>N</v>
      </c>
      <c r="G49" s="185" t="str">
        <f>IF(ISNUMBER(MATCH(Table21[[#This Row],[General]],COVENANTS!$D$2:$D$100,0)), "Y","N")</f>
        <v>N</v>
      </c>
      <c r="H49" s="106">
        <v>0</v>
      </c>
      <c r="I49" s="105">
        <v>0</v>
      </c>
      <c r="J49" s="105">
        <v>0</v>
      </c>
      <c r="K49" s="105">
        <v>0</v>
      </c>
      <c r="L49" s="106">
        <v>0</v>
      </c>
      <c r="M49" s="105">
        <v>0</v>
      </c>
      <c r="N49" s="105">
        <v>0</v>
      </c>
      <c r="O49" s="105">
        <v>0</v>
      </c>
      <c r="P49" s="106">
        <v>0</v>
      </c>
      <c r="Q49" s="105">
        <v>0</v>
      </c>
      <c r="R49" s="105">
        <v>0</v>
      </c>
      <c r="S49" s="105">
        <v>0</v>
      </c>
      <c r="T49" s="106">
        <v>0</v>
      </c>
      <c r="U49" s="105">
        <v>0</v>
      </c>
      <c r="V49" s="105">
        <v>0</v>
      </c>
      <c r="W49" s="105">
        <v>0</v>
      </c>
      <c r="X49" s="106">
        <v>0</v>
      </c>
      <c r="Y49" s="105">
        <v>0</v>
      </c>
      <c r="Z49" s="105">
        <v>0</v>
      </c>
      <c r="AA49" s="105">
        <v>0</v>
      </c>
      <c r="AB49" s="107">
        <f t="shared" si="14"/>
        <v>16</v>
      </c>
      <c r="AC49" s="108">
        <f t="shared" si="15"/>
        <v>16</v>
      </c>
      <c r="AD49" s="108">
        <f t="shared" si="16"/>
        <v>16</v>
      </c>
      <c r="AE49" s="106">
        <f t="shared" si="17"/>
        <v>16</v>
      </c>
      <c r="AF49" s="105">
        <f t="shared" si="18"/>
        <v>16</v>
      </c>
      <c r="AG49" s="105">
        <f t="shared" si="19"/>
        <v>16</v>
      </c>
      <c r="AH49" s="105">
        <f t="shared" si="20"/>
        <v>0</v>
      </c>
      <c r="AI49" s="297">
        <f t="shared" si="21"/>
        <v>1153167040</v>
      </c>
      <c r="AJ49" s="106">
        <v>0</v>
      </c>
      <c r="AK49" s="105">
        <v>0</v>
      </c>
      <c r="AL49" s="105">
        <v>0</v>
      </c>
      <c r="AM49" s="109">
        <f t="shared" si="22"/>
        <v>530</v>
      </c>
      <c r="AN49" s="110">
        <f t="shared" si="23"/>
        <v>530</v>
      </c>
      <c r="AO49" s="110">
        <f t="shared" si="24"/>
        <v>530</v>
      </c>
      <c r="AP49" s="111">
        <v>0</v>
      </c>
      <c r="AQ49" s="112">
        <v>0</v>
      </c>
      <c r="AR49" s="112">
        <v>0</v>
      </c>
      <c r="AS49" s="109">
        <f t="shared" si="25"/>
        <v>0</v>
      </c>
      <c r="AT49" s="110">
        <f t="shared" si="26"/>
        <v>0</v>
      </c>
      <c r="AU49" s="110">
        <f t="shared" si="27"/>
        <v>0</v>
      </c>
    </row>
    <row r="50" spans="1:47" ht="14.25" customHeight="1" x14ac:dyDescent="0.25">
      <c r="A50" s="35" t="s">
        <v>438</v>
      </c>
      <c r="B50" s="104"/>
      <c r="C50" s="184"/>
      <c r="D50" s="185" t="str">
        <f>IF(ISNUMBER(MATCH(Table21[[#This Row],[General]],COVENANTS!$A$2:$A$100,0)), "Y","N")</f>
        <v>N</v>
      </c>
      <c r="E50" s="185" t="str">
        <f>IF(ISNUMBER(MATCH(Table21[[#This Row],[General]],COVENANTS!$B$2:$B$100,0)), "Y","N")</f>
        <v>N</v>
      </c>
      <c r="F50" s="185" t="str">
        <f>IF(ISNUMBER(MATCH(Table21[[#This Row],[General]],COVENANTS!$C$2:$C$100,0)), "Y","N")</f>
        <v>N</v>
      </c>
      <c r="G50" s="185" t="str">
        <f>IF(ISNUMBER(MATCH(Table21[[#This Row],[General]],COVENANTS!$D$2:$D$100,0)), "Y","N")</f>
        <v>N</v>
      </c>
      <c r="H50" s="106">
        <v>0</v>
      </c>
      <c r="I50" s="105">
        <v>0</v>
      </c>
      <c r="J50" s="105">
        <v>0</v>
      </c>
      <c r="K50" s="105">
        <v>0</v>
      </c>
      <c r="L50" s="106">
        <v>0</v>
      </c>
      <c r="M50" s="105">
        <v>0</v>
      </c>
      <c r="N50" s="105">
        <v>0</v>
      </c>
      <c r="O50" s="105">
        <v>0</v>
      </c>
      <c r="P50" s="106">
        <v>0</v>
      </c>
      <c r="Q50" s="105">
        <v>0</v>
      </c>
      <c r="R50" s="105">
        <v>0</v>
      </c>
      <c r="S50" s="105">
        <v>0</v>
      </c>
      <c r="T50" s="106">
        <v>0</v>
      </c>
      <c r="U50" s="105">
        <v>0</v>
      </c>
      <c r="V50" s="105">
        <v>0</v>
      </c>
      <c r="W50" s="105">
        <v>0</v>
      </c>
      <c r="X50" s="106">
        <v>0</v>
      </c>
      <c r="Y50" s="105">
        <v>0</v>
      </c>
      <c r="Z50" s="105">
        <v>0</v>
      </c>
      <c r="AA50" s="105">
        <v>0</v>
      </c>
      <c r="AB50" s="107">
        <f t="shared" si="14"/>
        <v>16</v>
      </c>
      <c r="AC50" s="108">
        <f t="shared" si="15"/>
        <v>16</v>
      </c>
      <c r="AD50" s="108">
        <f t="shared" si="16"/>
        <v>16</v>
      </c>
      <c r="AE50" s="106">
        <f t="shared" si="17"/>
        <v>16</v>
      </c>
      <c r="AF50" s="105">
        <f t="shared" si="18"/>
        <v>16</v>
      </c>
      <c r="AG50" s="105">
        <f t="shared" si="19"/>
        <v>16</v>
      </c>
      <c r="AH50" s="105">
        <f t="shared" si="20"/>
        <v>0</v>
      </c>
      <c r="AI50" s="297">
        <f t="shared" si="21"/>
        <v>1153167040</v>
      </c>
      <c r="AJ50" s="106">
        <v>0</v>
      </c>
      <c r="AK50" s="105">
        <v>0</v>
      </c>
      <c r="AL50" s="105">
        <v>0</v>
      </c>
      <c r="AM50" s="109">
        <f t="shared" si="22"/>
        <v>530</v>
      </c>
      <c r="AN50" s="110">
        <f t="shared" si="23"/>
        <v>530</v>
      </c>
      <c r="AO50" s="110">
        <f t="shared" si="24"/>
        <v>530</v>
      </c>
      <c r="AP50" s="111">
        <v>0</v>
      </c>
      <c r="AQ50" s="112">
        <v>0</v>
      </c>
      <c r="AR50" s="112">
        <v>0</v>
      </c>
      <c r="AS50" s="109">
        <f t="shared" si="25"/>
        <v>0</v>
      </c>
      <c r="AT50" s="110">
        <f t="shared" si="26"/>
        <v>0</v>
      </c>
      <c r="AU50" s="110">
        <f t="shared" si="27"/>
        <v>0</v>
      </c>
    </row>
    <row r="51" spans="1:47" ht="14.25" customHeight="1" x14ac:dyDescent="0.25">
      <c r="A51" s="35" t="s">
        <v>439</v>
      </c>
      <c r="B51" s="104"/>
      <c r="C51" s="184"/>
      <c r="D51" s="185" t="str">
        <f>IF(ISNUMBER(MATCH(Table21[[#This Row],[General]],COVENANTS!$A$2:$A$100,0)), "Y","N")</f>
        <v>N</v>
      </c>
      <c r="E51" s="185" t="str">
        <f>IF(ISNUMBER(MATCH(Table21[[#This Row],[General]],COVENANTS!$B$2:$B$100,0)), "Y","N")</f>
        <v>N</v>
      </c>
      <c r="F51" s="185" t="str">
        <f>IF(ISNUMBER(MATCH(Table21[[#This Row],[General]],COVENANTS!$C$2:$C$100,0)), "Y","N")</f>
        <v>N</v>
      </c>
      <c r="G51" s="185" t="str">
        <f>IF(ISNUMBER(MATCH(Table21[[#This Row],[General]],COVENANTS!$D$2:$D$100,0)), "Y","N")</f>
        <v>N</v>
      </c>
      <c r="H51" s="106">
        <v>0</v>
      </c>
      <c r="I51" s="105">
        <v>0</v>
      </c>
      <c r="J51" s="105">
        <v>0</v>
      </c>
      <c r="K51" s="105">
        <v>0</v>
      </c>
      <c r="L51" s="106">
        <v>0</v>
      </c>
      <c r="M51" s="105">
        <v>0</v>
      </c>
      <c r="N51" s="105">
        <v>0</v>
      </c>
      <c r="O51" s="105">
        <v>0</v>
      </c>
      <c r="P51" s="106">
        <v>0</v>
      </c>
      <c r="Q51" s="105">
        <v>0</v>
      </c>
      <c r="R51" s="105">
        <v>0</v>
      </c>
      <c r="S51" s="105">
        <v>0</v>
      </c>
      <c r="T51" s="106">
        <v>0</v>
      </c>
      <c r="U51" s="105">
        <v>0</v>
      </c>
      <c r="V51" s="105">
        <v>0</v>
      </c>
      <c r="W51" s="105">
        <v>0</v>
      </c>
      <c r="X51" s="106">
        <v>0</v>
      </c>
      <c r="Y51" s="105">
        <v>0</v>
      </c>
      <c r="Z51" s="105">
        <v>0</v>
      </c>
      <c r="AA51" s="105">
        <v>0</v>
      </c>
      <c r="AB51" s="107">
        <f t="shared" si="14"/>
        <v>16</v>
      </c>
      <c r="AC51" s="108">
        <f t="shared" si="15"/>
        <v>16</v>
      </c>
      <c r="AD51" s="108">
        <f t="shared" si="16"/>
        <v>16</v>
      </c>
      <c r="AE51" s="106">
        <f t="shared" si="17"/>
        <v>16</v>
      </c>
      <c r="AF51" s="105">
        <f t="shared" si="18"/>
        <v>16</v>
      </c>
      <c r="AG51" s="105">
        <f t="shared" si="19"/>
        <v>16</v>
      </c>
      <c r="AH51" s="105">
        <f t="shared" si="20"/>
        <v>0</v>
      </c>
      <c r="AI51" s="297">
        <f t="shared" si="21"/>
        <v>1153167040</v>
      </c>
      <c r="AJ51" s="106">
        <v>0</v>
      </c>
      <c r="AK51" s="105">
        <v>0</v>
      </c>
      <c r="AL51" s="105">
        <v>0</v>
      </c>
      <c r="AM51" s="109">
        <f t="shared" si="22"/>
        <v>530</v>
      </c>
      <c r="AN51" s="110">
        <f t="shared" si="23"/>
        <v>530</v>
      </c>
      <c r="AO51" s="110">
        <f t="shared" si="24"/>
        <v>530</v>
      </c>
      <c r="AP51" s="111">
        <v>0</v>
      </c>
      <c r="AQ51" s="112">
        <v>0</v>
      </c>
      <c r="AR51" s="112">
        <v>0</v>
      </c>
      <c r="AS51" s="109">
        <f t="shared" si="25"/>
        <v>0</v>
      </c>
      <c r="AT51" s="110">
        <f t="shared" si="26"/>
        <v>0</v>
      </c>
      <c r="AU51" s="110">
        <f t="shared" si="27"/>
        <v>0</v>
      </c>
    </row>
    <row r="52" spans="1:47" ht="14.25" customHeight="1" x14ac:dyDescent="0.25">
      <c r="A52" s="35" t="s">
        <v>440</v>
      </c>
      <c r="B52" s="383"/>
      <c r="C52" s="411"/>
      <c r="D52" s="412" t="str">
        <f>IF(ISNUMBER(MATCH(Table21[[#This Row],[General]],COVENANTS!$A$2:$A$100,0)), "Y","N")</f>
        <v>N</v>
      </c>
      <c r="E52" s="412" t="str">
        <f>IF(ISNUMBER(MATCH(Table21[[#This Row],[General]],COVENANTS!$B$2:$B$100,0)), "Y","N")</f>
        <v>N</v>
      </c>
      <c r="F52" s="412" t="str">
        <f>IF(ISNUMBER(MATCH(Table21[[#This Row],[General]],COVENANTS!$C$2:$C$100,0)), "Y","N")</f>
        <v>N</v>
      </c>
      <c r="G52" s="412" t="str">
        <f>IF(ISNUMBER(MATCH(Table21[[#This Row],[General]],COVENANTS!$D$2:$D$100,0)), "Y","N")</f>
        <v>N</v>
      </c>
      <c r="H52" s="106">
        <v>0</v>
      </c>
      <c r="I52" s="105">
        <v>0</v>
      </c>
      <c r="J52" s="105">
        <v>0</v>
      </c>
      <c r="K52" s="105">
        <v>0</v>
      </c>
      <c r="L52" s="106">
        <v>0</v>
      </c>
      <c r="M52" s="105">
        <v>0</v>
      </c>
      <c r="N52" s="105">
        <v>0</v>
      </c>
      <c r="O52" s="105">
        <v>0</v>
      </c>
      <c r="P52" s="106">
        <v>0</v>
      </c>
      <c r="Q52" s="105">
        <v>0</v>
      </c>
      <c r="R52" s="105">
        <v>0</v>
      </c>
      <c r="S52" s="105">
        <v>0</v>
      </c>
      <c r="T52" s="106">
        <v>0</v>
      </c>
      <c r="U52" s="105">
        <v>0</v>
      </c>
      <c r="V52" s="105">
        <v>0</v>
      </c>
      <c r="W52" s="105">
        <v>0</v>
      </c>
      <c r="X52" s="106">
        <v>0</v>
      </c>
      <c r="Y52" s="105">
        <v>0</v>
      </c>
      <c r="Z52" s="105">
        <v>0</v>
      </c>
      <c r="AA52" s="105">
        <v>0</v>
      </c>
      <c r="AB52" s="107">
        <f t="shared" ref="AB52:AB57" si="28">900*0.1+(AM52-900)*0.2</f>
        <v>16</v>
      </c>
      <c r="AC52" s="108">
        <f t="shared" ref="AC52:AC57" si="29">900*0.1+(AN52-900)*0.2</f>
        <v>16</v>
      </c>
      <c r="AD52" s="108">
        <f t="shared" ref="AD52:AD57" si="30">900*0.1+(AO52-900)*0.2</f>
        <v>16</v>
      </c>
      <c r="AE52" s="106">
        <f t="shared" ref="AE52:AE57" si="31">P52+T52+X52+AB52</f>
        <v>16</v>
      </c>
      <c r="AF52" s="105">
        <f t="shared" ref="AF52:AF57" si="32">Q52+U52+Y52+AC52</f>
        <v>16</v>
      </c>
      <c r="AG52" s="105">
        <f t="shared" ref="AG52:AG57" si="33">R52+V52+Z52+AD52</f>
        <v>16</v>
      </c>
      <c r="AH52" s="105">
        <f t="shared" ref="AH52:AH57" si="34">S52+W52+AA52</f>
        <v>0</v>
      </c>
      <c r="AI52" s="297">
        <f t="shared" ref="AI52:AI57" si="35">(AW$2*(AH52/100)+AW$2+AW$3)*(AX$2*(AE52/100)+AX$2+AX$3)-AY$2</f>
        <v>1153167040</v>
      </c>
      <c r="AJ52" s="106">
        <v>0</v>
      </c>
      <c r="AK52" s="105">
        <v>0</v>
      </c>
      <c r="AL52" s="105">
        <v>0</v>
      </c>
      <c r="AM52" s="109">
        <f t="shared" ref="AM52:AM57" si="36">(AJ52+AS52*(AX$9-1))+500+((AJ52+AS52*(AX$9-1))+500)*$AY$10</f>
        <v>530</v>
      </c>
      <c r="AN52" s="110">
        <f t="shared" ref="AN52:AN57" si="37">(AK52+AT52*(AX$9-1))+500+((AK52+AT52*(AX$9-1))+500)*$AY$10</f>
        <v>530</v>
      </c>
      <c r="AO52" s="110">
        <f t="shared" ref="AO52:AO57" si="38">(AL52+AU52*(AX$9-1))+500+((AL52+AU52*(AX$9-1))+500)*$AY$10</f>
        <v>530</v>
      </c>
      <c r="AP52" s="111">
        <v>0</v>
      </c>
      <c r="AQ52" s="112">
        <v>0</v>
      </c>
      <c r="AR52" s="112">
        <v>0</v>
      </c>
      <c r="AS52" s="109">
        <f t="shared" ref="AS52:AS57" si="39">(((((1+20/100)*$AP52)*(1+20/100)))*(1+20/100))*(1+20/100)*(1+20/100)</f>
        <v>0</v>
      </c>
      <c r="AT52" s="110">
        <f t="shared" ref="AT52:AT57" si="40">(((((1+20/100)*$AQ52)*(1+20/100)))*(1+20/100))*(1+20/100)*(1+20/100)</f>
        <v>0</v>
      </c>
      <c r="AU52" s="110">
        <f t="shared" ref="AU52:AU57" si="41">(((((1+20/100)*$AR52)*(1+20/100)))*(1+20/100))*(1+20/100)*(1+20/100)</f>
        <v>0</v>
      </c>
    </row>
    <row r="53" spans="1:47" ht="14.25" customHeight="1" x14ac:dyDescent="0.25">
      <c r="A53" s="35" t="s">
        <v>441</v>
      </c>
      <c r="B53" s="383"/>
      <c r="C53" s="411"/>
      <c r="D53" s="412" t="str">
        <f>IF(ISNUMBER(MATCH(Table21[[#This Row],[General]],COVENANTS!$A$2:$A$100,0)), "Y","N")</f>
        <v>N</v>
      </c>
      <c r="E53" s="412" t="str">
        <f>IF(ISNUMBER(MATCH(Table21[[#This Row],[General]],COVENANTS!$B$2:$B$100,0)), "Y","N")</f>
        <v>N</v>
      </c>
      <c r="F53" s="412" t="str">
        <f>IF(ISNUMBER(MATCH(Table21[[#This Row],[General]],COVENANTS!$C$2:$C$100,0)), "Y","N")</f>
        <v>N</v>
      </c>
      <c r="G53" s="412" t="str">
        <f>IF(ISNUMBER(MATCH(Table21[[#This Row],[General]],COVENANTS!$D$2:$D$100,0)), "Y","N")</f>
        <v>N</v>
      </c>
      <c r="H53" s="106">
        <v>0</v>
      </c>
      <c r="I53" s="105">
        <v>0</v>
      </c>
      <c r="J53" s="105">
        <v>0</v>
      </c>
      <c r="K53" s="105">
        <v>0</v>
      </c>
      <c r="L53" s="106">
        <v>0</v>
      </c>
      <c r="M53" s="105">
        <v>0</v>
      </c>
      <c r="N53" s="105">
        <v>0</v>
      </c>
      <c r="O53" s="105">
        <v>0</v>
      </c>
      <c r="P53" s="106">
        <v>0</v>
      </c>
      <c r="Q53" s="105">
        <v>0</v>
      </c>
      <c r="R53" s="105">
        <v>0</v>
      </c>
      <c r="S53" s="105">
        <v>0</v>
      </c>
      <c r="T53" s="106">
        <v>0</v>
      </c>
      <c r="U53" s="105">
        <v>0</v>
      </c>
      <c r="V53" s="105">
        <v>0</v>
      </c>
      <c r="W53" s="105">
        <v>0</v>
      </c>
      <c r="X53" s="106">
        <v>0</v>
      </c>
      <c r="Y53" s="105">
        <v>0</v>
      </c>
      <c r="Z53" s="105">
        <v>0</v>
      </c>
      <c r="AA53" s="105">
        <v>0</v>
      </c>
      <c r="AB53" s="107">
        <f t="shared" si="28"/>
        <v>16</v>
      </c>
      <c r="AC53" s="108">
        <f t="shared" si="29"/>
        <v>16</v>
      </c>
      <c r="AD53" s="108">
        <f t="shared" si="30"/>
        <v>16</v>
      </c>
      <c r="AE53" s="106">
        <f t="shared" si="31"/>
        <v>16</v>
      </c>
      <c r="AF53" s="105">
        <f t="shared" si="32"/>
        <v>16</v>
      </c>
      <c r="AG53" s="105">
        <f t="shared" si="33"/>
        <v>16</v>
      </c>
      <c r="AH53" s="105">
        <f t="shared" si="34"/>
        <v>0</v>
      </c>
      <c r="AI53" s="300">
        <f t="shared" si="35"/>
        <v>1153167040</v>
      </c>
      <c r="AJ53" s="106">
        <v>0</v>
      </c>
      <c r="AK53" s="105">
        <v>0</v>
      </c>
      <c r="AL53" s="105">
        <v>0</v>
      </c>
      <c r="AM53" s="116">
        <f t="shared" si="36"/>
        <v>530</v>
      </c>
      <c r="AN53" s="117">
        <f t="shared" si="37"/>
        <v>530</v>
      </c>
      <c r="AO53" s="117">
        <f t="shared" si="38"/>
        <v>530</v>
      </c>
      <c r="AP53" s="111">
        <v>0</v>
      </c>
      <c r="AQ53" s="112">
        <v>0</v>
      </c>
      <c r="AR53" s="112">
        <v>0</v>
      </c>
      <c r="AS53" s="109">
        <f t="shared" si="39"/>
        <v>0</v>
      </c>
      <c r="AT53" s="110">
        <f t="shared" si="40"/>
        <v>0</v>
      </c>
      <c r="AU53" s="110">
        <f t="shared" si="41"/>
        <v>0</v>
      </c>
    </row>
    <row r="54" spans="1:47" ht="14.25" customHeight="1" x14ac:dyDescent="0.25">
      <c r="A54" s="35" t="s">
        <v>442</v>
      </c>
      <c r="B54" s="383"/>
      <c r="C54" s="411"/>
      <c r="D54" s="412" t="str">
        <f>IF(ISNUMBER(MATCH(Table21[[#This Row],[General]],COVENANTS!$A$2:$A$100,0)), "Y","N")</f>
        <v>N</v>
      </c>
      <c r="E54" s="412" t="str">
        <f>IF(ISNUMBER(MATCH(Table21[[#This Row],[General]],COVENANTS!$B$2:$B$100,0)), "Y","N")</f>
        <v>N</v>
      </c>
      <c r="F54" s="412" t="str">
        <f>IF(ISNUMBER(MATCH(Table21[[#This Row],[General]],COVENANTS!$C$2:$C$100,0)), "Y","N")</f>
        <v>N</v>
      </c>
      <c r="G54" s="412" t="str">
        <f>IF(ISNUMBER(MATCH(Table21[[#This Row],[General]],COVENANTS!$D$2:$D$100,0)), "Y","N")</f>
        <v>N</v>
      </c>
      <c r="H54" s="106">
        <v>0</v>
      </c>
      <c r="I54" s="105">
        <v>0</v>
      </c>
      <c r="J54" s="105">
        <v>0</v>
      </c>
      <c r="K54" s="105">
        <v>0</v>
      </c>
      <c r="L54" s="106">
        <v>0</v>
      </c>
      <c r="M54" s="105">
        <v>0</v>
      </c>
      <c r="N54" s="105">
        <v>0</v>
      </c>
      <c r="O54" s="105">
        <v>0</v>
      </c>
      <c r="P54" s="106">
        <v>0</v>
      </c>
      <c r="Q54" s="105">
        <v>0</v>
      </c>
      <c r="R54" s="105">
        <v>0</v>
      </c>
      <c r="S54" s="105">
        <v>0</v>
      </c>
      <c r="T54" s="106">
        <v>0</v>
      </c>
      <c r="U54" s="105">
        <v>0</v>
      </c>
      <c r="V54" s="105">
        <v>0</v>
      </c>
      <c r="W54" s="105">
        <v>0</v>
      </c>
      <c r="X54" s="106">
        <v>0</v>
      </c>
      <c r="Y54" s="105">
        <v>0</v>
      </c>
      <c r="Z54" s="105">
        <v>0</v>
      </c>
      <c r="AA54" s="105">
        <v>0</v>
      </c>
      <c r="AB54" s="107">
        <f t="shared" si="28"/>
        <v>16</v>
      </c>
      <c r="AC54" s="108">
        <f t="shared" si="29"/>
        <v>16</v>
      </c>
      <c r="AD54" s="108">
        <f t="shared" si="30"/>
        <v>16</v>
      </c>
      <c r="AE54" s="106">
        <f t="shared" si="31"/>
        <v>16</v>
      </c>
      <c r="AF54" s="105">
        <f t="shared" si="32"/>
        <v>16</v>
      </c>
      <c r="AG54" s="105">
        <f t="shared" si="33"/>
        <v>16</v>
      </c>
      <c r="AH54" s="105">
        <f t="shared" si="34"/>
        <v>0</v>
      </c>
      <c r="AI54" s="300">
        <f t="shared" si="35"/>
        <v>1153167040</v>
      </c>
      <c r="AJ54" s="106">
        <v>0</v>
      </c>
      <c r="AK54" s="105">
        <v>0</v>
      </c>
      <c r="AL54" s="105">
        <v>0</v>
      </c>
      <c r="AM54" s="116">
        <f t="shared" si="36"/>
        <v>530</v>
      </c>
      <c r="AN54" s="117">
        <f t="shared" si="37"/>
        <v>530</v>
      </c>
      <c r="AO54" s="117">
        <f t="shared" si="38"/>
        <v>530</v>
      </c>
      <c r="AP54" s="111">
        <v>0</v>
      </c>
      <c r="AQ54" s="112">
        <v>0</v>
      </c>
      <c r="AR54" s="112">
        <v>0</v>
      </c>
      <c r="AS54" s="109">
        <f t="shared" si="39"/>
        <v>0</v>
      </c>
      <c r="AT54" s="110">
        <f t="shared" si="40"/>
        <v>0</v>
      </c>
      <c r="AU54" s="110">
        <f t="shared" si="41"/>
        <v>0</v>
      </c>
    </row>
    <row r="55" spans="1:47" ht="14.25" customHeight="1" x14ac:dyDescent="0.25">
      <c r="A55" s="35" t="s">
        <v>443</v>
      </c>
      <c r="B55" s="383"/>
      <c r="C55" s="411"/>
      <c r="D55" s="412" t="str">
        <f>IF(ISNUMBER(MATCH(Table21[[#This Row],[General]],COVENANTS!$A$2:$A$100,0)), "Y","N")</f>
        <v>N</v>
      </c>
      <c r="E55" s="412" t="str">
        <f>IF(ISNUMBER(MATCH(Table21[[#This Row],[General]],COVENANTS!$B$2:$B$100,0)), "Y","N")</f>
        <v>N</v>
      </c>
      <c r="F55" s="412" t="str">
        <f>IF(ISNUMBER(MATCH(Table21[[#This Row],[General]],COVENANTS!$C$2:$C$100,0)), "Y","N")</f>
        <v>N</v>
      </c>
      <c r="G55" s="412" t="str">
        <f>IF(ISNUMBER(MATCH(Table21[[#This Row],[General]],COVENANTS!$D$2:$D$100,0)), "Y","N")</f>
        <v>N</v>
      </c>
      <c r="H55" s="106">
        <v>0</v>
      </c>
      <c r="I55" s="105">
        <v>0</v>
      </c>
      <c r="J55" s="105">
        <v>0</v>
      </c>
      <c r="K55" s="105">
        <v>0</v>
      </c>
      <c r="L55" s="106">
        <v>0</v>
      </c>
      <c r="M55" s="105">
        <v>0</v>
      </c>
      <c r="N55" s="105">
        <v>0</v>
      </c>
      <c r="O55" s="105">
        <v>0</v>
      </c>
      <c r="P55" s="106">
        <v>0</v>
      </c>
      <c r="Q55" s="105">
        <v>0</v>
      </c>
      <c r="R55" s="105">
        <v>0</v>
      </c>
      <c r="S55" s="105">
        <v>0</v>
      </c>
      <c r="T55" s="106">
        <v>0</v>
      </c>
      <c r="U55" s="105">
        <v>0</v>
      </c>
      <c r="V55" s="105">
        <v>0</v>
      </c>
      <c r="W55" s="105">
        <v>0</v>
      </c>
      <c r="X55" s="106">
        <v>0</v>
      </c>
      <c r="Y55" s="105">
        <v>0</v>
      </c>
      <c r="Z55" s="105">
        <v>0</v>
      </c>
      <c r="AA55" s="105">
        <v>0</v>
      </c>
      <c r="AB55" s="107">
        <f t="shared" si="28"/>
        <v>16</v>
      </c>
      <c r="AC55" s="108">
        <f t="shared" si="29"/>
        <v>16</v>
      </c>
      <c r="AD55" s="108">
        <f t="shared" si="30"/>
        <v>16</v>
      </c>
      <c r="AE55" s="106">
        <f t="shared" si="31"/>
        <v>16</v>
      </c>
      <c r="AF55" s="105">
        <f t="shared" si="32"/>
        <v>16</v>
      </c>
      <c r="AG55" s="105">
        <f t="shared" si="33"/>
        <v>16</v>
      </c>
      <c r="AH55" s="105">
        <f t="shared" si="34"/>
        <v>0</v>
      </c>
      <c r="AI55" s="300">
        <f t="shared" si="35"/>
        <v>1153167040</v>
      </c>
      <c r="AJ55" s="106">
        <v>0</v>
      </c>
      <c r="AK55" s="105">
        <v>0</v>
      </c>
      <c r="AL55" s="105">
        <v>0</v>
      </c>
      <c r="AM55" s="116">
        <f t="shared" si="36"/>
        <v>530</v>
      </c>
      <c r="AN55" s="117">
        <f t="shared" si="37"/>
        <v>530</v>
      </c>
      <c r="AO55" s="117">
        <f t="shared" si="38"/>
        <v>530</v>
      </c>
      <c r="AP55" s="111">
        <v>0</v>
      </c>
      <c r="AQ55" s="112">
        <v>0</v>
      </c>
      <c r="AR55" s="112">
        <v>0</v>
      </c>
      <c r="AS55" s="109">
        <f t="shared" si="39"/>
        <v>0</v>
      </c>
      <c r="AT55" s="110">
        <f t="shared" si="40"/>
        <v>0</v>
      </c>
      <c r="AU55" s="110">
        <f t="shared" si="41"/>
        <v>0</v>
      </c>
    </row>
    <row r="56" spans="1:47" ht="14.25" customHeight="1" x14ac:dyDescent="0.25">
      <c r="A56" s="35" t="s">
        <v>444</v>
      </c>
      <c r="B56" s="383"/>
      <c r="C56" s="411"/>
      <c r="D56" s="412" t="str">
        <f>IF(ISNUMBER(MATCH(Table21[[#This Row],[General]],COVENANTS!$A$2:$A$100,0)), "Y","N")</f>
        <v>N</v>
      </c>
      <c r="E56" s="412" t="str">
        <f>IF(ISNUMBER(MATCH(Table21[[#This Row],[General]],COVENANTS!$B$2:$B$100,0)), "Y","N")</f>
        <v>N</v>
      </c>
      <c r="F56" s="412" t="str">
        <f>IF(ISNUMBER(MATCH(Table21[[#This Row],[General]],COVENANTS!$C$2:$C$100,0)), "Y","N")</f>
        <v>N</v>
      </c>
      <c r="G56" s="412" t="str">
        <f>IF(ISNUMBER(MATCH(Table21[[#This Row],[General]],COVENANTS!$D$2:$D$100,0)), "Y","N")</f>
        <v>N</v>
      </c>
      <c r="H56" s="106">
        <v>0</v>
      </c>
      <c r="I56" s="105">
        <v>0</v>
      </c>
      <c r="J56" s="105">
        <v>0</v>
      </c>
      <c r="K56" s="105">
        <v>0</v>
      </c>
      <c r="L56" s="106">
        <v>0</v>
      </c>
      <c r="M56" s="105">
        <v>0</v>
      </c>
      <c r="N56" s="105">
        <v>0</v>
      </c>
      <c r="O56" s="105">
        <v>0</v>
      </c>
      <c r="P56" s="106">
        <v>0</v>
      </c>
      <c r="Q56" s="105">
        <v>0</v>
      </c>
      <c r="R56" s="105">
        <v>0</v>
      </c>
      <c r="S56" s="105">
        <v>0</v>
      </c>
      <c r="T56" s="106">
        <v>0</v>
      </c>
      <c r="U56" s="105">
        <v>0</v>
      </c>
      <c r="V56" s="105">
        <v>0</v>
      </c>
      <c r="W56" s="105">
        <v>0</v>
      </c>
      <c r="X56" s="106">
        <v>0</v>
      </c>
      <c r="Y56" s="105">
        <v>0</v>
      </c>
      <c r="Z56" s="105">
        <v>0</v>
      </c>
      <c r="AA56" s="105">
        <v>0</v>
      </c>
      <c r="AB56" s="107">
        <f t="shared" si="28"/>
        <v>16</v>
      </c>
      <c r="AC56" s="108">
        <f t="shared" si="29"/>
        <v>16</v>
      </c>
      <c r="AD56" s="108">
        <f t="shared" si="30"/>
        <v>16</v>
      </c>
      <c r="AE56" s="106">
        <f t="shared" si="31"/>
        <v>16</v>
      </c>
      <c r="AF56" s="105">
        <f t="shared" si="32"/>
        <v>16</v>
      </c>
      <c r="AG56" s="105">
        <f t="shared" si="33"/>
        <v>16</v>
      </c>
      <c r="AH56" s="105">
        <f t="shared" si="34"/>
        <v>0</v>
      </c>
      <c r="AI56" s="300">
        <f t="shared" si="35"/>
        <v>1153167040</v>
      </c>
      <c r="AJ56" s="106">
        <v>0</v>
      </c>
      <c r="AK56" s="105">
        <v>0</v>
      </c>
      <c r="AL56" s="105">
        <v>0</v>
      </c>
      <c r="AM56" s="116">
        <f t="shared" si="36"/>
        <v>530</v>
      </c>
      <c r="AN56" s="117">
        <f t="shared" si="37"/>
        <v>530</v>
      </c>
      <c r="AO56" s="117">
        <f t="shared" si="38"/>
        <v>530</v>
      </c>
      <c r="AP56" s="111">
        <v>0</v>
      </c>
      <c r="AQ56" s="112">
        <v>0</v>
      </c>
      <c r="AR56" s="112">
        <v>0</v>
      </c>
      <c r="AS56" s="109">
        <f t="shared" si="39"/>
        <v>0</v>
      </c>
      <c r="AT56" s="110">
        <f t="shared" si="40"/>
        <v>0</v>
      </c>
      <c r="AU56" s="110">
        <f t="shared" si="41"/>
        <v>0</v>
      </c>
    </row>
    <row r="57" spans="1:47" ht="14.25" customHeight="1" x14ac:dyDescent="0.25">
      <c r="A57" s="35" t="s">
        <v>445</v>
      </c>
      <c r="B57" s="383"/>
      <c r="C57" s="411"/>
      <c r="D57" s="412" t="str">
        <f>IF(ISNUMBER(MATCH(Table21[[#This Row],[General]],COVENANTS!$A$2:$A$100,0)), "Y","N")</f>
        <v>N</v>
      </c>
      <c r="E57" s="412" t="str">
        <f>IF(ISNUMBER(MATCH(Table21[[#This Row],[General]],COVENANTS!$B$2:$B$100,0)), "Y","N")</f>
        <v>N</v>
      </c>
      <c r="F57" s="412" t="str">
        <f>IF(ISNUMBER(MATCH(Table21[[#This Row],[General]],COVENANTS!$C$2:$C$100,0)), "Y","N")</f>
        <v>N</v>
      </c>
      <c r="G57" s="412" t="str">
        <f>IF(ISNUMBER(MATCH(Table21[[#This Row],[General]],COVENANTS!$D$2:$D$100,0)), "Y","N")</f>
        <v>N</v>
      </c>
      <c r="H57" s="106">
        <v>0</v>
      </c>
      <c r="I57" s="105">
        <v>0</v>
      </c>
      <c r="J57" s="105">
        <v>0</v>
      </c>
      <c r="K57" s="105">
        <v>0</v>
      </c>
      <c r="L57" s="106">
        <v>0</v>
      </c>
      <c r="M57" s="105">
        <v>0</v>
      </c>
      <c r="N57" s="105">
        <v>0</v>
      </c>
      <c r="O57" s="105">
        <v>0</v>
      </c>
      <c r="P57" s="106">
        <v>0</v>
      </c>
      <c r="Q57" s="105">
        <v>0</v>
      </c>
      <c r="R57" s="105">
        <v>0</v>
      </c>
      <c r="S57" s="105">
        <v>0</v>
      </c>
      <c r="T57" s="106">
        <v>0</v>
      </c>
      <c r="U57" s="105">
        <v>0</v>
      </c>
      <c r="V57" s="105">
        <v>0</v>
      </c>
      <c r="W57" s="105">
        <v>0</v>
      </c>
      <c r="X57" s="106">
        <v>0</v>
      </c>
      <c r="Y57" s="105">
        <v>0</v>
      </c>
      <c r="Z57" s="105">
        <v>0</v>
      </c>
      <c r="AA57" s="105">
        <v>0</v>
      </c>
      <c r="AB57" s="107">
        <f t="shared" si="28"/>
        <v>16</v>
      </c>
      <c r="AC57" s="108">
        <f t="shared" si="29"/>
        <v>16</v>
      </c>
      <c r="AD57" s="108">
        <f t="shared" si="30"/>
        <v>16</v>
      </c>
      <c r="AE57" s="106">
        <f t="shared" si="31"/>
        <v>16</v>
      </c>
      <c r="AF57" s="105">
        <f t="shared" si="32"/>
        <v>16</v>
      </c>
      <c r="AG57" s="105">
        <f t="shared" si="33"/>
        <v>16</v>
      </c>
      <c r="AH57" s="105">
        <f t="shared" si="34"/>
        <v>0</v>
      </c>
      <c r="AI57" s="300">
        <f t="shared" si="35"/>
        <v>1153167040</v>
      </c>
      <c r="AJ57" s="106">
        <v>0</v>
      </c>
      <c r="AK57" s="105">
        <v>0</v>
      </c>
      <c r="AL57" s="105">
        <v>0</v>
      </c>
      <c r="AM57" s="116">
        <f t="shared" si="36"/>
        <v>530</v>
      </c>
      <c r="AN57" s="117">
        <f t="shared" si="37"/>
        <v>530</v>
      </c>
      <c r="AO57" s="117">
        <f t="shared" si="38"/>
        <v>530</v>
      </c>
      <c r="AP57" s="111">
        <v>0</v>
      </c>
      <c r="AQ57" s="112">
        <v>0</v>
      </c>
      <c r="AR57" s="112">
        <v>0</v>
      </c>
      <c r="AS57" s="109">
        <f t="shared" si="39"/>
        <v>0</v>
      </c>
      <c r="AT57" s="110">
        <f t="shared" si="40"/>
        <v>0</v>
      </c>
      <c r="AU57" s="110">
        <f t="shared" si="41"/>
        <v>0</v>
      </c>
    </row>
    <row r="58" spans="1:47" ht="14.25" customHeight="1" x14ac:dyDescent="0.25">
      <c r="AJ58" s="23"/>
      <c r="AK58" s="23"/>
      <c r="AL58" s="23"/>
      <c r="AM58" s="23"/>
      <c r="AN58" s="23"/>
      <c r="AO58" s="23"/>
      <c r="AP58" s="23"/>
      <c r="AQ58" s="23"/>
      <c r="AR58" s="23"/>
    </row>
    <row r="59" spans="1:47" s="60" customFormat="1" ht="18" customHeight="1" x14ac:dyDescent="0.25">
      <c r="A59" s="528" t="s">
        <v>110</v>
      </c>
      <c r="B59" s="528"/>
      <c r="C59" s="529"/>
      <c r="D59" s="545" t="s">
        <v>564</v>
      </c>
      <c r="E59" s="528"/>
      <c r="F59" s="528"/>
      <c r="G59" s="528"/>
      <c r="H59" s="541" t="s">
        <v>293</v>
      </c>
      <c r="I59" s="541"/>
      <c r="J59" s="541"/>
      <c r="K59" s="542"/>
      <c r="L59" s="539" t="s">
        <v>282</v>
      </c>
      <c r="M59" s="539"/>
      <c r="N59" s="539"/>
      <c r="O59" s="540"/>
      <c r="P59" s="548" t="s">
        <v>283</v>
      </c>
      <c r="Q59" s="548"/>
      <c r="R59" s="548"/>
      <c r="S59" s="549"/>
      <c r="T59" s="550" t="s">
        <v>284</v>
      </c>
      <c r="U59" s="550"/>
      <c r="V59" s="550"/>
      <c r="W59" s="551"/>
      <c r="X59" s="552" t="s">
        <v>285</v>
      </c>
      <c r="Y59" s="552"/>
      <c r="Z59" s="552"/>
      <c r="AA59" s="553"/>
      <c r="AB59" s="554" t="s">
        <v>327</v>
      </c>
      <c r="AC59" s="554"/>
      <c r="AD59" s="555"/>
      <c r="AE59" s="520" t="s">
        <v>5</v>
      </c>
      <c r="AF59" s="520"/>
      <c r="AG59" s="520"/>
      <c r="AH59" s="520"/>
      <c r="AI59" s="522"/>
    </row>
    <row r="60" spans="1:47" ht="14.25" customHeight="1" thickBot="1" x14ac:dyDescent="0.3">
      <c r="A60" s="38" t="s">
        <v>48</v>
      </c>
      <c r="B60" s="32" t="s">
        <v>331</v>
      </c>
      <c r="C60" s="102" t="s">
        <v>0</v>
      </c>
      <c r="D60" s="32" t="s">
        <v>565</v>
      </c>
      <c r="E60" s="32" t="s">
        <v>503</v>
      </c>
      <c r="F60" s="32" t="s">
        <v>504</v>
      </c>
      <c r="G60" s="32" t="s">
        <v>505</v>
      </c>
      <c r="H60" s="103" t="s">
        <v>289</v>
      </c>
      <c r="I60" s="102" t="s">
        <v>290</v>
      </c>
      <c r="J60" s="102" t="s">
        <v>291</v>
      </c>
      <c r="K60" s="102" t="s">
        <v>292</v>
      </c>
      <c r="L60" s="103" t="s">
        <v>270</v>
      </c>
      <c r="M60" s="102" t="s">
        <v>271</v>
      </c>
      <c r="N60" s="102" t="s">
        <v>272</v>
      </c>
      <c r="O60" s="102" t="s">
        <v>273</v>
      </c>
      <c r="P60" s="103" t="s">
        <v>537</v>
      </c>
      <c r="Q60" s="102" t="s">
        <v>538</v>
      </c>
      <c r="R60" s="102" t="s">
        <v>539</v>
      </c>
      <c r="S60" s="102" t="s">
        <v>540</v>
      </c>
      <c r="T60" s="103" t="s">
        <v>541</v>
      </c>
      <c r="U60" s="102" t="s">
        <v>542</v>
      </c>
      <c r="V60" s="102" t="s">
        <v>543</v>
      </c>
      <c r="W60" s="102" t="s">
        <v>544</v>
      </c>
      <c r="X60" s="103" t="s">
        <v>545</v>
      </c>
      <c r="Y60" s="102" t="s">
        <v>546</v>
      </c>
      <c r="Z60" s="102" t="s">
        <v>547</v>
      </c>
      <c r="AA60" s="102" t="s">
        <v>548</v>
      </c>
      <c r="AB60" s="103" t="s">
        <v>549</v>
      </c>
      <c r="AC60" s="102" t="s">
        <v>550</v>
      </c>
      <c r="AD60" s="102" t="s">
        <v>551</v>
      </c>
      <c r="AE60" s="103" t="s">
        <v>552</v>
      </c>
      <c r="AF60" s="102" t="s">
        <v>553</v>
      </c>
      <c r="AG60" s="102" t="s">
        <v>554</v>
      </c>
      <c r="AH60" s="102" t="s">
        <v>555</v>
      </c>
      <c r="AI60" s="306" t="s">
        <v>274</v>
      </c>
      <c r="AJ60" s="23"/>
      <c r="AK60" s="23"/>
      <c r="AL60" s="23"/>
      <c r="AM60" s="23"/>
      <c r="AN60" s="23"/>
      <c r="AO60" s="23"/>
      <c r="AP60" s="23"/>
      <c r="AQ60" s="23"/>
      <c r="AR60" s="23"/>
    </row>
    <row r="61" spans="1:47" ht="14.25" customHeight="1" thickTop="1" x14ac:dyDescent="0.25">
      <c r="A61" s="35" t="s">
        <v>49</v>
      </c>
      <c r="B61" s="124" t="s">
        <v>332</v>
      </c>
      <c r="C61" s="183" t="s">
        <v>501</v>
      </c>
      <c r="D61" s="125" t="str">
        <f>IF(ISNUMBER(MATCH(Table23[[#This Row],[General]],COVENANTS!$A$2:$A$100,0)), "Y","N")</f>
        <v>Y</v>
      </c>
      <c r="E61" s="125" t="str">
        <f>IF(ISNUMBER(MATCH(Table23[[#This Row],[General]],COVENANTS!$B$2:$B$100,0)), "Y","N")</f>
        <v>N</v>
      </c>
      <c r="F61" s="125" t="str">
        <f>IF(ISNUMBER(MATCH(Table23[[#This Row],[General]],COVENANTS!$C$2:$C$100,0)), "Y","N")</f>
        <v>N</v>
      </c>
      <c r="G61" s="125" t="str">
        <f>IF(ISNUMBER(MATCH(Table23[[#This Row],[General]],COVENANTS!$D$2:$D$100,0)), "Y","N")</f>
        <v>Y</v>
      </c>
      <c r="H61" s="126">
        <v>25</v>
      </c>
      <c r="I61" s="127">
        <v>25</v>
      </c>
      <c r="J61" s="127">
        <v>25</v>
      </c>
      <c r="K61" s="127">
        <v>12</v>
      </c>
      <c r="L61" s="126">
        <v>55</v>
      </c>
      <c r="M61" s="127">
        <v>35</v>
      </c>
      <c r="N61" s="127">
        <v>55</v>
      </c>
      <c r="O61" s="127">
        <v>0</v>
      </c>
      <c r="P61" s="126">
        <v>0</v>
      </c>
      <c r="Q61" s="127">
        <v>0</v>
      </c>
      <c r="R61" s="127">
        <v>0</v>
      </c>
      <c r="S61" s="127">
        <v>0</v>
      </c>
      <c r="T61" s="126">
        <v>85</v>
      </c>
      <c r="U61" s="127">
        <v>10</v>
      </c>
      <c r="V61" s="127">
        <v>55</v>
      </c>
      <c r="W61" s="127">
        <v>8</v>
      </c>
      <c r="X61" s="126">
        <v>25</v>
      </c>
      <c r="Y61" s="127">
        <v>10</v>
      </c>
      <c r="Z61" s="127">
        <v>33</v>
      </c>
      <c r="AA61" s="127">
        <v>8</v>
      </c>
      <c r="AB61" s="126">
        <v>0</v>
      </c>
      <c r="AC61" s="127">
        <v>0</v>
      </c>
      <c r="AD61" s="127">
        <v>0</v>
      </c>
      <c r="AE61" s="126">
        <f t="shared" ref="AE61:AE92" si="42">L61+T61+X61</f>
        <v>165</v>
      </c>
      <c r="AF61" s="127">
        <f t="shared" ref="AF61:AF92" si="43">M61+U61+Y61</f>
        <v>55</v>
      </c>
      <c r="AG61" s="127">
        <f t="shared" ref="AG61:AG92" si="44">N61+V61+Z61</f>
        <v>143</v>
      </c>
      <c r="AH61" s="127">
        <f t="shared" ref="AH61:AH92" si="45">O61+W61+AA61</f>
        <v>16</v>
      </c>
      <c r="AI61" s="301">
        <f t="shared" ref="AI61:AI92" si="46">(AW$2*(AH61/100)+AW$2+AW$3)*(AX$2*(AE61/100)+AX$2+AX$3)-AY$2</f>
        <v>16532204700</v>
      </c>
      <c r="AJ61" s="23"/>
      <c r="AK61" s="23"/>
      <c r="AL61" s="23"/>
      <c r="AM61" s="23"/>
      <c r="AN61" s="23"/>
      <c r="AO61" s="23"/>
      <c r="AP61" s="23"/>
      <c r="AQ61" s="23"/>
      <c r="AR61" s="23"/>
    </row>
    <row r="62" spans="1:47" ht="14.25" customHeight="1" x14ac:dyDescent="0.25">
      <c r="A62" s="35" t="s">
        <v>50</v>
      </c>
      <c r="B62" s="120" t="s">
        <v>333</v>
      </c>
      <c r="C62" s="121" t="s">
        <v>502</v>
      </c>
      <c r="D62" s="135" t="str">
        <f>IF(ISNUMBER(MATCH(Table23[[#This Row],[General]],COVENANTS!$A$2:$A$100,0)), "Y","N")</f>
        <v>Y</v>
      </c>
      <c r="E62" s="135" t="str">
        <f>IF(ISNUMBER(MATCH(Table23[[#This Row],[General]],COVENANTS!$B$2:$B$100,0)), "Y","N")</f>
        <v>N</v>
      </c>
      <c r="F62" s="135" t="str">
        <f>IF(ISNUMBER(MATCH(Table23[[#This Row],[General]],COVENANTS!$C$2:$C$100,0)), "Y","N")</f>
        <v>N</v>
      </c>
      <c r="G62" s="135" t="str">
        <f>IF(ISNUMBER(MATCH(Table23[[#This Row],[General]],COVENANTS!$D$2:$D$100,0)), "Y","N")</f>
        <v>Y</v>
      </c>
      <c r="H62" s="122">
        <v>25</v>
      </c>
      <c r="I62" s="123">
        <v>25</v>
      </c>
      <c r="J62" s="123">
        <v>25</v>
      </c>
      <c r="K62" s="123">
        <v>12</v>
      </c>
      <c r="L62" s="122">
        <v>55</v>
      </c>
      <c r="M62" s="123">
        <v>55</v>
      </c>
      <c r="N62" s="123">
        <v>40</v>
      </c>
      <c r="O62" s="123">
        <v>0</v>
      </c>
      <c r="P62" s="122">
        <v>0</v>
      </c>
      <c r="Q62" s="123">
        <v>0</v>
      </c>
      <c r="R62" s="123">
        <v>0</v>
      </c>
      <c r="S62" s="123">
        <v>0</v>
      </c>
      <c r="T62" s="122">
        <v>80</v>
      </c>
      <c r="U62" s="123">
        <v>50</v>
      </c>
      <c r="V62" s="123">
        <v>40</v>
      </c>
      <c r="W62" s="123">
        <v>6</v>
      </c>
      <c r="X62" s="122">
        <v>28</v>
      </c>
      <c r="Y62" s="123">
        <v>21</v>
      </c>
      <c r="Z62" s="123">
        <v>10</v>
      </c>
      <c r="AA62" s="123">
        <v>10</v>
      </c>
      <c r="AB62" s="122">
        <v>0</v>
      </c>
      <c r="AC62" s="123">
        <v>0</v>
      </c>
      <c r="AD62" s="123">
        <v>0</v>
      </c>
      <c r="AE62" s="122">
        <f t="shared" si="42"/>
        <v>163</v>
      </c>
      <c r="AF62" s="123">
        <f t="shared" si="43"/>
        <v>126</v>
      </c>
      <c r="AG62" s="123">
        <f t="shared" si="44"/>
        <v>90</v>
      </c>
      <c r="AH62" s="123">
        <f t="shared" si="45"/>
        <v>16</v>
      </c>
      <c r="AI62" s="298">
        <f t="shared" si="46"/>
        <v>16383961540</v>
      </c>
      <c r="AJ62" s="23"/>
      <c r="AK62" s="23"/>
      <c r="AL62" s="23"/>
      <c r="AM62" s="23"/>
      <c r="AN62" s="23"/>
      <c r="AO62" s="23"/>
      <c r="AP62" s="23"/>
      <c r="AQ62" s="23"/>
      <c r="AR62" s="23"/>
    </row>
    <row r="63" spans="1:47" ht="14.25" customHeight="1" x14ac:dyDescent="0.25">
      <c r="A63" s="35" t="s">
        <v>51</v>
      </c>
      <c r="B63" s="120" t="s">
        <v>333</v>
      </c>
      <c r="C63" s="121" t="s">
        <v>1128</v>
      </c>
      <c r="D63" s="135" t="str">
        <f>IF(ISNUMBER(MATCH(Table23[[#This Row],[General]],COVENANTS!$A$2:$A$100,0)), "Y","N")</f>
        <v>Y</v>
      </c>
      <c r="E63" s="135" t="str">
        <f>IF(ISNUMBER(MATCH(Table23[[#This Row],[General]],COVENANTS!$B$2:$B$100,0)), "Y","N")</f>
        <v>N</v>
      </c>
      <c r="F63" s="135" t="str">
        <f>IF(ISNUMBER(MATCH(Table23[[#This Row],[General]],COVENANTS!$C$2:$C$100,0)), "Y","N")</f>
        <v>N</v>
      </c>
      <c r="G63" s="135" t="str">
        <f>IF(ISNUMBER(MATCH(Table23[[#This Row],[General]],COVENANTS!$D$2:$D$100,0)), "Y","N")</f>
        <v>N</v>
      </c>
      <c r="H63" s="122">
        <v>25</v>
      </c>
      <c r="I63" s="123">
        <v>25</v>
      </c>
      <c r="J63" s="123">
        <v>25</v>
      </c>
      <c r="K63" s="123">
        <v>12</v>
      </c>
      <c r="L63" s="122">
        <v>60</v>
      </c>
      <c r="M63" s="123">
        <v>45</v>
      </c>
      <c r="N63" s="123">
        <v>60</v>
      </c>
      <c r="O63" s="123">
        <v>0</v>
      </c>
      <c r="P63" s="122">
        <v>0</v>
      </c>
      <c r="Q63" s="123">
        <v>0</v>
      </c>
      <c r="R63" s="123">
        <v>0</v>
      </c>
      <c r="S63" s="123">
        <v>0</v>
      </c>
      <c r="T63" s="122">
        <v>85</v>
      </c>
      <c r="U63" s="123">
        <v>65</v>
      </c>
      <c r="V63" s="123">
        <v>20</v>
      </c>
      <c r="W63" s="123">
        <v>8</v>
      </c>
      <c r="X63" s="122">
        <v>20</v>
      </c>
      <c r="Y63" s="123">
        <v>20</v>
      </c>
      <c r="Z63" s="123">
        <v>10</v>
      </c>
      <c r="AA63" s="123">
        <v>7</v>
      </c>
      <c r="AB63" s="122">
        <v>0</v>
      </c>
      <c r="AC63" s="123">
        <v>0</v>
      </c>
      <c r="AD63" s="123">
        <v>0</v>
      </c>
      <c r="AE63" s="122">
        <f t="shared" si="42"/>
        <v>165</v>
      </c>
      <c r="AF63" s="123">
        <f t="shared" si="43"/>
        <v>130</v>
      </c>
      <c r="AG63" s="123">
        <f t="shared" si="44"/>
        <v>90</v>
      </c>
      <c r="AH63" s="123">
        <f t="shared" si="45"/>
        <v>15</v>
      </c>
      <c r="AI63" s="298">
        <f t="shared" si="46"/>
        <v>16242194100</v>
      </c>
      <c r="AJ63" s="23"/>
      <c r="AK63" s="23"/>
      <c r="AL63" s="23"/>
      <c r="AM63" s="23"/>
      <c r="AN63" s="23"/>
      <c r="AO63" s="23"/>
      <c r="AP63" s="23"/>
      <c r="AQ63" s="23"/>
      <c r="AR63" s="23"/>
    </row>
    <row r="64" spans="1:47" ht="14.25" customHeight="1" x14ac:dyDescent="0.25">
      <c r="A64" s="35" t="s">
        <v>52</v>
      </c>
      <c r="B64" s="120" t="s">
        <v>333</v>
      </c>
      <c r="C64" s="121" t="s">
        <v>799</v>
      </c>
      <c r="D64" s="135" t="str">
        <f>IF(ISNUMBER(MATCH(Table23[[#This Row],[General]],COVENANTS!$A$2:$A$100,0)), "Y","N")</f>
        <v>Y</v>
      </c>
      <c r="E64" s="135" t="str">
        <f>IF(ISNUMBER(MATCH(Table23[[#This Row],[General]],COVENANTS!$B$2:$B$100,0)), "Y","N")</f>
        <v>N</v>
      </c>
      <c r="F64" s="135" t="str">
        <f>IF(ISNUMBER(MATCH(Table23[[#This Row],[General]],COVENANTS!$C$2:$C$100,0)), "Y","N")</f>
        <v>N</v>
      </c>
      <c r="G64" s="135" t="str">
        <f>IF(ISNUMBER(MATCH(Table23[[#This Row],[General]],COVENANTS!$D$2:$D$100,0)), "Y","N")</f>
        <v>N</v>
      </c>
      <c r="H64" s="122">
        <v>25</v>
      </c>
      <c r="I64" s="123">
        <v>25</v>
      </c>
      <c r="J64" s="123">
        <v>25</v>
      </c>
      <c r="K64" s="123">
        <v>12</v>
      </c>
      <c r="L64" s="122">
        <v>55</v>
      </c>
      <c r="M64" s="123">
        <v>40</v>
      </c>
      <c r="N64" s="123">
        <v>55</v>
      </c>
      <c r="O64" s="123">
        <v>0</v>
      </c>
      <c r="P64" s="122">
        <v>0</v>
      </c>
      <c r="Q64" s="123">
        <v>0</v>
      </c>
      <c r="R64" s="123">
        <v>0</v>
      </c>
      <c r="S64" s="123">
        <v>0</v>
      </c>
      <c r="T64" s="122">
        <v>85</v>
      </c>
      <c r="U64" s="123">
        <v>50</v>
      </c>
      <c r="V64" s="123">
        <v>60</v>
      </c>
      <c r="W64" s="123">
        <v>0</v>
      </c>
      <c r="X64" s="122">
        <v>10</v>
      </c>
      <c r="Y64" s="123">
        <v>10</v>
      </c>
      <c r="Z64" s="123">
        <v>10</v>
      </c>
      <c r="AA64" s="123">
        <v>10</v>
      </c>
      <c r="AB64" s="122">
        <v>0</v>
      </c>
      <c r="AC64" s="123">
        <v>0</v>
      </c>
      <c r="AD64" s="123">
        <v>0</v>
      </c>
      <c r="AE64" s="122">
        <f t="shared" si="42"/>
        <v>150</v>
      </c>
      <c r="AF64" s="123">
        <f t="shared" si="43"/>
        <v>100</v>
      </c>
      <c r="AG64" s="123">
        <f t="shared" si="44"/>
        <v>125</v>
      </c>
      <c r="AH64" s="123">
        <f t="shared" si="45"/>
        <v>10</v>
      </c>
      <c r="AI64" s="298">
        <f t="shared" si="46"/>
        <v>13691841000</v>
      </c>
      <c r="AJ64" s="23"/>
      <c r="AK64" s="23"/>
      <c r="AL64" s="23"/>
      <c r="AM64" s="23"/>
      <c r="AN64" s="23"/>
      <c r="AO64" s="23"/>
      <c r="AP64" s="23"/>
      <c r="AQ64" s="23"/>
      <c r="AR64" s="23"/>
    </row>
    <row r="65" spans="1:44" ht="14.25" customHeight="1" x14ac:dyDescent="0.25">
      <c r="A65" s="35" t="s">
        <v>53</v>
      </c>
      <c r="B65" s="120" t="s">
        <v>333</v>
      </c>
      <c r="C65" s="121" t="s">
        <v>665</v>
      </c>
      <c r="D65" s="135" t="str">
        <f>IF(ISNUMBER(MATCH(Table23[[#This Row],[General]],COVENANTS!$A$2:$A$100,0)), "Y","N")</f>
        <v>Y</v>
      </c>
      <c r="E65" s="135" t="str">
        <f>IF(ISNUMBER(MATCH(Table23[[#This Row],[General]],COVENANTS!$B$2:$B$100,0)), "Y","N")</f>
        <v>N</v>
      </c>
      <c r="F65" s="135" t="str">
        <f>IF(ISNUMBER(MATCH(Table23[[#This Row],[General]],COVENANTS!$C$2:$C$100,0)), "Y","N")</f>
        <v>N</v>
      </c>
      <c r="G65" s="135" t="str">
        <f>IF(ISNUMBER(MATCH(Table23[[#This Row],[General]],COVENANTS!$D$2:$D$100,0)), "Y","N")</f>
        <v>N</v>
      </c>
      <c r="H65" s="122">
        <v>25</v>
      </c>
      <c r="I65" s="123">
        <v>25</v>
      </c>
      <c r="J65" s="123">
        <v>25</v>
      </c>
      <c r="K65" s="123">
        <v>12</v>
      </c>
      <c r="L65" s="122">
        <v>55</v>
      </c>
      <c r="M65" s="123">
        <v>40</v>
      </c>
      <c r="N65" s="123">
        <v>55</v>
      </c>
      <c r="O65" s="123">
        <v>0</v>
      </c>
      <c r="P65" s="122">
        <v>0</v>
      </c>
      <c r="Q65" s="123">
        <v>0</v>
      </c>
      <c r="R65" s="123">
        <v>0</v>
      </c>
      <c r="S65" s="123">
        <v>0</v>
      </c>
      <c r="T65" s="122">
        <v>75</v>
      </c>
      <c r="U65" s="123">
        <v>60</v>
      </c>
      <c r="V65" s="123">
        <v>60</v>
      </c>
      <c r="W65" s="123">
        <v>0</v>
      </c>
      <c r="X65" s="122">
        <v>15</v>
      </c>
      <c r="Y65" s="123">
        <v>10</v>
      </c>
      <c r="Z65" s="123">
        <v>5</v>
      </c>
      <c r="AA65" s="123">
        <v>10</v>
      </c>
      <c r="AB65" s="122">
        <v>0</v>
      </c>
      <c r="AC65" s="123">
        <v>0</v>
      </c>
      <c r="AD65" s="123">
        <v>0</v>
      </c>
      <c r="AE65" s="122">
        <f t="shared" si="42"/>
        <v>145</v>
      </c>
      <c r="AF65" s="123">
        <f t="shared" si="43"/>
        <v>110</v>
      </c>
      <c r="AG65" s="123">
        <f t="shared" si="44"/>
        <v>120</v>
      </c>
      <c r="AH65" s="123">
        <f t="shared" si="45"/>
        <v>10</v>
      </c>
      <c r="AI65" s="298">
        <f t="shared" si="46"/>
        <v>13325074300</v>
      </c>
      <c r="AJ65" s="23"/>
      <c r="AK65" s="23"/>
      <c r="AL65" s="23"/>
      <c r="AM65" s="23"/>
      <c r="AN65" s="23"/>
      <c r="AO65" s="23"/>
      <c r="AP65" s="23"/>
      <c r="AQ65" s="23"/>
      <c r="AR65" s="23"/>
    </row>
    <row r="66" spans="1:44" ht="14.25" customHeight="1" x14ac:dyDescent="0.25">
      <c r="A66" s="35" t="s">
        <v>54</v>
      </c>
      <c r="B66" s="120" t="s">
        <v>333</v>
      </c>
      <c r="C66" s="121" t="s">
        <v>326</v>
      </c>
      <c r="D66" s="135" t="str">
        <f>IF(ISNUMBER(MATCH(Table23[[#This Row],[General]],COVENANTS!$A$2:$A$100,0)), "Y","N")</f>
        <v>Y</v>
      </c>
      <c r="E66" s="135" t="str">
        <f>IF(ISNUMBER(MATCH(Table23[[#This Row],[General]],COVENANTS!$B$2:$B$100,0)), "Y","N")</f>
        <v>N</v>
      </c>
      <c r="F66" s="135" t="str">
        <f>IF(ISNUMBER(MATCH(Table23[[#This Row],[General]],COVENANTS!$C$2:$C$100,0)), "Y","N")</f>
        <v>N</v>
      </c>
      <c r="G66" s="135" t="str">
        <f>IF(ISNUMBER(MATCH(Table23[[#This Row],[General]],COVENANTS!$D$2:$D$100,0)), "Y","N")</f>
        <v>Y</v>
      </c>
      <c r="H66" s="122">
        <v>25</v>
      </c>
      <c r="I66" s="123">
        <v>25</v>
      </c>
      <c r="J66" s="123">
        <v>25</v>
      </c>
      <c r="K66" s="123">
        <v>12</v>
      </c>
      <c r="L66" s="122">
        <v>50</v>
      </c>
      <c r="M66" s="123">
        <v>40</v>
      </c>
      <c r="N66" s="123">
        <v>50</v>
      </c>
      <c r="O66" s="123">
        <v>0</v>
      </c>
      <c r="P66" s="122">
        <v>0</v>
      </c>
      <c r="Q66" s="123">
        <v>0</v>
      </c>
      <c r="R66" s="123">
        <v>0</v>
      </c>
      <c r="S66" s="123">
        <v>0</v>
      </c>
      <c r="T66" s="122">
        <v>75</v>
      </c>
      <c r="U66" s="123">
        <v>55</v>
      </c>
      <c r="V66" s="123">
        <v>45</v>
      </c>
      <c r="W66" s="123">
        <v>6</v>
      </c>
      <c r="X66" s="122">
        <v>10</v>
      </c>
      <c r="Y66" s="123">
        <v>10</v>
      </c>
      <c r="Z66" s="123">
        <v>10</v>
      </c>
      <c r="AA66" s="123">
        <v>6</v>
      </c>
      <c r="AB66" s="122">
        <v>0</v>
      </c>
      <c r="AC66" s="123">
        <v>0</v>
      </c>
      <c r="AD66" s="123">
        <v>0</v>
      </c>
      <c r="AE66" s="122">
        <f t="shared" si="42"/>
        <v>135</v>
      </c>
      <c r="AF66" s="123">
        <f t="shared" si="43"/>
        <v>105</v>
      </c>
      <c r="AG66" s="123">
        <f t="shared" si="44"/>
        <v>105</v>
      </c>
      <c r="AH66" s="123">
        <f t="shared" si="45"/>
        <v>12</v>
      </c>
      <c r="AI66" s="298">
        <f t="shared" si="46"/>
        <v>13163879700</v>
      </c>
      <c r="AJ66" s="23"/>
      <c r="AK66" s="23"/>
      <c r="AL66" s="23"/>
      <c r="AM66" s="23"/>
      <c r="AN66" s="23"/>
      <c r="AO66" s="23"/>
      <c r="AP66" s="23"/>
      <c r="AQ66" s="23"/>
      <c r="AR66" s="23"/>
    </row>
    <row r="67" spans="1:44" ht="14.25" customHeight="1" x14ac:dyDescent="0.25">
      <c r="A67" s="35" t="s">
        <v>55</v>
      </c>
      <c r="B67" s="120" t="s">
        <v>332</v>
      </c>
      <c r="C67" s="121" t="s">
        <v>690</v>
      </c>
      <c r="D67" s="135" t="str">
        <f>IF(ISNUMBER(MATCH(Table23[[#This Row],[General]],COVENANTS!$A$2:$A$100,0)), "Y","N")</f>
        <v>Y</v>
      </c>
      <c r="E67" s="135" t="str">
        <f>IF(ISNUMBER(MATCH(Table23[[#This Row],[General]],COVENANTS!$B$2:$B$100,0)), "Y","N")</f>
        <v>N</v>
      </c>
      <c r="F67" s="135" t="str">
        <f>IF(ISNUMBER(MATCH(Table23[[#This Row],[General]],COVENANTS!$C$2:$C$100,0)), "Y","N")</f>
        <v>N</v>
      </c>
      <c r="G67" s="135" t="str">
        <f>IF(ISNUMBER(MATCH(Table23[[#This Row],[General]],COVENANTS!$D$2:$D$100,0)), "Y","N")</f>
        <v>N</v>
      </c>
      <c r="H67" s="122">
        <v>25</v>
      </c>
      <c r="I67" s="123">
        <v>25</v>
      </c>
      <c r="J67" s="123">
        <v>25</v>
      </c>
      <c r="K67" s="123">
        <v>12</v>
      </c>
      <c r="L67" s="122">
        <v>55</v>
      </c>
      <c r="M67" s="123">
        <v>55</v>
      </c>
      <c r="N67" s="123">
        <v>40</v>
      </c>
      <c r="O67" s="123">
        <v>0</v>
      </c>
      <c r="P67" s="122">
        <v>0</v>
      </c>
      <c r="Q67" s="123">
        <v>0</v>
      </c>
      <c r="R67" s="123">
        <v>0</v>
      </c>
      <c r="S67" s="123">
        <v>0</v>
      </c>
      <c r="T67" s="122">
        <v>80</v>
      </c>
      <c r="U67" s="123">
        <v>60</v>
      </c>
      <c r="V67" s="123">
        <v>50</v>
      </c>
      <c r="W67" s="123">
        <v>0</v>
      </c>
      <c r="X67" s="122">
        <v>15</v>
      </c>
      <c r="Y67" s="123">
        <v>10</v>
      </c>
      <c r="Z67" s="123">
        <v>10</v>
      </c>
      <c r="AA67" s="123">
        <v>8</v>
      </c>
      <c r="AB67" s="122">
        <v>0</v>
      </c>
      <c r="AC67" s="123">
        <v>0</v>
      </c>
      <c r="AD67" s="123">
        <v>0</v>
      </c>
      <c r="AE67" s="122">
        <f t="shared" si="42"/>
        <v>150</v>
      </c>
      <c r="AF67" s="123">
        <f t="shared" si="43"/>
        <v>125</v>
      </c>
      <c r="AG67" s="123">
        <f t="shared" si="44"/>
        <v>100</v>
      </c>
      <c r="AH67" s="123">
        <f t="shared" si="45"/>
        <v>8</v>
      </c>
      <c r="AI67" s="298">
        <f t="shared" si="46"/>
        <v>13115661000</v>
      </c>
      <c r="AJ67" s="23"/>
      <c r="AK67" s="23"/>
      <c r="AL67" s="23"/>
      <c r="AM67" s="23"/>
      <c r="AN67" s="23"/>
      <c r="AO67" s="23"/>
      <c r="AP67" s="23"/>
      <c r="AQ67" s="23"/>
      <c r="AR67" s="23"/>
    </row>
    <row r="68" spans="1:44" ht="14.25" customHeight="1" x14ac:dyDescent="0.25">
      <c r="A68" s="35" t="s">
        <v>56</v>
      </c>
      <c r="B68" s="120" t="s">
        <v>332</v>
      </c>
      <c r="C68" s="121" t="s">
        <v>1126</v>
      </c>
      <c r="D68" s="135" t="str">
        <f>IF(ISNUMBER(MATCH(Table23[[#This Row],[General]],COVENANTS!$A$2:$A$100,0)), "Y","N")</f>
        <v>Y</v>
      </c>
      <c r="E68" s="135" t="str">
        <f>IF(ISNUMBER(MATCH(Table23[[#This Row],[General]],COVENANTS!$B$2:$B$100,0)), "Y","N")</f>
        <v>N</v>
      </c>
      <c r="F68" s="135" t="str">
        <f>IF(ISNUMBER(MATCH(Table23[[#This Row],[General]],COVENANTS!$C$2:$C$100,0)), "Y","N")</f>
        <v>N</v>
      </c>
      <c r="G68" s="135" t="str">
        <f>IF(ISNUMBER(MATCH(Table23[[#This Row],[General]],COVENANTS!$D$2:$D$100,0)), "Y","N")</f>
        <v>N</v>
      </c>
      <c r="H68" s="122">
        <v>25</v>
      </c>
      <c r="I68" s="123">
        <v>25</v>
      </c>
      <c r="J68" s="123">
        <v>25</v>
      </c>
      <c r="K68" s="123">
        <v>12</v>
      </c>
      <c r="L68" s="122">
        <v>60</v>
      </c>
      <c r="M68" s="123">
        <v>60</v>
      </c>
      <c r="N68" s="123">
        <v>45</v>
      </c>
      <c r="O68" s="123">
        <v>0</v>
      </c>
      <c r="P68" s="122">
        <v>0</v>
      </c>
      <c r="Q68" s="123">
        <v>0</v>
      </c>
      <c r="R68" s="123">
        <v>0</v>
      </c>
      <c r="S68" s="123">
        <v>0</v>
      </c>
      <c r="T68" s="122">
        <v>75</v>
      </c>
      <c r="U68" s="123">
        <v>65</v>
      </c>
      <c r="V68" s="123">
        <v>65</v>
      </c>
      <c r="W68" s="123">
        <v>0</v>
      </c>
      <c r="X68" s="122">
        <v>15</v>
      </c>
      <c r="Y68" s="123">
        <v>20</v>
      </c>
      <c r="Z68" s="123">
        <v>15</v>
      </c>
      <c r="AA68" s="123">
        <v>8</v>
      </c>
      <c r="AB68" s="122">
        <v>0</v>
      </c>
      <c r="AC68" s="123">
        <v>0</v>
      </c>
      <c r="AD68" s="123">
        <v>0</v>
      </c>
      <c r="AE68" s="122">
        <f t="shared" si="42"/>
        <v>150</v>
      </c>
      <c r="AF68" s="123">
        <f t="shared" si="43"/>
        <v>145</v>
      </c>
      <c r="AG68" s="123">
        <f t="shared" si="44"/>
        <v>125</v>
      </c>
      <c r="AH68" s="123">
        <f t="shared" si="45"/>
        <v>8</v>
      </c>
      <c r="AI68" s="298">
        <f t="shared" si="46"/>
        <v>13115661000</v>
      </c>
      <c r="AJ68" s="23"/>
      <c r="AK68" s="23"/>
      <c r="AL68" s="23"/>
      <c r="AM68" s="23"/>
      <c r="AN68" s="23"/>
      <c r="AO68" s="23"/>
      <c r="AP68" s="23"/>
      <c r="AQ68" s="23"/>
      <c r="AR68" s="23"/>
    </row>
    <row r="69" spans="1:44" ht="14.25" customHeight="1" x14ac:dyDescent="0.25">
      <c r="A69" s="35" t="s">
        <v>57</v>
      </c>
      <c r="B69" s="120" t="s">
        <v>333</v>
      </c>
      <c r="C69" s="121" t="s">
        <v>171</v>
      </c>
      <c r="D69" s="135" t="str">
        <f>IF(ISNUMBER(MATCH(Table23[[#This Row],[General]],COVENANTS!$A$2:$A$100,0)), "Y","N")</f>
        <v>Y</v>
      </c>
      <c r="E69" s="135" t="str">
        <f>IF(ISNUMBER(MATCH(Table23[[#This Row],[General]],COVENANTS!$B$2:$B$100,0)), "Y","N")</f>
        <v>N</v>
      </c>
      <c r="F69" s="135" t="str">
        <f>IF(ISNUMBER(MATCH(Table23[[#This Row],[General]],COVENANTS!$C$2:$C$100,0)), "Y","N")</f>
        <v>N</v>
      </c>
      <c r="G69" s="135" t="str">
        <f>IF(ISNUMBER(MATCH(Table23[[#This Row],[General]],COVENANTS!$D$2:$D$100,0)), "Y","N")</f>
        <v>Y</v>
      </c>
      <c r="H69" s="122">
        <v>0</v>
      </c>
      <c r="I69" s="123">
        <v>25</v>
      </c>
      <c r="J69" s="123">
        <v>25</v>
      </c>
      <c r="K69" s="123">
        <v>12</v>
      </c>
      <c r="L69" s="122">
        <v>50</v>
      </c>
      <c r="M69" s="123">
        <v>40</v>
      </c>
      <c r="N69" s="123">
        <v>40</v>
      </c>
      <c r="O69" s="123">
        <v>0</v>
      </c>
      <c r="P69" s="122">
        <v>0</v>
      </c>
      <c r="Q69" s="123">
        <v>0</v>
      </c>
      <c r="R69" s="123">
        <v>0</v>
      </c>
      <c r="S69" s="123">
        <v>0</v>
      </c>
      <c r="T69" s="122">
        <v>75</v>
      </c>
      <c r="U69" s="123">
        <v>40</v>
      </c>
      <c r="V69" s="123">
        <v>50</v>
      </c>
      <c r="W69" s="123">
        <v>0</v>
      </c>
      <c r="X69" s="122">
        <v>10</v>
      </c>
      <c r="Y69" s="123">
        <v>5</v>
      </c>
      <c r="Z69" s="123">
        <v>10</v>
      </c>
      <c r="AA69" s="123">
        <v>10</v>
      </c>
      <c r="AB69" s="122">
        <v>0</v>
      </c>
      <c r="AC69" s="123">
        <v>0</v>
      </c>
      <c r="AD69" s="123">
        <v>0</v>
      </c>
      <c r="AE69" s="122">
        <f t="shared" si="42"/>
        <v>135</v>
      </c>
      <c r="AF69" s="123">
        <f t="shared" si="43"/>
        <v>85</v>
      </c>
      <c r="AG69" s="123">
        <f t="shared" si="44"/>
        <v>100</v>
      </c>
      <c r="AH69" s="123">
        <f t="shared" si="45"/>
        <v>10</v>
      </c>
      <c r="AI69" s="298">
        <f t="shared" si="46"/>
        <v>12591540900</v>
      </c>
      <c r="AJ69" s="23"/>
      <c r="AK69" s="23"/>
      <c r="AL69" s="23"/>
      <c r="AM69" s="23"/>
      <c r="AN69" s="23"/>
      <c r="AO69" s="23"/>
      <c r="AP69" s="23"/>
      <c r="AQ69" s="23"/>
      <c r="AR69" s="23"/>
    </row>
    <row r="70" spans="1:44" ht="14.25" customHeight="1" x14ac:dyDescent="0.25">
      <c r="A70" s="35" t="s">
        <v>58</v>
      </c>
      <c r="B70" s="120" t="s">
        <v>332</v>
      </c>
      <c r="C70" s="121" t="s">
        <v>174</v>
      </c>
      <c r="D70" s="135" t="str">
        <f>IF(ISNUMBER(MATCH(Table23[[#This Row],[General]],COVENANTS!$A$2:$A$100,0)), "Y","N")</f>
        <v>Y</v>
      </c>
      <c r="E70" s="135" t="str">
        <f>IF(ISNUMBER(MATCH(Table23[[#This Row],[General]],COVENANTS!$B$2:$B$100,0)), "Y","N")</f>
        <v>Y</v>
      </c>
      <c r="F70" s="135" t="str">
        <f>IF(ISNUMBER(MATCH(Table23[[#This Row],[General]],COVENANTS!$C$2:$C$100,0)), "Y","N")</f>
        <v>N</v>
      </c>
      <c r="G70" s="135" t="str">
        <f>IF(ISNUMBER(MATCH(Table23[[#This Row],[General]],COVENANTS!$D$2:$D$100,0)), "Y","N")</f>
        <v>N</v>
      </c>
      <c r="H70" s="122">
        <v>25</v>
      </c>
      <c r="I70" s="123">
        <v>25</v>
      </c>
      <c r="J70" s="123">
        <v>25</v>
      </c>
      <c r="K70" s="123">
        <v>12</v>
      </c>
      <c r="L70" s="122">
        <v>45</v>
      </c>
      <c r="M70" s="123">
        <v>45</v>
      </c>
      <c r="N70" s="123">
        <v>30</v>
      </c>
      <c r="O70" s="123">
        <v>0</v>
      </c>
      <c r="P70" s="122">
        <v>0</v>
      </c>
      <c r="Q70" s="123">
        <v>0</v>
      </c>
      <c r="R70" s="123">
        <v>0</v>
      </c>
      <c r="S70" s="123">
        <v>0</v>
      </c>
      <c r="T70" s="122">
        <v>70</v>
      </c>
      <c r="U70" s="123">
        <v>45</v>
      </c>
      <c r="V70" s="123">
        <v>35</v>
      </c>
      <c r="W70" s="123">
        <v>0</v>
      </c>
      <c r="X70" s="122">
        <v>8</v>
      </c>
      <c r="Y70" s="123">
        <v>10</v>
      </c>
      <c r="Z70" s="123">
        <v>20</v>
      </c>
      <c r="AA70" s="123">
        <v>10</v>
      </c>
      <c r="AB70" s="122">
        <v>0</v>
      </c>
      <c r="AC70" s="123">
        <v>0</v>
      </c>
      <c r="AD70" s="123">
        <v>0</v>
      </c>
      <c r="AE70" s="122">
        <f t="shared" si="42"/>
        <v>123</v>
      </c>
      <c r="AF70" s="123">
        <f t="shared" si="43"/>
        <v>100</v>
      </c>
      <c r="AG70" s="123">
        <f t="shared" si="44"/>
        <v>85</v>
      </c>
      <c r="AH70" s="123">
        <f t="shared" si="45"/>
        <v>10</v>
      </c>
      <c r="AI70" s="298">
        <f t="shared" si="46"/>
        <v>11711300820</v>
      </c>
      <c r="AJ70" s="23"/>
      <c r="AK70" s="23"/>
      <c r="AL70" s="23"/>
      <c r="AM70" s="23"/>
      <c r="AN70" s="23"/>
      <c r="AO70" s="23"/>
      <c r="AP70" s="23"/>
      <c r="AQ70" s="23"/>
      <c r="AR70" s="23"/>
    </row>
    <row r="71" spans="1:44" ht="14.25" customHeight="1" x14ac:dyDescent="0.25">
      <c r="A71" s="35" t="s">
        <v>59</v>
      </c>
      <c r="B71" s="120" t="s">
        <v>332</v>
      </c>
      <c r="C71" s="121" t="s">
        <v>209</v>
      </c>
      <c r="D71" s="135" t="str">
        <f>IF(ISNUMBER(MATCH(Table23[[#This Row],[General]],COVENANTS!$A$2:$A$100,0)), "Y","N")</f>
        <v>Y</v>
      </c>
      <c r="E71" s="135" t="str">
        <f>IF(ISNUMBER(MATCH(Table23[[#This Row],[General]],COVENANTS!$B$2:$B$100,0)), "Y","N")</f>
        <v>N</v>
      </c>
      <c r="F71" s="135" t="str">
        <f>IF(ISNUMBER(MATCH(Table23[[#This Row],[General]],COVENANTS!$C$2:$C$100,0)), "Y","N")</f>
        <v>N</v>
      </c>
      <c r="G71" s="135" t="str">
        <f>IF(ISNUMBER(MATCH(Table23[[#This Row],[General]],COVENANTS!$D$2:$D$100,0)), "Y","N")</f>
        <v>Y</v>
      </c>
      <c r="H71" s="122">
        <v>25</v>
      </c>
      <c r="I71" s="123">
        <v>25</v>
      </c>
      <c r="J71" s="123">
        <v>25</v>
      </c>
      <c r="K71" s="123">
        <v>12</v>
      </c>
      <c r="L71" s="122">
        <v>50</v>
      </c>
      <c r="M71" s="123">
        <v>50</v>
      </c>
      <c r="N71" s="123">
        <v>40</v>
      </c>
      <c r="O71" s="123">
        <v>0</v>
      </c>
      <c r="P71" s="122">
        <v>0</v>
      </c>
      <c r="Q71" s="123">
        <v>0</v>
      </c>
      <c r="R71" s="123">
        <v>0</v>
      </c>
      <c r="S71" s="123">
        <v>0</v>
      </c>
      <c r="T71" s="122">
        <v>75</v>
      </c>
      <c r="U71" s="123">
        <v>55</v>
      </c>
      <c r="V71" s="123">
        <v>45</v>
      </c>
      <c r="W71" s="123">
        <v>0</v>
      </c>
      <c r="X71" s="122">
        <v>15</v>
      </c>
      <c r="Y71" s="123">
        <v>10</v>
      </c>
      <c r="Z71" s="123">
        <v>10</v>
      </c>
      <c r="AA71" s="123">
        <v>5</v>
      </c>
      <c r="AB71" s="122">
        <v>0</v>
      </c>
      <c r="AC71" s="123">
        <v>0</v>
      </c>
      <c r="AD71" s="123">
        <v>0</v>
      </c>
      <c r="AE71" s="122">
        <f t="shared" si="42"/>
        <v>140</v>
      </c>
      <c r="AF71" s="123">
        <f t="shared" si="43"/>
        <v>115</v>
      </c>
      <c r="AG71" s="123">
        <f t="shared" si="44"/>
        <v>95</v>
      </c>
      <c r="AH71" s="123">
        <f t="shared" si="45"/>
        <v>5</v>
      </c>
      <c r="AI71" s="298">
        <f t="shared" si="46"/>
        <v>11524259600</v>
      </c>
      <c r="AJ71" s="23"/>
      <c r="AK71" s="23"/>
      <c r="AL71" s="23"/>
      <c r="AM71" s="23"/>
      <c r="AN71" s="23"/>
      <c r="AO71" s="23"/>
      <c r="AP71" s="23"/>
      <c r="AQ71" s="23"/>
      <c r="AR71" s="23"/>
    </row>
    <row r="72" spans="1:44" ht="14.25" customHeight="1" x14ac:dyDescent="0.25">
      <c r="A72" s="35" t="s">
        <v>60</v>
      </c>
      <c r="B72" s="120" t="s">
        <v>333</v>
      </c>
      <c r="C72" s="121" t="s">
        <v>180</v>
      </c>
      <c r="D72" s="135" t="str">
        <f>IF(ISNUMBER(MATCH(Table23[[#This Row],[General]],COVENANTS!$A$2:$A$100,0)), "Y","N")</f>
        <v>Y</v>
      </c>
      <c r="E72" s="135" t="str">
        <f>IF(ISNUMBER(MATCH(Table23[[#This Row],[General]],COVENANTS!$B$2:$B$100,0)), "Y","N")</f>
        <v>Y</v>
      </c>
      <c r="F72" s="135" t="str">
        <f>IF(ISNUMBER(MATCH(Table23[[#This Row],[General]],COVENANTS!$C$2:$C$100,0)), "Y","N")</f>
        <v>N</v>
      </c>
      <c r="G72" s="135" t="str">
        <f>IF(ISNUMBER(MATCH(Table23[[#This Row],[General]],COVENANTS!$D$2:$D$100,0)), "Y","N")</f>
        <v>N</v>
      </c>
      <c r="H72" s="122">
        <v>25</v>
      </c>
      <c r="I72" s="123">
        <v>25</v>
      </c>
      <c r="J72" s="123">
        <v>25</v>
      </c>
      <c r="K72" s="123">
        <v>12</v>
      </c>
      <c r="L72" s="122">
        <v>40</v>
      </c>
      <c r="M72" s="123">
        <v>40</v>
      </c>
      <c r="N72" s="123">
        <v>40</v>
      </c>
      <c r="O72" s="123">
        <v>8</v>
      </c>
      <c r="P72" s="122">
        <v>0</v>
      </c>
      <c r="Q72" s="123">
        <v>0</v>
      </c>
      <c r="R72" s="123">
        <v>0</v>
      </c>
      <c r="S72" s="123">
        <v>0</v>
      </c>
      <c r="T72" s="122">
        <v>56</v>
      </c>
      <c r="U72" s="123">
        <v>35</v>
      </c>
      <c r="V72" s="123">
        <v>25</v>
      </c>
      <c r="W72" s="123">
        <v>0</v>
      </c>
      <c r="X72" s="122">
        <v>10</v>
      </c>
      <c r="Y72" s="123">
        <v>5</v>
      </c>
      <c r="Z72" s="123">
        <v>5</v>
      </c>
      <c r="AA72" s="123">
        <v>5</v>
      </c>
      <c r="AB72" s="122">
        <v>0</v>
      </c>
      <c r="AC72" s="123">
        <v>0</v>
      </c>
      <c r="AD72" s="123">
        <v>0</v>
      </c>
      <c r="AE72" s="122">
        <f t="shared" si="42"/>
        <v>106</v>
      </c>
      <c r="AF72" s="123">
        <f t="shared" si="43"/>
        <v>80</v>
      </c>
      <c r="AG72" s="123">
        <f t="shared" si="44"/>
        <v>70</v>
      </c>
      <c r="AH72" s="123">
        <f t="shared" si="45"/>
        <v>13</v>
      </c>
      <c r="AI72" s="298">
        <f t="shared" si="46"/>
        <v>11311662760</v>
      </c>
      <c r="AJ72" s="23"/>
      <c r="AK72" s="23"/>
      <c r="AL72" s="23"/>
      <c r="AM72" s="23"/>
      <c r="AN72" s="23"/>
      <c r="AO72" s="23"/>
      <c r="AP72" s="23"/>
      <c r="AQ72" s="23"/>
      <c r="AR72" s="23"/>
    </row>
    <row r="73" spans="1:44" ht="14.25" customHeight="1" x14ac:dyDescent="0.25">
      <c r="A73" s="35" t="s">
        <v>61</v>
      </c>
      <c r="B73" s="120" t="s">
        <v>332</v>
      </c>
      <c r="C73" s="121" t="s">
        <v>522</v>
      </c>
      <c r="D73" s="135" t="str">
        <f>IF(ISNUMBER(MATCH(Table23[[#This Row],[General]],COVENANTS!$A$2:$A$100,0)), "Y","N")</f>
        <v>Y</v>
      </c>
      <c r="E73" s="135" t="str">
        <f>IF(ISNUMBER(MATCH(Table23[[#This Row],[General]],COVENANTS!$B$2:$B$100,0)), "Y","N")</f>
        <v>N</v>
      </c>
      <c r="F73" s="135" t="str">
        <f>IF(ISNUMBER(MATCH(Table23[[#This Row],[General]],COVENANTS!$C$2:$C$100,0)), "Y","N")</f>
        <v>N</v>
      </c>
      <c r="G73" s="135" t="str">
        <f>IF(ISNUMBER(MATCH(Table23[[#This Row],[General]],COVENANTS!$D$2:$D$100,0)), "Y","N")</f>
        <v>Y</v>
      </c>
      <c r="H73" s="122">
        <v>25</v>
      </c>
      <c r="I73" s="123">
        <v>25</v>
      </c>
      <c r="J73" s="123">
        <v>25</v>
      </c>
      <c r="K73" s="123">
        <v>12</v>
      </c>
      <c r="L73" s="122">
        <v>45</v>
      </c>
      <c r="M73" s="123">
        <v>45</v>
      </c>
      <c r="N73" s="123">
        <v>0</v>
      </c>
      <c r="O73" s="123">
        <v>8</v>
      </c>
      <c r="P73" s="122">
        <v>0</v>
      </c>
      <c r="Q73" s="123">
        <v>0</v>
      </c>
      <c r="R73" s="123">
        <v>0</v>
      </c>
      <c r="S73" s="123">
        <v>0</v>
      </c>
      <c r="T73" s="122">
        <v>70</v>
      </c>
      <c r="U73" s="123">
        <v>45</v>
      </c>
      <c r="V73" s="123">
        <v>35</v>
      </c>
      <c r="W73" s="123">
        <v>0</v>
      </c>
      <c r="X73" s="122">
        <v>10</v>
      </c>
      <c r="Y73" s="123">
        <v>10</v>
      </c>
      <c r="Z73" s="123">
        <v>10</v>
      </c>
      <c r="AA73" s="123">
        <v>0</v>
      </c>
      <c r="AB73" s="122">
        <v>0</v>
      </c>
      <c r="AC73" s="123">
        <v>0</v>
      </c>
      <c r="AD73" s="123">
        <v>0</v>
      </c>
      <c r="AE73" s="122">
        <f t="shared" si="42"/>
        <v>125</v>
      </c>
      <c r="AF73" s="123">
        <f t="shared" si="43"/>
        <v>100</v>
      </c>
      <c r="AG73" s="123">
        <f t="shared" si="44"/>
        <v>45</v>
      </c>
      <c r="AH73" s="123">
        <f t="shared" si="45"/>
        <v>8</v>
      </c>
      <c r="AI73" s="298">
        <f t="shared" si="46"/>
        <v>11288229500</v>
      </c>
      <c r="AJ73" s="23"/>
      <c r="AK73" s="23"/>
      <c r="AL73" s="23"/>
      <c r="AM73" s="23"/>
      <c r="AN73" s="23"/>
      <c r="AO73" s="23"/>
      <c r="AP73" s="23"/>
      <c r="AQ73" s="23"/>
      <c r="AR73" s="23"/>
    </row>
    <row r="74" spans="1:44" ht="14.25" customHeight="1" x14ac:dyDescent="0.25">
      <c r="A74" s="35" t="s">
        <v>62</v>
      </c>
      <c r="B74" s="120" t="s">
        <v>333</v>
      </c>
      <c r="C74" s="121" t="s">
        <v>173</v>
      </c>
      <c r="D74" s="135" t="str">
        <f>IF(ISNUMBER(MATCH(Table23[[#This Row],[General]],COVENANTS!$A$2:$A$100,0)), "Y","N")</f>
        <v>Y</v>
      </c>
      <c r="E74" s="135" t="str">
        <f>IF(ISNUMBER(MATCH(Table23[[#This Row],[General]],COVENANTS!$B$2:$B$100,0)), "Y","N")</f>
        <v>N</v>
      </c>
      <c r="F74" s="135" t="str">
        <f>IF(ISNUMBER(MATCH(Table23[[#This Row],[General]],COVENANTS!$C$2:$C$100,0)), "Y","N")</f>
        <v>N</v>
      </c>
      <c r="G74" s="135" t="str">
        <f>IF(ISNUMBER(MATCH(Table23[[#This Row],[General]],COVENANTS!$D$2:$D$100,0)), "Y","N")</f>
        <v>N</v>
      </c>
      <c r="H74" s="122">
        <v>0</v>
      </c>
      <c r="I74" s="123">
        <v>25</v>
      </c>
      <c r="J74" s="123">
        <v>25</v>
      </c>
      <c r="K74" s="123">
        <v>12</v>
      </c>
      <c r="L74" s="122">
        <v>45</v>
      </c>
      <c r="M74" s="123">
        <v>20</v>
      </c>
      <c r="N74" s="123">
        <v>20</v>
      </c>
      <c r="O74" s="123">
        <v>0</v>
      </c>
      <c r="P74" s="122">
        <v>0</v>
      </c>
      <c r="Q74" s="123">
        <v>0</v>
      </c>
      <c r="R74" s="123">
        <v>0</v>
      </c>
      <c r="S74" s="123">
        <v>0</v>
      </c>
      <c r="T74" s="122">
        <v>70</v>
      </c>
      <c r="U74" s="123">
        <v>10</v>
      </c>
      <c r="V74" s="123">
        <v>20</v>
      </c>
      <c r="W74" s="123">
        <v>0</v>
      </c>
      <c r="X74" s="122">
        <v>15</v>
      </c>
      <c r="Y74" s="123">
        <v>5</v>
      </c>
      <c r="Z74" s="123">
        <v>5</v>
      </c>
      <c r="AA74" s="123">
        <v>5</v>
      </c>
      <c r="AB74" s="122">
        <v>0</v>
      </c>
      <c r="AC74" s="123">
        <v>0</v>
      </c>
      <c r="AD74" s="123">
        <v>0</v>
      </c>
      <c r="AE74" s="122">
        <f t="shared" si="42"/>
        <v>130</v>
      </c>
      <c r="AF74" s="123">
        <f t="shared" si="43"/>
        <v>35</v>
      </c>
      <c r="AG74" s="123">
        <f t="shared" si="44"/>
        <v>45</v>
      </c>
      <c r="AH74" s="123">
        <f t="shared" si="45"/>
        <v>5</v>
      </c>
      <c r="AI74" s="298">
        <f t="shared" si="46"/>
        <v>10797128200</v>
      </c>
      <c r="AJ74" s="23"/>
      <c r="AK74" s="23"/>
      <c r="AL74" s="23"/>
      <c r="AM74" s="23"/>
      <c r="AN74" s="23"/>
      <c r="AO74" s="23"/>
      <c r="AP74" s="23"/>
      <c r="AQ74" s="23"/>
      <c r="AR74" s="23"/>
    </row>
    <row r="75" spans="1:44" ht="14.25" customHeight="1" x14ac:dyDescent="0.25">
      <c r="A75" s="35" t="s">
        <v>63</v>
      </c>
      <c r="B75" s="120" t="s">
        <v>332</v>
      </c>
      <c r="C75" s="121" t="s">
        <v>185</v>
      </c>
      <c r="D75" s="135" t="str">
        <f>IF(ISNUMBER(MATCH(Table23[[#This Row],[General]],COVENANTS!$A$2:$A$100,0)), "Y","N")</f>
        <v>N</v>
      </c>
      <c r="E75" s="135" t="str">
        <f>IF(ISNUMBER(MATCH(Table23[[#This Row],[General]],COVENANTS!$B$2:$B$100,0)), "Y","N")</f>
        <v>N</v>
      </c>
      <c r="F75" s="135" t="str">
        <f>IF(ISNUMBER(MATCH(Table23[[#This Row],[General]],COVENANTS!$C$2:$C$100,0)), "Y","N")</f>
        <v>N</v>
      </c>
      <c r="G75" s="135" t="str">
        <f>IF(ISNUMBER(MATCH(Table23[[#This Row],[General]],COVENANTS!$D$2:$D$100,0)), "Y","N")</f>
        <v>N</v>
      </c>
      <c r="H75" s="122">
        <v>25</v>
      </c>
      <c r="I75" s="123">
        <v>25</v>
      </c>
      <c r="J75" s="123">
        <v>25</v>
      </c>
      <c r="K75" s="123">
        <v>12</v>
      </c>
      <c r="L75" s="122">
        <v>40</v>
      </c>
      <c r="M75" s="123">
        <v>0</v>
      </c>
      <c r="N75" s="123">
        <v>40</v>
      </c>
      <c r="O75" s="123">
        <v>12</v>
      </c>
      <c r="P75" s="122">
        <v>0</v>
      </c>
      <c r="Q75" s="123">
        <v>0</v>
      </c>
      <c r="R75" s="123">
        <v>0</v>
      </c>
      <c r="S75" s="123">
        <v>0</v>
      </c>
      <c r="T75" s="122">
        <v>60</v>
      </c>
      <c r="U75" s="123">
        <v>45</v>
      </c>
      <c r="V75" s="123">
        <v>45</v>
      </c>
      <c r="W75" s="123">
        <v>0</v>
      </c>
      <c r="X75" s="122">
        <v>0</v>
      </c>
      <c r="Y75" s="123">
        <v>0</v>
      </c>
      <c r="Z75" s="123">
        <v>10</v>
      </c>
      <c r="AA75" s="123">
        <v>0</v>
      </c>
      <c r="AB75" s="122">
        <v>0</v>
      </c>
      <c r="AC75" s="123">
        <v>0</v>
      </c>
      <c r="AD75" s="123">
        <v>0</v>
      </c>
      <c r="AE75" s="122">
        <f t="shared" si="42"/>
        <v>100</v>
      </c>
      <c r="AF75" s="123">
        <f t="shared" si="43"/>
        <v>45</v>
      </c>
      <c r="AG75" s="123">
        <f t="shared" si="44"/>
        <v>95</v>
      </c>
      <c r="AH75" s="123">
        <f t="shared" si="45"/>
        <v>12</v>
      </c>
      <c r="AI75" s="298">
        <f t="shared" si="46"/>
        <v>10587550000</v>
      </c>
      <c r="AJ75" s="23"/>
      <c r="AK75" s="23"/>
      <c r="AL75" s="23"/>
      <c r="AM75" s="23"/>
      <c r="AN75" s="23"/>
      <c r="AO75" s="23"/>
      <c r="AP75" s="23"/>
      <c r="AQ75" s="23"/>
      <c r="AR75" s="23"/>
    </row>
    <row r="76" spans="1:44" ht="14.25" customHeight="1" x14ac:dyDescent="0.25">
      <c r="A76" s="35" t="s">
        <v>64</v>
      </c>
      <c r="B76" s="120" t="s">
        <v>332</v>
      </c>
      <c r="C76" s="121" t="s">
        <v>176</v>
      </c>
      <c r="D76" s="135" t="str">
        <f>IF(ISNUMBER(MATCH(Table23[[#This Row],[General]],COVENANTS!$A$2:$A$100,0)), "Y","N")</f>
        <v>N</v>
      </c>
      <c r="E76" s="135" t="str">
        <f>IF(ISNUMBER(MATCH(Table23[[#This Row],[General]],COVENANTS!$B$2:$B$100,0)), "Y","N")</f>
        <v>N</v>
      </c>
      <c r="F76" s="135" t="str">
        <f>IF(ISNUMBER(MATCH(Table23[[#This Row],[General]],COVENANTS!$C$2:$C$100,0)), "Y","N")</f>
        <v>N</v>
      </c>
      <c r="G76" s="135" t="str">
        <f>IF(ISNUMBER(MATCH(Table23[[#This Row],[General]],COVENANTS!$D$2:$D$100,0)), "Y","N")</f>
        <v>N</v>
      </c>
      <c r="H76" s="122">
        <v>25</v>
      </c>
      <c r="I76" s="123">
        <v>25</v>
      </c>
      <c r="J76" s="123">
        <v>25</v>
      </c>
      <c r="K76" s="123">
        <v>12</v>
      </c>
      <c r="L76" s="122">
        <v>45</v>
      </c>
      <c r="M76" s="123">
        <v>35</v>
      </c>
      <c r="N76" s="123">
        <v>10</v>
      </c>
      <c r="O76" s="123">
        <v>0</v>
      </c>
      <c r="P76" s="122">
        <v>0</v>
      </c>
      <c r="Q76" s="123">
        <v>0</v>
      </c>
      <c r="R76" s="123">
        <v>0</v>
      </c>
      <c r="S76" s="123">
        <v>0</v>
      </c>
      <c r="T76" s="122">
        <v>61</v>
      </c>
      <c r="U76" s="123">
        <v>40</v>
      </c>
      <c r="V76" s="123">
        <v>0</v>
      </c>
      <c r="W76" s="123">
        <v>6</v>
      </c>
      <c r="X76" s="122">
        <v>10</v>
      </c>
      <c r="Y76" s="123">
        <v>0</v>
      </c>
      <c r="Z76" s="123">
        <v>0</v>
      </c>
      <c r="AA76" s="123">
        <v>0</v>
      </c>
      <c r="AB76" s="122">
        <v>0</v>
      </c>
      <c r="AC76" s="123">
        <v>0</v>
      </c>
      <c r="AD76" s="123">
        <v>0</v>
      </c>
      <c r="AE76" s="122">
        <f t="shared" si="42"/>
        <v>116</v>
      </c>
      <c r="AF76" s="123">
        <f t="shared" si="43"/>
        <v>75</v>
      </c>
      <c r="AG76" s="123">
        <f t="shared" si="44"/>
        <v>10</v>
      </c>
      <c r="AH76" s="123">
        <f t="shared" si="45"/>
        <v>6</v>
      </c>
      <c r="AI76" s="298">
        <f t="shared" si="46"/>
        <v>10062880880</v>
      </c>
      <c r="AJ76" s="23"/>
      <c r="AK76" s="23"/>
      <c r="AL76" s="23"/>
      <c r="AM76" s="23"/>
      <c r="AN76" s="23"/>
      <c r="AO76" s="23"/>
      <c r="AP76" s="23"/>
      <c r="AQ76" s="23"/>
      <c r="AR76" s="23"/>
    </row>
    <row r="77" spans="1:44" ht="14.25" customHeight="1" x14ac:dyDescent="0.25">
      <c r="A77" s="35" t="s">
        <v>65</v>
      </c>
      <c r="B77" s="120" t="s">
        <v>333</v>
      </c>
      <c r="C77" s="121" t="s">
        <v>187</v>
      </c>
      <c r="D77" s="135" t="str">
        <f>IF(ISNUMBER(MATCH(Table23[[#This Row],[General]],COVENANTS!$A$2:$A$100,0)), "Y","N")</f>
        <v>N</v>
      </c>
      <c r="E77" s="135" t="str">
        <f>IF(ISNUMBER(MATCH(Table23[[#This Row],[General]],COVENANTS!$B$2:$B$100,0)), "Y","N")</f>
        <v>N</v>
      </c>
      <c r="F77" s="135" t="str">
        <f>IF(ISNUMBER(MATCH(Table23[[#This Row],[General]],COVENANTS!$C$2:$C$100,0)), "Y","N")</f>
        <v>N</v>
      </c>
      <c r="G77" s="135" t="str">
        <f>IF(ISNUMBER(MATCH(Table23[[#This Row],[General]],COVENANTS!$D$2:$D$100,0)), "Y","N")</f>
        <v>Y</v>
      </c>
      <c r="H77" s="122">
        <v>0</v>
      </c>
      <c r="I77" s="123">
        <v>25</v>
      </c>
      <c r="J77" s="123">
        <v>25</v>
      </c>
      <c r="K77" s="123">
        <v>12</v>
      </c>
      <c r="L77" s="122">
        <v>45</v>
      </c>
      <c r="M77" s="123">
        <v>20</v>
      </c>
      <c r="N77" s="123">
        <v>0</v>
      </c>
      <c r="O77" s="123">
        <v>0</v>
      </c>
      <c r="P77" s="122">
        <v>0</v>
      </c>
      <c r="Q77" s="123">
        <v>0</v>
      </c>
      <c r="R77" s="123">
        <v>0</v>
      </c>
      <c r="S77" s="123">
        <v>0</v>
      </c>
      <c r="T77" s="122">
        <v>70</v>
      </c>
      <c r="U77" s="123">
        <v>45</v>
      </c>
      <c r="V77" s="123">
        <v>10</v>
      </c>
      <c r="W77" s="123">
        <v>6</v>
      </c>
      <c r="X77" s="122">
        <v>0</v>
      </c>
      <c r="Y77" s="123">
        <v>10</v>
      </c>
      <c r="Z77" s="123">
        <v>0</v>
      </c>
      <c r="AA77" s="123">
        <v>0</v>
      </c>
      <c r="AB77" s="122">
        <v>0</v>
      </c>
      <c r="AC77" s="123">
        <v>0</v>
      </c>
      <c r="AD77" s="123">
        <v>0</v>
      </c>
      <c r="AE77" s="122">
        <f t="shared" si="42"/>
        <v>115</v>
      </c>
      <c r="AF77" s="123">
        <f t="shared" si="43"/>
        <v>75</v>
      </c>
      <c r="AG77" s="123">
        <f t="shared" si="44"/>
        <v>10</v>
      </c>
      <c r="AH77" s="123">
        <f t="shared" si="45"/>
        <v>6</v>
      </c>
      <c r="AI77" s="298">
        <f t="shared" si="46"/>
        <v>9990039700</v>
      </c>
      <c r="AJ77" s="23"/>
      <c r="AK77" s="23"/>
      <c r="AL77" s="23"/>
      <c r="AM77" s="23"/>
      <c r="AN77" s="23"/>
      <c r="AO77" s="23"/>
      <c r="AP77" s="23"/>
      <c r="AQ77" s="23"/>
      <c r="AR77" s="23"/>
    </row>
    <row r="78" spans="1:44" ht="14.25" customHeight="1" x14ac:dyDescent="0.25">
      <c r="A78" s="35" t="s">
        <v>66</v>
      </c>
      <c r="B78" s="120" t="s">
        <v>332</v>
      </c>
      <c r="C78" s="142" t="s">
        <v>301</v>
      </c>
      <c r="D78" s="135" t="str">
        <f>IF(ISNUMBER(MATCH(Table23[[#This Row],[General]],COVENANTS!$A$2:$A$100,0)), "Y","N")</f>
        <v>N</v>
      </c>
      <c r="E78" s="135" t="str">
        <f>IF(ISNUMBER(MATCH(Table23[[#This Row],[General]],COVENANTS!$B$2:$B$100,0)), "Y","N")</f>
        <v>N</v>
      </c>
      <c r="F78" s="135" t="str">
        <f>IF(ISNUMBER(MATCH(Table23[[#This Row],[General]],COVENANTS!$C$2:$C$100,0)), "Y","N")</f>
        <v>N</v>
      </c>
      <c r="G78" s="135" t="str">
        <f>IF(ISNUMBER(MATCH(Table23[[#This Row],[General]],COVENANTS!$D$2:$D$100,0)), "Y","N")</f>
        <v>N</v>
      </c>
      <c r="H78" s="122">
        <v>25</v>
      </c>
      <c r="I78" s="123">
        <v>25</v>
      </c>
      <c r="J78" s="123">
        <v>25</v>
      </c>
      <c r="K78" s="123">
        <v>12</v>
      </c>
      <c r="L78" s="122">
        <v>10</v>
      </c>
      <c r="M78" s="123">
        <v>0</v>
      </c>
      <c r="N78" s="123">
        <v>0</v>
      </c>
      <c r="O78" s="123">
        <v>10</v>
      </c>
      <c r="P78" s="122">
        <v>0</v>
      </c>
      <c r="Q78" s="123">
        <v>0</v>
      </c>
      <c r="R78" s="123">
        <v>0</v>
      </c>
      <c r="S78" s="123">
        <v>0</v>
      </c>
      <c r="T78" s="122">
        <v>50</v>
      </c>
      <c r="U78" s="123"/>
      <c r="V78" s="123">
        <v>10</v>
      </c>
      <c r="W78" s="123">
        <v>10</v>
      </c>
      <c r="X78" s="122">
        <v>0</v>
      </c>
      <c r="Y78" s="123">
        <v>0</v>
      </c>
      <c r="Z78" s="123">
        <v>0</v>
      </c>
      <c r="AA78" s="123">
        <v>0</v>
      </c>
      <c r="AB78" s="122">
        <v>0</v>
      </c>
      <c r="AC78" s="123">
        <v>0</v>
      </c>
      <c r="AD78" s="123">
        <v>0</v>
      </c>
      <c r="AE78" s="122">
        <f t="shared" si="42"/>
        <v>60</v>
      </c>
      <c r="AF78" s="123">
        <f t="shared" si="43"/>
        <v>0</v>
      </c>
      <c r="AG78" s="123">
        <f t="shared" si="44"/>
        <v>10</v>
      </c>
      <c r="AH78" s="123">
        <f t="shared" si="45"/>
        <v>20</v>
      </c>
      <c r="AI78" s="298">
        <f t="shared" si="46"/>
        <v>9855704400</v>
      </c>
      <c r="AJ78" s="23"/>
      <c r="AK78" s="23"/>
      <c r="AL78" s="23"/>
      <c r="AM78" s="23"/>
      <c r="AN78" s="23"/>
      <c r="AO78" s="23"/>
      <c r="AP78" s="23"/>
      <c r="AQ78" s="23"/>
      <c r="AR78" s="23"/>
    </row>
    <row r="79" spans="1:44" ht="14.25" customHeight="1" x14ac:dyDescent="0.25">
      <c r="A79" s="35" t="s">
        <v>67</v>
      </c>
      <c r="B79" s="120" t="s">
        <v>332</v>
      </c>
      <c r="C79" s="142" t="s">
        <v>507</v>
      </c>
      <c r="D79" s="135" t="str">
        <f>IF(ISNUMBER(MATCH(Table23[[#This Row],[General]],COVENANTS!$A$2:$A$100,0)), "Y","N")</f>
        <v>N</v>
      </c>
      <c r="E79" s="135" t="str">
        <f>IF(ISNUMBER(MATCH(Table23[[#This Row],[General]],COVENANTS!$B$2:$B$100,0)), "Y","N")</f>
        <v>Y</v>
      </c>
      <c r="F79" s="135" t="str">
        <f>IF(ISNUMBER(MATCH(Table23[[#This Row],[General]],COVENANTS!$C$2:$C$100,0)), "Y","N")</f>
        <v>N</v>
      </c>
      <c r="G79" s="135" t="str">
        <f>IF(ISNUMBER(MATCH(Table23[[#This Row],[General]],COVENANTS!$D$2:$D$100,0)), "Y","N")</f>
        <v>Y</v>
      </c>
      <c r="H79" s="122">
        <v>25</v>
      </c>
      <c r="I79" s="123">
        <v>25</v>
      </c>
      <c r="J79" s="123">
        <v>25</v>
      </c>
      <c r="K79" s="123">
        <v>12</v>
      </c>
      <c r="L79" s="122">
        <v>30</v>
      </c>
      <c r="M79" s="123">
        <v>0</v>
      </c>
      <c r="N79" s="123">
        <v>0</v>
      </c>
      <c r="O79" s="123">
        <v>0</v>
      </c>
      <c r="P79" s="122">
        <v>0</v>
      </c>
      <c r="Q79" s="123">
        <v>0</v>
      </c>
      <c r="R79" s="123">
        <v>0</v>
      </c>
      <c r="S79" s="123">
        <v>0</v>
      </c>
      <c r="T79" s="122">
        <v>42</v>
      </c>
      <c r="U79" s="123">
        <v>0</v>
      </c>
      <c r="V79" s="123">
        <v>10</v>
      </c>
      <c r="W79" s="123">
        <v>16</v>
      </c>
      <c r="X79" s="122">
        <v>0</v>
      </c>
      <c r="Y79" s="123">
        <v>0</v>
      </c>
      <c r="Z79" s="123">
        <v>0</v>
      </c>
      <c r="AA79" s="123">
        <v>0</v>
      </c>
      <c r="AB79" s="122">
        <v>0</v>
      </c>
      <c r="AC79" s="123">
        <v>0</v>
      </c>
      <c r="AD79" s="123">
        <v>0</v>
      </c>
      <c r="AE79" s="122">
        <f t="shared" si="42"/>
        <v>72</v>
      </c>
      <c r="AF79" s="123">
        <f t="shared" si="43"/>
        <v>0</v>
      </c>
      <c r="AG79" s="123">
        <f t="shared" si="44"/>
        <v>10</v>
      </c>
      <c r="AH79" s="123">
        <f t="shared" si="45"/>
        <v>16</v>
      </c>
      <c r="AI79" s="298">
        <f t="shared" si="46"/>
        <v>9638897760</v>
      </c>
      <c r="AJ79" s="23"/>
      <c r="AK79" s="23"/>
      <c r="AL79" s="23"/>
      <c r="AM79" s="23"/>
      <c r="AN79" s="23"/>
      <c r="AO79" s="23"/>
      <c r="AP79" s="23"/>
      <c r="AQ79" s="23"/>
      <c r="AR79" s="23"/>
    </row>
    <row r="80" spans="1:44" ht="14.25" customHeight="1" x14ac:dyDescent="0.25">
      <c r="A80" s="35" t="s">
        <v>68</v>
      </c>
      <c r="B80" s="120" t="s">
        <v>332</v>
      </c>
      <c r="C80" s="121" t="s">
        <v>509</v>
      </c>
      <c r="D80" s="135" t="str">
        <f>IF(ISNUMBER(MATCH(Table23[[#This Row],[General]],COVENANTS!$A$2:$A$100,0)), "Y","N")</f>
        <v>Y</v>
      </c>
      <c r="E80" s="135" t="str">
        <f>IF(ISNUMBER(MATCH(Table23[[#This Row],[General]],COVENANTS!$B$2:$B$100,0)), "Y","N")</f>
        <v>N</v>
      </c>
      <c r="F80" s="135" t="str">
        <f>IF(ISNUMBER(MATCH(Table23[[#This Row],[General]],COVENANTS!$C$2:$C$100,0)), "Y","N")</f>
        <v>Y</v>
      </c>
      <c r="G80" s="135" t="str">
        <f>IF(ISNUMBER(MATCH(Table23[[#This Row],[General]],COVENANTS!$D$2:$D$100,0)), "Y","N")</f>
        <v>Y</v>
      </c>
      <c r="H80" s="122">
        <v>25</v>
      </c>
      <c r="I80" s="123">
        <v>25</v>
      </c>
      <c r="J80" s="123">
        <v>25</v>
      </c>
      <c r="K80" s="123">
        <v>12</v>
      </c>
      <c r="L80" s="122">
        <v>45</v>
      </c>
      <c r="M80" s="123">
        <v>15</v>
      </c>
      <c r="N80" s="123">
        <v>15</v>
      </c>
      <c r="O80" s="123">
        <v>0</v>
      </c>
      <c r="P80" s="122">
        <v>0</v>
      </c>
      <c r="Q80" s="123">
        <v>0</v>
      </c>
      <c r="R80" s="123">
        <v>0</v>
      </c>
      <c r="S80" s="123">
        <v>0</v>
      </c>
      <c r="T80" s="122">
        <v>70</v>
      </c>
      <c r="U80" s="123">
        <v>35</v>
      </c>
      <c r="V80" s="123">
        <v>45</v>
      </c>
      <c r="W80" s="123">
        <v>0</v>
      </c>
      <c r="X80" s="122">
        <v>20</v>
      </c>
      <c r="Y80" s="123">
        <v>0</v>
      </c>
      <c r="Z80" s="123">
        <v>5</v>
      </c>
      <c r="AA80" s="123">
        <v>0</v>
      </c>
      <c r="AB80" s="122">
        <v>0</v>
      </c>
      <c r="AC80" s="123">
        <v>0</v>
      </c>
      <c r="AD80" s="123">
        <v>0</v>
      </c>
      <c r="AE80" s="122">
        <f t="shared" si="42"/>
        <v>135</v>
      </c>
      <c r="AF80" s="123">
        <f t="shared" si="43"/>
        <v>50</v>
      </c>
      <c r="AG80" s="123">
        <f t="shared" si="44"/>
        <v>65</v>
      </c>
      <c r="AH80" s="123">
        <f t="shared" si="45"/>
        <v>0</v>
      </c>
      <c r="AI80" s="298">
        <f t="shared" si="46"/>
        <v>9729846900</v>
      </c>
      <c r="AJ80" s="23"/>
      <c r="AK80" s="23"/>
      <c r="AL80" s="23"/>
      <c r="AM80" s="23"/>
      <c r="AN80" s="23"/>
      <c r="AO80" s="23"/>
      <c r="AP80" s="23"/>
      <c r="AQ80" s="23"/>
      <c r="AR80" s="23"/>
    </row>
    <row r="81" spans="1:44" ht="14.25" customHeight="1" x14ac:dyDescent="0.25">
      <c r="A81" s="35" t="s">
        <v>69</v>
      </c>
      <c r="B81" s="120" t="s">
        <v>333</v>
      </c>
      <c r="C81" s="121" t="s">
        <v>172</v>
      </c>
      <c r="D81" s="135" t="str">
        <f>IF(ISNUMBER(MATCH(Table23[[#This Row],[General]],COVENANTS!$A$2:$A$100,0)), "Y","N")</f>
        <v>Y</v>
      </c>
      <c r="E81" s="135" t="str">
        <f>IF(ISNUMBER(MATCH(Table23[[#This Row],[General]],COVENANTS!$B$2:$B$100,0)), "Y","N")</f>
        <v>N</v>
      </c>
      <c r="F81" s="135" t="str">
        <f>IF(ISNUMBER(MATCH(Table23[[#This Row],[General]],COVENANTS!$C$2:$C$100,0)), "Y","N")</f>
        <v>N</v>
      </c>
      <c r="G81" s="135" t="str">
        <f>IF(ISNUMBER(MATCH(Table23[[#This Row],[General]],COVENANTS!$D$2:$D$100,0)), "Y","N")</f>
        <v>N</v>
      </c>
      <c r="H81" s="122">
        <v>0</v>
      </c>
      <c r="I81" s="123">
        <v>25</v>
      </c>
      <c r="J81" s="123">
        <v>25</v>
      </c>
      <c r="K81" s="123">
        <v>12</v>
      </c>
      <c r="L81" s="122">
        <v>45</v>
      </c>
      <c r="M81" s="123">
        <v>35</v>
      </c>
      <c r="N81" s="123">
        <v>35</v>
      </c>
      <c r="O81" s="123">
        <v>0</v>
      </c>
      <c r="P81" s="122">
        <v>0</v>
      </c>
      <c r="Q81" s="123">
        <v>0</v>
      </c>
      <c r="R81" s="123">
        <v>0</v>
      </c>
      <c r="S81" s="123">
        <v>0</v>
      </c>
      <c r="T81" s="122">
        <v>75</v>
      </c>
      <c r="U81" s="123">
        <v>50</v>
      </c>
      <c r="V81" s="123">
        <v>40</v>
      </c>
      <c r="W81" s="123">
        <v>0</v>
      </c>
      <c r="X81" s="122">
        <v>10</v>
      </c>
      <c r="Y81" s="123">
        <v>5</v>
      </c>
      <c r="Z81" s="123">
        <v>10</v>
      </c>
      <c r="AA81" s="123">
        <v>0</v>
      </c>
      <c r="AB81" s="122">
        <v>0</v>
      </c>
      <c r="AC81" s="123">
        <v>0</v>
      </c>
      <c r="AD81" s="123">
        <v>0</v>
      </c>
      <c r="AE81" s="122">
        <f t="shared" si="42"/>
        <v>130</v>
      </c>
      <c r="AF81" s="123">
        <f t="shared" si="43"/>
        <v>90</v>
      </c>
      <c r="AG81" s="123">
        <f t="shared" si="44"/>
        <v>85</v>
      </c>
      <c r="AH81" s="123">
        <f t="shared" si="45"/>
        <v>0</v>
      </c>
      <c r="AI81" s="298">
        <f t="shared" si="46"/>
        <v>9369482200</v>
      </c>
      <c r="AJ81" s="23"/>
      <c r="AK81" s="23"/>
      <c r="AL81" s="23"/>
      <c r="AM81" s="23"/>
      <c r="AN81" s="23"/>
      <c r="AO81" s="23"/>
      <c r="AP81" s="23"/>
      <c r="AQ81" s="23"/>
      <c r="AR81" s="23"/>
    </row>
    <row r="82" spans="1:44" ht="14.25" customHeight="1" x14ac:dyDescent="0.25">
      <c r="A82" s="35" t="s">
        <v>70</v>
      </c>
      <c r="B82" s="120" t="s">
        <v>332</v>
      </c>
      <c r="C82" s="121" t="s">
        <v>527</v>
      </c>
      <c r="D82" s="135" t="str">
        <f>IF(ISNUMBER(MATCH(Table23[[#This Row],[General]],COVENANTS!$A$2:$A$100,0)), "Y","N")</f>
        <v>Y</v>
      </c>
      <c r="E82" s="135" t="str">
        <f>IF(ISNUMBER(MATCH(Table23[[#This Row],[General]],COVENANTS!$B$2:$B$100,0)), "Y","N")</f>
        <v>N</v>
      </c>
      <c r="F82" s="135" t="str">
        <f>IF(ISNUMBER(MATCH(Table23[[#This Row],[General]],COVENANTS!$C$2:$C$100,0)), "Y","N")</f>
        <v>N</v>
      </c>
      <c r="G82" s="135" t="str">
        <f>IF(ISNUMBER(MATCH(Table23[[#This Row],[General]],COVENANTS!$D$2:$D$100,0)), "Y","N")</f>
        <v>Y</v>
      </c>
      <c r="H82" s="122">
        <v>25</v>
      </c>
      <c r="I82" s="123">
        <v>25</v>
      </c>
      <c r="J82" s="123">
        <v>25</v>
      </c>
      <c r="K82" s="123">
        <v>12</v>
      </c>
      <c r="L82" s="122">
        <v>45</v>
      </c>
      <c r="M82" s="123">
        <v>40</v>
      </c>
      <c r="N82" s="123">
        <v>45</v>
      </c>
      <c r="O82" s="123">
        <v>0</v>
      </c>
      <c r="P82" s="122">
        <v>0</v>
      </c>
      <c r="Q82" s="123">
        <v>0</v>
      </c>
      <c r="R82" s="123">
        <v>0</v>
      </c>
      <c r="S82" s="123">
        <v>0</v>
      </c>
      <c r="T82" s="122">
        <v>65</v>
      </c>
      <c r="U82" s="123">
        <v>55</v>
      </c>
      <c r="V82" s="123">
        <v>45</v>
      </c>
      <c r="W82" s="123">
        <v>0</v>
      </c>
      <c r="X82" s="122">
        <v>15</v>
      </c>
      <c r="Y82" s="123">
        <v>10</v>
      </c>
      <c r="Z82" s="123">
        <v>10</v>
      </c>
      <c r="AA82" s="123">
        <v>0</v>
      </c>
      <c r="AB82" s="122">
        <v>0</v>
      </c>
      <c r="AC82" s="123">
        <v>0</v>
      </c>
      <c r="AD82" s="123">
        <v>0</v>
      </c>
      <c r="AE82" s="122">
        <f t="shared" si="42"/>
        <v>125</v>
      </c>
      <c r="AF82" s="123">
        <f t="shared" si="43"/>
        <v>105</v>
      </c>
      <c r="AG82" s="123">
        <f t="shared" si="44"/>
        <v>100</v>
      </c>
      <c r="AH82" s="123">
        <f t="shared" si="45"/>
        <v>0</v>
      </c>
      <c r="AI82" s="298">
        <f t="shared" si="46"/>
        <v>9009117500</v>
      </c>
      <c r="AJ82" s="23"/>
      <c r="AK82" s="23"/>
      <c r="AL82" s="23"/>
      <c r="AM82" s="23"/>
      <c r="AN82" s="23"/>
      <c r="AO82" s="23"/>
      <c r="AP82" s="23"/>
      <c r="AQ82" s="23"/>
      <c r="AR82" s="23"/>
    </row>
    <row r="83" spans="1:44" ht="14.25" customHeight="1" x14ac:dyDescent="0.25">
      <c r="A83" s="35" t="s">
        <v>71</v>
      </c>
      <c r="B83" s="120" t="s">
        <v>333</v>
      </c>
      <c r="C83" s="121" t="s">
        <v>188</v>
      </c>
      <c r="D83" s="135" t="str">
        <f>IF(ISNUMBER(MATCH(Table23[[#This Row],[General]],COVENANTS!$A$2:$A$100,0)), "Y","N")</f>
        <v>N</v>
      </c>
      <c r="E83" s="135" t="str">
        <f>IF(ISNUMBER(MATCH(Table23[[#This Row],[General]],COVENANTS!$B$2:$B$100,0)), "Y","N")</f>
        <v>N</v>
      </c>
      <c r="F83" s="135" t="str">
        <f>IF(ISNUMBER(MATCH(Table23[[#This Row],[General]],COVENANTS!$C$2:$C$100,0)), "Y","N")</f>
        <v>Y</v>
      </c>
      <c r="G83" s="135" t="str">
        <f>IF(ISNUMBER(MATCH(Table23[[#This Row],[General]],COVENANTS!$D$2:$D$100,0)), "Y","N")</f>
        <v>N</v>
      </c>
      <c r="H83" s="122">
        <v>0</v>
      </c>
      <c r="I83" s="123">
        <v>25</v>
      </c>
      <c r="J83" s="123">
        <v>25</v>
      </c>
      <c r="K83" s="123">
        <v>12</v>
      </c>
      <c r="L83" s="122">
        <v>40</v>
      </c>
      <c r="M83" s="123">
        <v>0</v>
      </c>
      <c r="N83" s="123">
        <v>0</v>
      </c>
      <c r="O83" s="123">
        <v>0</v>
      </c>
      <c r="P83" s="122">
        <v>0</v>
      </c>
      <c r="Q83" s="123">
        <v>0</v>
      </c>
      <c r="R83" s="123">
        <v>0</v>
      </c>
      <c r="S83" s="123">
        <v>0</v>
      </c>
      <c r="T83" s="122">
        <v>55</v>
      </c>
      <c r="U83" s="123">
        <v>30</v>
      </c>
      <c r="V83" s="123">
        <v>40</v>
      </c>
      <c r="W83" s="123">
        <v>6</v>
      </c>
      <c r="X83" s="122">
        <v>0</v>
      </c>
      <c r="Y83" s="123">
        <v>0</v>
      </c>
      <c r="Z83" s="123">
        <v>0</v>
      </c>
      <c r="AA83" s="123">
        <v>0</v>
      </c>
      <c r="AB83" s="122">
        <v>0</v>
      </c>
      <c r="AC83" s="123">
        <v>0</v>
      </c>
      <c r="AD83" s="123">
        <v>0</v>
      </c>
      <c r="AE83" s="122">
        <f t="shared" si="42"/>
        <v>95</v>
      </c>
      <c r="AF83" s="123">
        <f t="shared" si="43"/>
        <v>30</v>
      </c>
      <c r="AG83" s="123">
        <f t="shared" si="44"/>
        <v>40</v>
      </c>
      <c r="AH83" s="123">
        <f t="shared" si="45"/>
        <v>6</v>
      </c>
      <c r="AI83" s="298">
        <f t="shared" si="46"/>
        <v>8533216100</v>
      </c>
    </row>
    <row r="84" spans="1:44" ht="14.25" customHeight="1" x14ac:dyDescent="0.25">
      <c r="A84" s="35" t="s">
        <v>72</v>
      </c>
      <c r="B84" s="120" t="s">
        <v>333</v>
      </c>
      <c r="C84" s="121" t="s">
        <v>523</v>
      </c>
      <c r="D84" s="135" t="str">
        <f>IF(ISNUMBER(MATCH(Table23[[#This Row],[General]],COVENANTS!$A$2:$A$100,0)), "Y","N")</f>
        <v>N</v>
      </c>
      <c r="E84" s="135" t="str">
        <f>IF(ISNUMBER(MATCH(Table23[[#This Row],[General]],COVENANTS!$B$2:$B$100,0)), "Y","N")</f>
        <v>N</v>
      </c>
      <c r="F84" s="135" t="str">
        <f>IF(ISNUMBER(MATCH(Table23[[#This Row],[General]],COVENANTS!$C$2:$C$100,0)), "Y","N")</f>
        <v>Y</v>
      </c>
      <c r="G84" s="135" t="str">
        <f>IF(ISNUMBER(MATCH(Table23[[#This Row],[General]],COVENANTS!$D$2:$D$100,0)), "Y","N")</f>
        <v>Y</v>
      </c>
      <c r="H84" s="122">
        <v>0</v>
      </c>
      <c r="I84" s="123">
        <v>25</v>
      </c>
      <c r="J84" s="123">
        <v>25</v>
      </c>
      <c r="K84" s="123">
        <v>12</v>
      </c>
      <c r="L84" s="122">
        <v>35</v>
      </c>
      <c r="M84" s="123">
        <v>0</v>
      </c>
      <c r="N84" s="123">
        <v>20</v>
      </c>
      <c r="O84" s="123">
        <v>0</v>
      </c>
      <c r="P84" s="122">
        <v>0</v>
      </c>
      <c r="Q84" s="123">
        <v>0</v>
      </c>
      <c r="R84" s="123">
        <v>0</v>
      </c>
      <c r="S84" s="123">
        <v>0</v>
      </c>
      <c r="T84" s="122">
        <v>60</v>
      </c>
      <c r="U84" s="123">
        <v>40</v>
      </c>
      <c r="V84" s="123">
        <v>10</v>
      </c>
      <c r="W84" s="123">
        <v>6</v>
      </c>
      <c r="X84" s="122">
        <v>0</v>
      </c>
      <c r="Y84" s="123">
        <v>0</v>
      </c>
      <c r="Z84" s="123">
        <v>0</v>
      </c>
      <c r="AA84" s="123">
        <v>0</v>
      </c>
      <c r="AB84" s="122">
        <v>0</v>
      </c>
      <c r="AC84" s="123">
        <v>0</v>
      </c>
      <c r="AD84" s="123">
        <v>0</v>
      </c>
      <c r="AE84" s="122">
        <f t="shared" si="42"/>
        <v>95</v>
      </c>
      <c r="AF84" s="123">
        <f t="shared" si="43"/>
        <v>40</v>
      </c>
      <c r="AG84" s="123">
        <f t="shared" si="44"/>
        <v>30</v>
      </c>
      <c r="AH84" s="123">
        <f t="shared" si="45"/>
        <v>6</v>
      </c>
      <c r="AI84" s="298">
        <f t="shared" si="46"/>
        <v>8533216100</v>
      </c>
    </row>
    <row r="85" spans="1:44" ht="14.25" customHeight="1" x14ac:dyDescent="0.25">
      <c r="A85" s="35" t="s">
        <v>73</v>
      </c>
      <c r="B85" s="120" t="s">
        <v>332</v>
      </c>
      <c r="C85" s="142" t="s">
        <v>177</v>
      </c>
      <c r="D85" s="135" t="str">
        <f>IF(ISNUMBER(MATCH(Table23[[#This Row],[General]],COVENANTS!$A$2:$A$100,0)), "Y","N")</f>
        <v>N</v>
      </c>
      <c r="E85" s="135" t="str">
        <f>IF(ISNUMBER(MATCH(Table23[[#This Row],[General]],COVENANTS!$B$2:$B$100,0)), "Y","N")</f>
        <v>N</v>
      </c>
      <c r="F85" s="135" t="str">
        <f>IF(ISNUMBER(MATCH(Table23[[#This Row],[General]],COVENANTS!$C$2:$C$100,0)), "Y","N")</f>
        <v>Y</v>
      </c>
      <c r="G85" s="135" t="str">
        <f>IF(ISNUMBER(MATCH(Table23[[#This Row],[General]],COVENANTS!$D$2:$D$100,0)), "Y","N")</f>
        <v>N</v>
      </c>
      <c r="H85" s="122">
        <v>25</v>
      </c>
      <c r="I85" s="123">
        <v>25</v>
      </c>
      <c r="J85" s="123">
        <v>25</v>
      </c>
      <c r="K85" s="123">
        <v>12</v>
      </c>
      <c r="L85" s="122">
        <v>40</v>
      </c>
      <c r="M85" s="123">
        <v>0</v>
      </c>
      <c r="N85" s="123">
        <v>35</v>
      </c>
      <c r="O85" s="123">
        <v>0</v>
      </c>
      <c r="P85" s="122">
        <v>0</v>
      </c>
      <c r="Q85" s="123">
        <v>0</v>
      </c>
      <c r="R85" s="123">
        <v>0</v>
      </c>
      <c r="S85" s="123">
        <v>0</v>
      </c>
      <c r="T85" s="122">
        <v>50</v>
      </c>
      <c r="U85" s="123">
        <v>35</v>
      </c>
      <c r="V85" s="123">
        <v>20</v>
      </c>
      <c r="W85" s="123">
        <v>6</v>
      </c>
      <c r="X85" s="122">
        <v>0</v>
      </c>
      <c r="Y85" s="123">
        <v>0</v>
      </c>
      <c r="Z85" s="123">
        <v>0</v>
      </c>
      <c r="AA85" s="123">
        <v>0</v>
      </c>
      <c r="AB85" s="122">
        <v>0</v>
      </c>
      <c r="AC85" s="123">
        <v>0</v>
      </c>
      <c r="AD85" s="123">
        <v>0</v>
      </c>
      <c r="AE85" s="122">
        <f t="shared" si="42"/>
        <v>90</v>
      </c>
      <c r="AF85" s="123">
        <f t="shared" si="43"/>
        <v>35</v>
      </c>
      <c r="AG85" s="123">
        <f t="shared" si="44"/>
        <v>55</v>
      </c>
      <c r="AH85" s="123">
        <f t="shared" si="45"/>
        <v>6</v>
      </c>
      <c r="AI85" s="298">
        <f t="shared" si="46"/>
        <v>8169010200</v>
      </c>
    </row>
    <row r="86" spans="1:44" ht="14.25" customHeight="1" x14ac:dyDescent="0.25">
      <c r="A86" s="35" t="s">
        <v>74</v>
      </c>
      <c r="B86" s="120" t="s">
        <v>332</v>
      </c>
      <c r="C86" s="142" t="s">
        <v>181</v>
      </c>
      <c r="D86" s="135" t="str">
        <f>IF(ISNUMBER(MATCH(Table23[[#This Row],[General]],COVENANTS!$A$2:$A$100,0)), "Y","N")</f>
        <v>N</v>
      </c>
      <c r="E86" s="135" t="str">
        <f>IF(ISNUMBER(MATCH(Table23[[#This Row],[General]],COVENANTS!$B$2:$B$100,0)), "Y","N")</f>
        <v>N</v>
      </c>
      <c r="F86" s="135" t="str">
        <f>IF(ISNUMBER(MATCH(Table23[[#This Row],[General]],COVENANTS!$C$2:$C$100,0)), "Y","N")</f>
        <v>Y</v>
      </c>
      <c r="G86" s="135" t="str">
        <f>IF(ISNUMBER(MATCH(Table23[[#This Row],[General]],COVENANTS!$D$2:$D$100,0)), "Y","N")</f>
        <v>N</v>
      </c>
      <c r="H86" s="122">
        <v>25</v>
      </c>
      <c r="I86" s="123">
        <v>25</v>
      </c>
      <c r="J86" s="123">
        <v>25</v>
      </c>
      <c r="K86" s="123">
        <v>12</v>
      </c>
      <c r="L86" s="122">
        <v>30</v>
      </c>
      <c r="M86" s="123">
        <v>0</v>
      </c>
      <c r="N86" s="123">
        <v>0</v>
      </c>
      <c r="O86" s="123">
        <v>0</v>
      </c>
      <c r="P86" s="122">
        <v>0</v>
      </c>
      <c r="Q86" s="123">
        <v>0</v>
      </c>
      <c r="R86" s="123">
        <v>0</v>
      </c>
      <c r="S86" s="123">
        <v>0</v>
      </c>
      <c r="T86" s="122">
        <v>60</v>
      </c>
      <c r="U86" s="123">
        <v>25</v>
      </c>
      <c r="V86" s="123">
        <v>20</v>
      </c>
      <c r="W86" s="123">
        <v>6</v>
      </c>
      <c r="X86" s="122">
        <v>0</v>
      </c>
      <c r="Y86" s="123">
        <v>0</v>
      </c>
      <c r="Z86" s="123">
        <v>0</v>
      </c>
      <c r="AA86" s="123">
        <v>0</v>
      </c>
      <c r="AB86" s="122">
        <v>0</v>
      </c>
      <c r="AC86" s="123">
        <v>0</v>
      </c>
      <c r="AD86" s="123">
        <v>0</v>
      </c>
      <c r="AE86" s="122">
        <f t="shared" si="42"/>
        <v>90</v>
      </c>
      <c r="AF86" s="123">
        <f t="shared" si="43"/>
        <v>25</v>
      </c>
      <c r="AG86" s="123">
        <f t="shared" si="44"/>
        <v>20</v>
      </c>
      <c r="AH86" s="123">
        <f t="shared" si="45"/>
        <v>6</v>
      </c>
      <c r="AI86" s="298">
        <f t="shared" si="46"/>
        <v>8169010200</v>
      </c>
    </row>
    <row r="87" spans="1:44" ht="14.25" customHeight="1" x14ac:dyDescent="0.25">
      <c r="A87" s="35" t="s">
        <v>75</v>
      </c>
      <c r="B87" s="120" t="s">
        <v>332</v>
      </c>
      <c r="C87" s="121" t="s">
        <v>179</v>
      </c>
      <c r="D87" s="135" t="str">
        <f>IF(ISNUMBER(MATCH(Table23[[#This Row],[General]],COVENANTS!$A$2:$A$100,0)), "Y","N")</f>
        <v>N</v>
      </c>
      <c r="E87" s="135" t="str">
        <f>IF(ISNUMBER(MATCH(Table23[[#This Row],[General]],COVENANTS!$B$2:$B$100,0)), "Y","N")</f>
        <v>N</v>
      </c>
      <c r="F87" s="135" t="str">
        <f>IF(ISNUMBER(MATCH(Table23[[#This Row],[General]],COVENANTS!$C$2:$C$100,0)), "Y","N")</f>
        <v>Y</v>
      </c>
      <c r="G87" s="135" t="str">
        <f>IF(ISNUMBER(MATCH(Table23[[#This Row],[General]],COVENANTS!$D$2:$D$100,0)), "Y","N")</f>
        <v>Y</v>
      </c>
      <c r="H87" s="122">
        <v>25</v>
      </c>
      <c r="I87" s="123">
        <v>25</v>
      </c>
      <c r="J87" s="123">
        <v>25</v>
      </c>
      <c r="K87" s="123">
        <v>12</v>
      </c>
      <c r="L87" s="122">
        <v>25</v>
      </c>
      <c r="M87" s="123">
        <v>0</v>
      </c>
      <c r="N87" s="123">
        <v>0</v>
      </c>
      <c r="O87" s="123">
        <v>0</v>
      </c>
      <c r="P87" s="122">
        <v>0</v>
      </c>
      <c r="Q87" s="123">
        <v>0</v>
      </c>
      <c r="R87" s="123">
        <v>0</v>
      </c>
      <c r="S87" s="123">
        <v>0</v>
      </c>
      <c r="T87" s="122">
        <v>60</v>
      </c>
      <c r="U87" s="123">
        <v>10</v>
      </c>
      <c r="V87" s="123">
        <v>20</v>
      </c>
      <c r="W87" s="123">
        <v>6</v>
      </c>
      <c r="X87" s="122">
        <v>0</v>
      </c>
      <c r="Y87" s="123">
        <v>0</v>
      </c>
      <c r="Z87" s="123">
        <v>0</v>
      </c>
      <c r="AA87" s="123">
        <v>0</v>
      </c>
      <c r="AB87" s="122">
        <v>0</v>
      </c>
      <c r="AC87" s="123">
        <v>0</v>
      </c>
      <c r="AD87" s="123">
        <v>0</v>
      </c>
      <c r="AE87" s="122">
        <f t="shared" si="42"/>
        <v>85</v>
      </c>
      <c r="AF87" s="123">
        <f t="shared" si="43"/>
        <v>10</v>
      </c>
      <c r="AG87" s="123">
        <f t="shared" si="44"/>
        <v>20</v>
      </c>
      <c r="AH87" s="123">
        <f t="shared" si="45"/>
        <v>6</v>
      </c>
      <c r="AI87" s="298">
        <f t="shared" si="46"/>
        <v>7804804300</v>
      </c>
    </row>
    <row r="88" spans="1:44" ht="14.25" customHeight="1" x14ac:dyDescent="0.25">
      <c r="A88" s="35" t="s">
        <v>76</v>
      </c>
      <c r="B88" s="120" t="s">
        <v>333</v>
      </c>
      <c r="C88" s="121" t="s">
        <v>299</v>
      </c>
      <c r="D88" s="135" t="str">
        <f>IF(ISNUMBER(MATCH(Table23[[#This Row],[General]],COVENANTS!$A$2:$A$100,0)), "Y","N")</f>
        <v>N</v>
      </c>
      <c r="E88" s="135" t="str">
        <f>IF(ISNUMBER(MATCH(Table23[[#This Row],[General]],COVENANTS!$B$2:$B$100,0)), "Y","N")</f>
        <v>N</v>
      </c>
      <c r="F88" s="135" t="str">
        <f>IF(ISNUMBER(MATCH(Table23[[#This Row],[General]],COVENANTS!$C$2:$C$100,0)), "Y","N")</f>
        <v>N</v>
      </c>
      <c r="G88" s="135" t="str">
        <f>IF(ISNUMBER(MATCH(Table23[[#This Row],[General]],COVENANTS!$D$2:$D$100,0)), "Y","N")</f>
        <v>N</v>
      </c>
      <c r="H88" s="122">
        <v>25</v>
      </c>
      <c r="I88" s="123">
        <v>25</v>
      </c>
      <c r="J88" s="123">
        <v>25</v>
      </c>
      <c r="K88" s="123">
        <v>12</v>
      </c>
      <c r="L88" s="122">
        <v>40</v>
      </c>
      <c r="M88" s="123">
        <v>45</v>
      </c>
      <c r="N88" s="123">
        <v>40</v>
      </c>
      <c r="O88" s="123">
        <v>0</v>
      </c>
      <c r="P88" s="122">
        <v>0</v>
      </c>
      <c r="Q88" s="123">
        <v>0</v>
      </c>
      <c r="R88" s="123">
        <v>0</v>
      </c>
      <c r="S88" s="123">
        <v>0</v>
      </c>
      <c r="T88" s="122">
        <v>65</v>
      </c>
      <c r="U88" s="123">
        <v>50</v>
      </c>
      <c r="V88" s="123">
        <v>40</v>
      </c>
      <c r="W88" s="123">
        <v>0</v>
      </c>
      <c r="X88" s="122">
        <v>0</v>
      </c>
      <c r="Y88" s="123">
        <v>0</v>
      </c>
      <c r="Z88" s="123">
        <v>0</v>
      </c>
      <c r="AA88" s="123">
        <v>0</v>
      </c>
      <c r="AB88" s="122">
        <v>0</v>
      </c>
      <c r="AC88" s="123">
        <v>0</v>
      </c>
      <c r="AD88" s="123">
        <v>0</v>
      </c>
      <c r="AE88" s="122">
        <f t="shared" si="42"/>
        <v>105</v>
      </c>
      <c r="AF88" s="123">
        <f t="shared" si="43"/>
        <v>95</v>
      </c>
      <c r="AG88" s="123">
        <f t="shared" si="44"/>
        <v>80</v>
      </c>
      <c r="AH88" s="123">
        <f t="shared" si="45"/>
        <v>0</v>
      </c>
      <c r="AI88" s="298">
        <f t="shared" si="46"/>
        <v>7567658700</v>
      </c>
    </row>
    <row r="89" spans="1:44" ht="14.25" customHeight="1" x14ac:dyDescent="0.25">
      <c r="A89" s="35" t="s">
        <v>77</v>
      </c>
      <c r="B89" s="120" t="s">
        <v>333</v>
      </c>
      <c r="C89" s="121" t="s">
        <v>192</v>
      </c>
      <c r="D89" s="135" t="str">
        <f>IF(ISNUMBER(MATCH(Table23[[#This Row],[General]],COVENANTS!$A$2:$A$100,0)), "Y","N")</f>
        <v>N</v>
      </c>
      <c r="E89" s="135" t="str">
        <f>IF(ISNUMBER(MATCH(Table23[[#This Row],[General]],COVENANTS!$B$2:$B$100,0)), "Y","N")</f>
        <v>N</v>
      </c>
      <c r="F89" s="135" t="str">
        <f>IF(ISNUMBER(MATCH(Table23[[#This Row],[General]],COVENANTS!$C$2:$C$100,0)), "Y","N")</f>
        <v>N</v>
      </c>
      <c r="G89" s="135" t="str">
        <f>IF(ISNUMBER(MATCH(Table23[[#This Row],[General]],COVENANTS!$D$2:$D$100,0)), "Y","N")</f>
        <v>Y</v>
      </c>
      <c r="H89" s="122">
        <v>25</v>
      </c>
      <c r="I89" s="123">
        <v>25</v>
      </c>
      <c r="J89" s="123">
        <v>25</v>
      </c>
      <c r="K89" s="123">
        <v>12</v>
      </c>
      <c r="L89" s="122">
        <v>40</v>
      </c>
      <c r="M89" s="123">
        <v>30</v>
      </c>
      <c r="N89" s="123">
        <v>0</v>
      </c>
      <c r="O89" s="123">
        <v>0</v>
      </c>
      <c r="P89" s="122">
        <v>0</v>
      </c>
      <c r="Q89" s="123">
        <v>0</v>
      </c>
      <c r="R89" s="123">
        <v>0</v>
      </c>
      <c r="S89" s="123">
        <v>0</v>
      </c>
      <c r="T89" s="122">
        <v>65</v>
      </c>
      <c r="U89" s="123">
        <v>20</v>
      </c>
      <c r="V89" s="123">
        <v>35</v>
      </c>
      <c r="W89" s="123">
        <v>0</v>
      </c>
      <c r="X89" s="122">
        <v>0</v>
      </c>
      <c r="Y89" s="123">
        <v>0</v>
      </c>
      <c r="Z89" s="123">
        <v>0</v>
      </c>
      <c r="AA89" s="123">
        <v>0</v>
      </c>
      <c r="AB89" s="122">
        <v>0</v>
      </c>
      <c r="AC89" s="123">
        <v>0</v>
      </c>
      <c r="AD89" s="123">
        <v>0</v>
      </c>
      <c r="AE89" s="122">
        <f t="shared" si="42"/>
        <v>105</v>
      </c>
      <c r="AF89" s="123">
        <f t="shared" si="43"/>
        <v>50</v>
      </c>
      <c r="AG89" s="123">
        <f t="shared" si="44"/>
        <v>35</v>
      </c>
      <c r="AH89" s="123">
        <f t="shared" si="45"/>
        <v>0</v>
      </c>
      <c r="AI89" s="298">
        <f t="shared" si="46"/>
        <v>7567658700</v>
      </c>
    </row>
    <row r="90" spans="1:44" ht="14.25" customHeight="1" x14ac:dyDescent="0.25">
      <c r="A90" s="35" t="s">
        <v>78</v>
      </c>
      <c r="B90" s="120" t="s">
        <v>333</v>
      </c>
      <c r="C90" s="142" t="s">
        <v>288</v>
      </c>
      <c r="D90" s="135" t="str">
        <f>IF(ISNUMBER(MATCH(Table23[[#This Row],[General]],COVENANTS!$A$2:$A$100,0)), "Y","N")</f>
        <v>N</v>
      </c>
      <c r="E90" s="135" t="str">
        <f>IF(ISNUMBER(MATCH(Table23[[#This Row],[General]],COVENANTS!$B$2:$B$100,0)), "Y","N")</f>
        <v>N</v>
      </c>
      <c r="F90" s="135" t="str">
        <f>IF(ISNUMBER(MATCH(Table23[[#This Row],[General]],COVENANTS!$C$2:$C$100,0)), "Y","N")</f>
        <v>N</v>
      </c>
      <c r="G90" s="135" t="str">
        <f>IF(ISNUMBER(MATCH(Table23[[#This Row],[General]],COVENANTS!$D$2:$D$100,0)), "Y","N")</f>
        <v>N</v>
      </c>
      <c r="H90" s="122">
        <v>0</v>
      </c>
      <c r="I90" s="123">
        <v>25</v>
      </c>
      <c r="J90" s="123">
        <v>25</v>
      </c>
      <c r="K90" s="123">
        <v>12</v>
      </c>
      <c r="L90" s="122">
        <v>35</v>
      </c>
      <c r="M90" s="123">
        <v>0</v>
      </c>
      <c r="N90" s="123">
        <v>0</v>
      </c>
      <c r="O90" s="123">
        <v>0</v>
      </c>
      <c r="P90" s="122">
        <v>0</v>
      </c>
      <c r="Q90" s="123">
        <v>0</v>
      </c>
      <c r="R90" s="123">
        <v>0</v>
      </c>
      <c r="S90" s="123">
        <v>0</v>
      </c>
      <c r="T90" s="122">
        <v>46</v>
      </c>
      <c r="U90" s="123">
        <v>36</v>
      </c>
      <c r="V90" s="123">
        <v>0</v>
      </c>
      <c r="W90" s="123">
        <v>6</v>
      </c>
      <c r="X90" s="122">
        <v>0</v>
      </c>
      <c r="Y90" s="123">
        <v>0</v>
      </c>
      <c r="Z90" s="123">
        <v>0</v>
      </c>
      <c r="AA90" s="123">
        <v>0</v>
      </c>
      <c r="AB90" s="122">
        <v>0</v>
      </c>
      <c r="AC90" s="123">
        <v>0</v>
      </c>
      <c r="AD90" s="123">
        <v>0</v>
      </c>
      <c r="AE90" s="122">
        <f t="shared" si="42"/>
        <v>81</v>
      </c>
      <c r="AF90" s="123">
        <f t="shared" si="43"/>
        <v>36</v>
      </c>
      <c r="AG90" s="123">
        <f t="shared" si="44"/>
        <v>0</v>
      </c>
      <c r="AH90" s="123">
        <f t="shared" si="45"/>
        <v>6</v>
      </c>
      <c r="AI90" s="298">
        <f t="shared" si="46"/>
        <v>7513439580</v>
      </c>
    </row>
    <row r="91" spans="1:44" ht="14.25" customHeight="1" x14ac:dyDescent="0.25">
      <c r="A91" s="35" t="s">
        <v>79</v>
      </c>
      <c r="B91" s="120" t="s">
        <v>332</v>
      </c>
      <c r="C91" s="121" t="s">
        <v>183</v>
      </c>
      <c r="D91" s="135" t="str">
        <f>IF(ISNUMBER(MATCH(Table23[[#This Row],[General]],COVENANTS!$A$2:$A$100,0)), "Y","N")</f>
        <v>N</v>
      </c>
      <c r="E91" s="135" t="str">
        <f>IF(ISNUMBER(MATCH(Table23[[#This Row],[General]],COVENANTS!$B$2:$B$100,0)), "Y","N")</f>
        <v>N</v>
      </c>
      <c r="F91" s="135" t="str">
        <f>IF(ISNUMBER(MATCH(Table23[[#This Row],[General]],COVENANTS!$C$2:$C$100,0)), "Y","N")</f>
        <v>N</v>
      </c>
      <c r="G91" s="135" t="str">
        <f>IF(ISNUMBER(MATCH(Table23[[#This Row],[General]],COVENANTS!$D$2:$D$100,0)), "Y","N")</f>
        <v>N</v>
      </c>
      <c r="H91" s="122">
        <v>25</v>
      </c>
      <c r="I91" s="123">
        <v>25</v>
      </c>
      <c r="J91" s="123">
        <v>25</v>
      </c>
      <c r="K91" s="123">
        <v>12</v>
      </c>
      <c r="L91" s="122">
        <v>40</v>
      </c>
      <c r="M91" s="123">
        <v>20</v>
      </c>
      <c r="N91" s="123">
        <v>0</v>
      </c>
      <c r="O91" s="123">
        <v>0</v>
      </c>
      <c r="P91" s="122">
        <v>0</v>
      </c>
      <c r="Q91" s="123">
        <v>0</v>
      </c>
      <c r="R91" s="123">
        <v>0</v>
      </c>
      <c r="S91" s="123">
        <v>0</v>
      </c>
      <c r="T91" s="122">
        <v>60</v>
      </c>
      <c r="U91" s="123">
        <v>10</v>
      </c>
      <c r="V91" s="123">
        <v>35</v>
      </c>
      <c r="W91" s="123">
        <v>0</v>
      </c>
      <c r="X91" s="122">
        <v>0</v>
      </c>
      <c r="Y91" s="123">
        <v>0</v>
      </c>
      <c r="Z91" s="123">
        <v>0</v>
      </c>
      <c r="AA91" s="123">
        <v>0</v>
      </c>
      <c r="AB91" s="122">
        <v>0</v>
      </c>
      <c r="AC91" s="123">
        <v>0</v>
      </c>
      <c r="AD91" s="123">
        <v>0</v>
      </c>
      <c r="AE91" s="122">
        <f t="shared" si="42"/>
        <v>100</v>
      </c>
      <c r="AF91" s="123">
        <f t="shared" si="43"/>
        <v>30</v>
      </c>
      <c r="AG91" s="123">
        <f t="shared" si="44"/>
        <v>35</v>
      </c>
      <c r="AH91" s="123">
        <f t="shared" si="45"/>
        <v>0</v>
      </c>
      <c r="AI91" s="298">
        <f t="shared" si="46"/>
        <v>7207294000</v>
      </c>
    </row>
    <row r="92" spans="1:44" ht="14.25" customHeight="1" x14ac:dyDescent="0.25">
      <c r="A92" s="35" t="s">
        <v>80</v>
      </c>
      <c r="B92" s="120" t="s">
        <v>333</v>
      </c>
      <c r="C92" s="142" t="s">
        <v>184</v>
      </c>
      <c r="D92" s="135" t="str">
        <f>IF(ISNUMBER(MATCH(Table23[[#This Row],[General]],COVENANTS!$A$2:$A$100,0)), "Y","N")</f>
        <v>N</v>
      </c>
      <c r="E92" s="135" t="str">
        <f>IF(ISNUMBER(MATCH(Table23[[#This Row],[General]],COVENANTS!$B$2:$B$100,0)), "Y","N")</f>
        <v>N</v>
      </c>
      <c r="F92" s="135" t="str">
        <f>IF(ISNUMBER(MATCH(Table23[[#This Row],[General]],COVENANTS!$C$2:$C$100,0)), "Y","N")</f>
        <v>N</v>
      </c>
      <c r="G92" s="135" t="str">
        <f>IF(ISNUMBER(MATCH(Table23[[#This Row],[General]],COVENANTS!$D$2:$D$100,0)), "Y","N")</f>
        <v>N</v>
      </c>
      <c r="H92" s="122">
        <v>25</v>
      </c>
      <c r="I92" s="123">
        <v>25</v>
      </c>
      <c r="J92" s="123">
        <v>25</v>
      </c>
      <c r="K92" s="123">
        <v>12</v>
      </c>
      <c r="L92" s="122">
        <v>30</v>
      </c>
      <c r="M92" s="123">
        <v>0</v>
      </c>
      <c r="N92" s="123">
        <v>0</v>
      </c>
      <c r="O92" s="123">
        <v>0</v>
      </c>
      <c r="P92" s="122">
        <v>0</v>
      </c>
      <c r="Q92" s="123">
        <v>0</v>
      </c>
      <c r="R92" s="123">
        <v>0</v>
      </c>
      <c r="S92" s="123">
        <v>0</v>
      </c>
      <c r="T92" s="122">
        <v>46</v>
      </c>
      <c r="U92" s="123">
        <v>10</v>
      </c>
      <c r="V92" s="123">
        <v>20</v>
      </c>
      <c r="W92" s="123">
        <v>6</v>
      </c>
      <c r="X92" s="122">
        <v>0</v>
      </c>
      <c r="Y92" s="123">
        <v>0</v>
      </c>
      <c r="Z92" s="123">
        <v>0</v>
      </c>
      <c r="AA92" s="123">
        <v>0</v>
      </c>
      <c r="AB92" s="122">
        <v>0</v>
      </c>
      <c r="AC92" s="123">
        <v>0</v>
      </c>
      <c r="AD92" s="123">
        <v>0</v>
      </c>
      <c r="AE92" s="122">
        <f t="shared" si="42"/>
        <v>76</v>
      </c>
      <c r="AF92" s="123">
        <f t="shared" si="43"/>
        <v>10</v>
      </c>
      <c r="AG92" s="123">
        <f t="shared" si="44"/>
        <v>20</v>
      </c>
      <c r="AH92" s="123">
        <f t="shared" si="45"/>
        <v>6</v>
      </c>
      <c r="AI92" s="298">
        <f t="shared" si="46"/>
        <v>7149233680</v>
      </c>
    </row>
    <row r="93" spans="1:44" ht="14.25" customHeight="1" x14ac:dyDescent="0.25">
      <c r="A93" s="35" t="s">
        <v>81</v>
      </c>
      <c r="B93" s="120" t="s">
        <v>332</v>
      </c>
      <c r="C93" s="142" t="s">
        <v>510</v>
      </c>
      <c r="D93" s="135" t="str">
        <f>IF(ISNUMBER(MATCH(Table23[[#This Row],[General]],COVENANTS!$A$2:$A$100,0)), "Y","N")</f>
        <v>N</v>
      </c>
      <c r="E93" s="135" t="str">
        <f>IF(ISNUMBER(MATCH(Table23[[#This Row],[General]],COVENANTS!$B$2:$B$100,0)), "Y","N")</f>
        <v>Y</v>
      </c>
      <c r="F93" s="135" t="str">
        <f>IF(ISNUMBER(MATCH(Table23[[#This Row],[General]],COVENANTS!$C$2:$C$100,0)), "Y","N")</f>
        <v>N</v>
      </c>
      <c r="G93" s="135" t="str">
        <f>IF(ISNUMBER(MATCH(Table23[[#This Row],[General]],COVENANTS!$D$2:$D$100,0)), "Y","N")</f>
        <v>N</v>
      </c>
      <c r="H93" s="122">
        <v>25</v>
      </c>
      <c r="I93" s="123">
        <v>25</v>
      </c>
      <c r="J93" s="123">
        <v>25</v>
      </c>
      <c r="K93" s="123">
        <v>12</v>
      </c>
      <c r="L93" s="122">
        <v>20</v>
      </c>
      <c r="M93" s="123">
        <v>0</v>
      </c>
      <c r="N93" s="123">
        <v>0</v>
      </c>
      <c r="O93" s="123">
        <v>5</v>
      </c>
      <c r="P93" s="122">
        <v>0</v>
      </c>
      <c r="Q93" s="123">
        <v>0</v>
      </c>
      <c r="R93" s="123">
        <v>0</v>
      </c>
      <c r="S93" s="123">
        <v>0</v>
      </c>
      <c r="T93" s="122">
        <v>50</v>
      </c>
      <c r="U93" s="123">
        <v>10</v>
      </c>
      <c r="V93" s="123">
        <v>20</v>
      </c>
      <c r="W93" s="123">
        <v>0</v>
      </c>
      <c r="X93" s="122">
        <v>0</v>
      </c>
      <c r="Y93" s="123">
        <v>0</v>
      </c>
      <c r="Z93" s="123">
        <v>0</v>
      </c>
      <c r="AA93" s="123">
        <v>0</v>
      </c>
      <c r="AB93" s="122">
        <v>0</v>
      </c>
      <c r="AC93" s="123">
        <v>0</v>
      </c>
      <c r="AD93" s="123">
        <v>0</v>
      </c>
      <c r="AE93" s="122">
        <f t="shared" ref="AE93:AE109" si="47">L93+T93+X93</f>
        <v>70</v>
      </c>
      <c r="AF93" s="123">
        <f t="shared" ref="AF93:AF109" si="48">M93+U93+Y93</f>
        <v>10</v>
      </c>
      <c r="AG93" s="123">
        <f t="shared" ref="AG93:AG109" si="49">N93+V93+Z93</f>
        <v>20</v>
      </c>
      <c r="AH93" s="123">
        <f t="shared" ref="AH93:AH109" si="50">O93+W93+AA93</f>
        <v>5</v>
      </c>
      <c r="AI93" s="298">
        <f t="shared" ref="AI93:AI109" si="51">(AW$2*(AH93/100)+AW$2+AW$3)*(AX$2*(AE93/100)+AX$2+AX$3)-AY$2</f>
        <v>6434339800</v>
      </c>
    </row>
    <row r="94" spans="1:44" ht="14.25" customHeight="1" x14ac:dyDescent="0.25">
      <c r="A94" s="35" t="s">
        <v>207</v>
      </c>
      <c r="B94" s="120" t="s">
        <v>332</v>
      </c>
      <c r="C94" s="142" t="s">
        <v>193</v>
      </c>
      <c r="D94" s="135" t="str">
        <f>IF(ISNUMBER(MATCH(Table23[[#This Row],[General]],COVENANTS!$A$2:$A$100,0)), "Y","N")</f>
        <v>N</v>
      </c>
      <c r="E94" s="135" t="str">
        <f>IF(ISNUMBER(MATCH(Table23[[#This Row],[General]],COVENANTS!$B$2:$B$100,0)), "Y","N")</f>
        <v>N</v>
      </c>
      <c r="F94" s="135" t="str">
        <f>IF(ISNUMBER(MATCH(Table23[[#This Row],[General]],COVENANTS!$C$2:$C$100,0)), "Y","N")</f>
        <v>N</v>
      </c>
      <c r="G94" s="135" t="str">
        <f>IF(ISNUMBER(MATCH(Table23[[#This Row],[General]],COVENANTS!$D$2:$D$100,0)), "Y","N")</f>
        <v>N</v>
      </c>
      <c r="H94" s="122">
        <v>25</v>
      </c>
      <c r="I94" s="123">
        <v>25</v>
      </c>
      <c r="J94" s="123">
        <v>25</v>
      </c>
      <c r="K94" s="123">
        <v>12</v>
      </c>
      <c r="L94" s="122">
        <v>20</v>
      </c>
      <c r="M94" s="123">
        <v>0</v>
      </c>
      <c r="N94" s="123">
        <v>0</v>
      </c>
      <c r="O94" s="123">
        <v>0</v>
      </c>
      <c r="P94" s="122">
        <v>0</v>
      </c>
      <c r="Q94" s="123">
        <v>0</v>
      </c>
      <c r="R94" s="123">
        <v>0</v>
      </c>
      <c r="S94" s="123">
        <v>0</v>
      </c>
      <c r="T94" s="122">
        <v>46</v>
      </c>
      <c r="U94" s="123">
        <v>0</v>
      </c>
      <c r="V94" s="123">
        <v>10</v>
      </c>
      <c r="W94" s="123">
        <v>6</v>
      </c>
      <c r="X94" s="122">
        <v>0</v>
      </c>
      <c r="Y94" s="123">
        <v>0</v>
      </c>
      <c r="Z94" s="123">
        <v>0</v>
      </c>
      <c r="AA94" s="123">
        <v>0</v>
      </c>
      <c r="AB94" s="122">
        <v>0</v>
      </c>
      <c r="AC94" s="123">
        <v>0</v>
      </c>
      <c r="AD94" s="123">
        <v>0</v>
      </c>
      <c r="AE94" s="122">
        <f t="shared" si="47"/>
        <v>66</v>
      </c>
      <c r="AF94" s="123">
        <f t="shared" si="48"/>
        <v>0</v>
      </c>
      <c r="AG94" s="123">
        <f t="shared" si="49"/>
        <v>10</v>
      </c>
      <c r="AH94" s="123">
        <f t="shared" si="50"/>
        <v>6</v>
      </c>
      <c r="AI94" s="298">
        <f t="shared" si="51"/>
        <v>6420821880</v>
      </c>
    </row>
    <row r="95" spans="1:44" ht="14.25" customHeight="1" x14ac:dyDescent="0.25">
      <c r="A95" s="35" t="s">
        <v>210</v>
      </c>
      <c r="B95" s="120" t="s">
        <v>333</v>
      </c>
      <c r="C95" s="121" t="s">
        <v>195</v>
      </c>
      <c r="D95" s="135" t="str">
        <f>IF(ISNUMBER(MATCH(Table23[[#This Row],[General]],COVENANTS!$A$2:$A$100,0)), "Y","N")</f>
        <v>N</v>
      </c>
      <c r="E95" s="135" t="str">
        <f>IF(ISNUMBER(MATCH(Table23[[#This Row],[General]],COVENANTS!$B$2:$B$100,0)), "Y","N")</f>
        <v>N</v>
      </c>
      <c r="F95" s="135" t="str">
        <f>IF(ISNUMBER(MATCH(Table23[[#This Row],[General]],COVENANTS!$C$2:$C$100,0)), "Y","N")</f>
        <v>N</v>
      </c>
      <c r="G95" s="135" t="str">
        <f>IF(ISNUMBER(MATCH(Table23[[#This Row],[General]],COVENANTS!$D$2:$D$100,0)), "Y","N")</f>
        <v>N</v>
      </c>
      <c r="H95" s="122">
        <v>25</v>
      </c>
      <c r="I95" s="123">
        <v>25</v>
      </c>
      <c r="J95" s="123">
        <v>25</v>
      </c>
      <c r="K95" s="123">
        <v>12</v>
      </c>
      <c r="L95" s="122">
        <v>20</v>
      </c>
      <c r="M95" s="123">
        <v>20</v>
      </c>
      <c r="N95" s="123">
        <v>0</v>
      </c>
      <c r="O95" s="123">
        <v>0</v>
      </c>
      <c r="P95" s="122">
        <v>0</v>
      </c>
      <c r="Q95" s="123">
        <v>0</v>
      </c>
      <c r="R95" s="123">
        <v>0</v>
      </c>
      <c r="S95" s="123">
        <v>0</v>
      </c>
      <c r="T95" s="122">
        <v>60</v>
      </c>
      <c r="U95" s="123">
        <v>20</v>
      </c>
      <c r="V95" s="123">
        <v>10</v>
      </c>
      <c r="W95" s="123">
        <v>0</v>
      </c>
      <c r="X95" s="122">
        <v>0</v>
      </c>
      <c r="Y95" s="123">
        <v>0</v>
      </c>
      <c r="Z95" s="123">
        <v>0</v>
      </c>
      <c r="AA95" s="123">
        <v>0</v>
      </c>
      <c r="AB95" s="122">
        <v>0</v>
      </c>
      <c r="AC95" s="123">
        <v>0</v>
      </c>
      <c r="AD95" s="123">
        <v>0</v>
      </c>
      <c r="AE95" s="122">
        <f t="shared" si="47"/>
        <v>80</v>
      </c>
      <c r="AF95" s="123">
        <f t="shared" si="48"/>
        <v>40</v>
      </c>
      <c r="AG95" s="123">
        <f t="shared" si="49"/>
        <v>10</v>
      </c>
      <c r="AH95" s="123">
        <f t="shared" si="50"/>
        <v>0</v>
      </c>
      <c r="AI95" s="298">
        <f t="shared" si="51"/>
        <v>5765835200</v>
      </c>
    </row>
    <row r="96" spans="1:44" ht="14.25" customHeight="1" x14ac:dyDescent="0.25">
      <c r="A96" s="35" t="s">
        <v>211</v>
      </c>
      <c r="B96" s="120" t="s">
        <v>333</v>
      </c>
      <c r="C96" s="142" t="s">
        <v>189</v>
      </c>
      <c r="D96" s="135" t="str">
        <f>IF(ISNUMBER(MATCH(Table23[[#This Row],[General]],COVENANTS!$A$2:$A$100,0)), "Y","N")</f>
        <v>N</v>
      </c>
      <c r="E96" s="135" t="str">
        <f>IF(ISNUMBER(MATCH(Table23[[#This Row],[General]],COVENANTS!$B$2:$B$100,0)), "Y","N")</f>
        <v>N</v>
      </c>
      <c r="F96" s="135" t="str">
        <f>IF(ISNUMBER(MATCH(Table23[[#This Row],[General]],COVENANTS!$C$2:$C$100,0)), "Y","N")</f>
        <v>N</v>
      </c>
      <c r="G96" s="135" t="str">
        <f>IF(ISNUMBER(MATCH(Table23[[#This Row],[General]],COVENANTS!$D$2:$D$100,0)), "Y","N")</f>
        <v>N</v>
      </c>
      <c r="H96" s="122">
        <v>25</v>
      </c>
      <c r="I96" s="123">
        <v>25</v>
      </c>
      <c r="J96" s="123">
        <v>25</v>
      </c>
      <c r="K96" s="123">
        <v>12</v>
      </c>
      <c r="L96" s="122">
        <v>20</v>
      </c>
      <c r="M96" s="123">
        <v>0</v>
      </c>
      <c r="N96" s="123">
        <v>0</v>
      </c>
      <c r="O96" s="123">
        <v>0</v>
      </c>
      <c r="P96" s="122">
        <v>0</v>
      </c>
      <c r="Q96" s="123">
        <v>0</v>
      </c>
      <c r="R96" s="123">
        <v>0</v>
      </c>
      <c r="S96" s="123">
        <v>0</v>
      </c>
      <c r="T96" s="122">
        <v>50</v>
      </c>
      <c r="U96" s="123">
        <v>10</v>
      </c>
      <c r="V96" s="123">
        <v>20</v>
      </c>
      <c r="W96" s="123">
        <v>0</v>
      </c>
      <c r="X96" s="122">
        <v>0</v>
      </c>
      <c r="Y96" s="123">
        <v>0</v>
      </c>
      <c r="Z96" s="123">
        <v>0</v>
      </c>
      <c r="AA96" s="123">
        <v>0</v>
      </c>
      <c r="AB96" s="122">
        <v>0</v>
      </c>
      <c r="AC96" s="123">
        <v>0</v>
      </c>
      <c r="AD96" s="123">
        <v>0</v>
      </c>
      <c r="AE96" s="122">
        <f t="shared" si="47"/>
        <v>70</v>
      </c>
      <c r="AF96" s="123">
        <f t="shared" si="48"/>
        <v>10</v>
      </c>
      <c r="AG96" s="123">
        <f t="shared" si="49"/>
        <v>20</v>
      </c>
      <c r="AH96" s="123">
        <f t="shared" si="50"/>
        <v>0</v>
      </c>
      <c r="AI96" s="298">
        <f t="shared" si="51"/>
        <v>5045105800</v>
      </c>
    </row>
    <row r="97" spans="1:35" ht="14.25" customHeight="1" x14ac:dyDescent="0.25">
      <c r="A97" s="35" t="s">
        <v>212</v>
      </c>
      <c r="B97" s="120" t="s">
        <v>333</v>
      </c>
      <c r="C97" s="142" t="s">
        <v>191</v>
      </c>
      <c r="D97" s="135" t="str">
        <f>IF(ISNUMBER(MATCH(Table23[[#This Row],[General]],COVENANTS!$A$2:$A$100,0)), "Y","N")</f>
        <v>N</v>
      </c>
      <c r="E97" s="135" t="str">
        <f>IF(ISNUMBER(MATCH(Table23[[#This Row],[General]],COVENANTS!$B$2:$B$100,0)), "Y","N")</f>
        <v>N</v>
      </c>
      <c r="F97" s="135" t="str">
        <f>IF(ISNUMBER(MATCH(Table23[[#This Row],[General]],COVENANTS!$C$2:$C$100,0)), "Y","N")</f>
        <v>N</v>
      </c>
      <c r="G97" s="135" t="str">
        <f>IF(ISNUMBER(MATCH(Table23[[#This Row],[General]],COVENANTS!$D$2:$D$100,0)), "Y","N")</f>
        <v>N</v>
      </c>
      <c r="H97" s="122">
        <v>25</v>
      </c>
      <c r="I97" s="123">
        <v>25</v>
      </c>
      <c r="J97" s="123">
        <v>25</v>
      </c>
      <c r="K97" s="123">
        <v>12</v>
      </c>
      <c r="L97" s="122">
        <v>20</v>
      </c>
      <c r="M97" s="123">
        <v>0</v>
      </c>
      <c r="N97" s="123">
        <v>0</v>
      </c>
      <c r="O97" s="123">
        <v>0</v>
      </c>
      <c r="P97" s="122">
        <v>0</v>
      </c>
      <c r="Q97" s="123">
        <v>0</v>
      </c>
      <c r="R97" s="123">
        <v>0</v>
      </c>
      <c r="S97" s="123">
        <v>0</v>
      </c>
      <c r="T97" s="122">
        <v>26</v>
      </c>
      <c r="U97" s="123">
        <v>16</v>
      </c>
      <c r="V97" s="123">
        <v>0</v>
      </c>
      <c r="W97" s="123">
        <v>6</v>
      </c>
      <c r="X97" s="122">
        <v>0</v>
      </c>
      <c r="Y97" s="123">
        <v>0</v>
      </c>
      <c r="Z97" s="123">
        <v>0</v>
      </c>
      <c r="AA97" s="123">
        <v>0</v>
      </c>
      <c r="AB97" s="122">
        <v>0</v>
      </c>
      <c r="AC97" s="123">
        <v>0</v>
      </c>
      <c r="AD97" s="123">
        <v>0</v>
      </c>
      <c r="AE97" s="122">
        <f t="shared" si="47"/>
        <v>46</v>
      </c>
      <c r="AF97" s="123">
        <f t="shared" si="48"/>
        <v>16</v>
      </c>
      <c r="AG97" s="123">
        <f t="shared" si="49"/>
        <v>0</v>
      </c>
      <c r="AH97" s="123">
        <f t="shared" si="50"/>
        <v>6</v>
      </c>
      <c r="AI97" s="298">
        <f t="shared" si="51"/>
        <v>4963998280</v>
      </c>
    </row>
    <row r="98" spans="1:35" ht="14.25" customHeight="1" x14ac:dyDescent="0.25">
      <c r="A98" s="35" t="s">
        <v>213</v>
      </c>
      <c r="B98" s="120" t="s">
        <v>333</v>
      </c>
      <c r="C98" s="142" t="s">
        <v>26</v>
      </c>
      <c r="D98" s="135" t="str">
        <f>IF(ISNUMBER(MATCH(Table23[[#This Row],[General]],COVENANTS!$A$2:$A$100,0)), "Y","N")</f>
        <v>N</v>
      </c>
      <c r="E98" s="135" t="str">
        <f>IF(ISNUMBER(MATCH(Table23[[#This Row],[General]],COVENANTS!$B$2:$B$100,0)), "Y","N")</f>
        <v>Y</v>
      </c>
      <c r="F98" s="135" t="str">
        <f>IF(ISNUMBER(MATCH(Table23[[#This Row],[General]],COVENANTS!$C$2:$C$100,0)), "Y","N")</f>
        <v>N</v>
      </c>
      <c r="G98" s="135" t="str">
        <f>IF(ISNUMBER(MATCH(Table23[[#This Row],[General]],COVENANTS!$D$2:$D$100,0)), "Y","N")</f>
        <v>N</v>
      </c>
      <c r="H98" s="122">
        <v>25</v>
      </c>
      <c r="I98" s="123">
        <v>25</v>
      </c>
      <c r="J98" s="123">
        <v>25</v>
      </c>
      <c r="K98" s="123">
        <v>12</v>
      </c>
      <c r="L98" s="122">
        <v>20</v>
      </c>
      <c r="M98" s="123">
        <v>0</v>
      </c>
      <c r="N98" s="123">
        <v>0</v>
      </c>
      <c r="O98" s="123">
        <v>0</v>
      </c>
      <c r="P98" s="122">
        <v>0</v>
      </c>
      <c r="Q98" s="123">
        <v>0</v>
      </c>
      <c r="R98" s="123">
        <v>0</v>
      </c>
      <c r="S98" s="123">
        <v>0</v>
      </c>
      <c r="T98" s="122">
        <v>46</v>
      </c>
      <c r="U98" s="123">
        <v>0</v>
      </c>
      <c r="V98" s="123">
        <v>36</v>
      </c>
      <c r="W98" s="123">
        <v>0</v>
      </c>
      <c r="X98" s="122">
        <v>0</v>
      </c>
      <c r="Y98" s="123">
        <v>0</v>
      </c>
      <c r="Z98" s="123">
        <v>0</v>
      </c>
      <c r="AA98" s="123">
        <v>0</v>
      </c>
      <c r="AB98" s="122">
        <v>0</v>
      </c>
      <c r="AC98" s="123">
        <v>0</v>
      </c>
      <c r="AD98" s="123">
        <v>0</v>
      </c>
      <c r="AE98" s="122">
        <f t="shared" si="47"/>
        <v>66</v>
      </c>
      <c r="AF98" s="123">
        <f t="shared" si="48"/>
        <v>0</v>
      </c>
      <c r="AG98" s="123">
        <f t="shared" si="49"/>
        <v>36</v>
      </c>
      <c r="AH98" s="123">
        <f t="shared" si="50"/>
        <v>0</v>
      </c>
      <c r="AI98" s="298">
        <f t="shared" si="51"/>
        <v>4756814040</v>
      </c>
    </row>
    <row r="99" spans="1:35" ht="14.25" customHeight="1" x14ac:dyDescent="0.25">
      <c r="A99" s="35" t="s">
        <v>214</v>
      </c>
      <c r="B99" s="120" t="s">
        <v>333</v>
      </c>
      <c r="C99" s="142" t="s">
        <v>302</v>
      </c>
      <c r="D99" s="135" t="str">
        <f>IF(ISNUMBER(MATCH(Table23[[#This Row],[General]],COVENANTS!$A$2:$A$100,0)), "Y","N")</f>
        <v>N</v>
      </c>
      <c r="E99" s="135" t="str">
        <f>IF(ISNUMBER(MATCH(Table23[[#This Row],[General]],COVENANTS!$B$2:$B$100,0)), "Y","N")</f>
        <v>Y</v>
      </c>
      <c r="F99" s="135" t="str">
        <f>IF(ISNUMBER(MATCH(Table23[[#This Row],[General]],COVENANTS!$C$2:$C$100,0)), "Y","N")</f>
        <v>N</v>
      </c>
      <c r="G99" s="135" t="str">
        <f>IF(ISNUMBER(MATCH(Table23[[#This Row],[General]],COVENANTS!$D$2:$D$100,0)), "Y","N")</f>
        <v>N</v>
      </c>
      <c r="H99" s="122">
        <v>25</v>
      </c>
      <c r="I99" s="123">
        <v>25</v>
      </c>
      <c r="J99" s="123">
        <v>25</v>
      </c>
      <c r="K99" s="123">
        <v>12</v>
      </c>
      <c r="L99" s="122">
        <v>15</v>
      </c>
      <c r="M99" s="123">
        <v>0</v>
      </c>
      <c r="N99" s="123">
        <v>0</v>
      </c>
      <c r="O99" s="123">
        <v>0</v>
      </c>
      <c r="P99" s="122">
        <v>0</v>
      </c>
      <c r="Q99" s="123">
        <v>0</v>
      </c>
      <c r="R99" s="123">
        <v>0</v>
      </c>
      <c r="S99" s="123">
        <v>0</v>
      </c>
      <c r="T99" s="122">
        <v>46</v>
      </c>
      <c r="U99" s="123">
        <v>10</v>
      </c>
      <c r="V99" s="123">
        <v>36</v>
      </c>
      <c r="W99" s="123"/>
      <c r="X99" s="122"/>
      <c r="Y99" s="123"/>
      <c r="Z99" s="123"/>
      <c r="AA99" s="123"/>
      <c r="AB99" s="122">
        <v>0</v>
      </c>
      <c r="AC99" s="123">
        <v>0</v>
      </c>
      <c r="AD99" s="123">
        <v>0</v>
      </c>
      <c r="AE99" s="122">
        <f t="shared" si="47"/>
        <v>61</v>
      </c>
      <c r="AF99" s="123">
        <f t="shared" si="48"/>
        <v>10</v>
      </c>
      <c r="AG99" s="123">
        <f t="shared" si="49"/>
        <v>36</v>
      </c>
      <c r="AH99" s="123">
        <f t="shared" si="50"/>
        <v>0</v>
      </c>
      <c r="AI99" s="298">
        <f t="shared" si="51"/>
        <v>4396449340</v>
      </c>
    </row>
    <row r="100" spans="1:35" ht="14.25" customHeight="1" x14ac:dyDescent="0.25">
      <c r="A100" s="35" t="s">
        <v>215</v>
      </c>
      <c r="B100" s="120" t="s">
        <v>333</v>
      </c>
      <c r="C100" s="121" t="s">
        <v>490</v>
      </c>
      <c r="D100" s="135" t="str">
        <f>IF(ISNUMBER(MATCH(Table23[[#This Row],[General]],COVENANTS!$A$2:$A$100,0)), "Y","N")</f>
        <v>N</v>
      </c>
      <c r="E100" s="135" t="str">
        <f>IF(ISNUMBER(MATCH(Table23[[#This Row],[General]],COVENANTS!$B$2:$B$100,0)), "Y","N")</f>
        <v>N</v>
      </c>
      <c r="F100" s="135" t="str">
        <f>IF(ISNUMBER(MATCH(Table23[[#This Row],[General]],COVENANTS!$C$2:$C$100,0)), "Y","N")</f>
        <v>N</v>
      </c>
      <c r="G100" s="135" t="str">
        <f>IF(ISNUMBER(MATCH(Table23[[#This Row],[General]],COVENANTS!$D$2:$D$100,0)), "Y","N")</f>
        <v>Y</v>
      </c>
      <c r="H100" s="122">
        <v>25</v>
      </c>
      <c r="I100" s="123">
        <v>25</v>
      </c>
      <c r="J100" s="123">
        <v>25</v>
      </c>
      <c r="K100" s="123">
        <v>12</v>
      </c>
      <c r="L100" s="122">
        <v>15</v>
      </c>
      <c r="M100" s="123">
        <v>0</v>
      </c>
      <c r="N100" s="123">
        <v>0</v>
      </c>
      <c r="O100" s="123">
        <v>0</v>
      </c>
      <c r="P100" s="122">
        <v>0</v>
      </c>
      <c r="Q100" s="123">
        <v>0</v>
      </c>
      <c r="R100" s="123">
        <v>0</v>
      </c>
      <c r="S100" s="123">
        <v>0</v>
      </c>
      <c r="T100" s="122">
        <v>46</v>
      </c>
      <c r="U100" s="123">
        <v>10</v>
      </c>
      <c r="V100" s="123">
        <v>20</v>
      </c>
      <c r="W100" s="123"/>
      <c r="X100" s="122">
        <v>0</v>
      </c>
      <c r="Y100" s="123">
        <v>0</v>
      </c>
      <c r="Z100" s="123">
        <v>0</v>
      </c>
      <c r="AA100" s="123">
        <v>0</v>
      </c>
      <c r="AB100" s="122">
        <v>0</v>
      </c>
      <c r="AC100" s="123">
        <v>0</v>
      </c>
      <c r="AD100" s="123">
        <v>0</v>
      </c>
      <c r="AE100" s="122">
        <f t="shared" si="47"/>
        <v>61</v>
      </c>
      <c r="AF100" s="123">
        <f t="shared" si="48"/>
        <v>10</v>
      </c>
      <c r="AG100" s="123">
        <f t="shared" si="49"/>
        <v>20</v>
      </c>
      <c r="AH100" s="123">
        <f t="shared" si="50"/>
        <v>0</v>
      </c>
      <c r="AI100" s="298">
        <f t="shared" si="51"/>
        <v>4396449340</v>
      </c>
    </row>
    <row r="101" spans="1:35" ht="14.25" customHeight="1" x14ac:dyDescent="0.25">
      <c r="A101" s="35" t="s">
        <v>216</v>
      </c>
      <c r="B101" s="120" t="s">
        <v>333</v>
      </c>
      <c r="C101" s="121" t="s">
        <v>168</v>
      </c>
      <c r="D101" s="135" t="str">
        <f>IF(ISNUMBER(MATCH(Table23[[#This Row],[General]],COVENANTS!$A$2:$A$100,0)), "Y","N")</f>
        <v>N</v>
      </c>
      <c r="E101" s="135" t="str">
        <f>IF(ISNUMBER(MATCH(Table23[[#This Row],[General]],COVENANTS!$B$2:$B$100,0)), "Y","N")</f>
        <v>N</v>
      </c>
      <c r="F101" s="135" t="str">
        <f>IF(ISNUMBER(MATCH(Table23[[#This Row],[General]],COVENANTS!$C$2:$C$100,0)), "Y","N")</f>
        <v>N</v>
      </c>
      <c r="G101" s="135" t="str">
        <f>IF(ISNUMBER(MATCH(Table23[[#This Row],[General]],COVENANTS!$D$2:$D$100,0)), "Y","N")</f>
        <v>N</v>
      </c>
      <c r="H101" s="122">
        <v>25</v>
      </c>
      <c r="I101" s="123">
        <v>25</v>
      </c>
      <c r="J101" s="123">
        <v>25</v>
      </c>
      <c r="K101" s="123">
        <v>12</v>
      </c>
      <c r="L101" s="122">
        <v>20</v>
      </c>
      <c r="M101" s="123">
        <v>25</v>
      </c>
      <c r="N101" s="123">
        <v>25</v>
      </c>
      <c r="O101" s="123">
        <v>0</v>
      </c>
      <c r="P101" s="122">
        <v>0</v>
      </c>
      <c r="Q101" s="123">
        <v>0</v>
      </c>
      <c r="R101" s="123">
        <v>0</v>
      </c>
      <c r="S101" s="123">
        <v>0</v>
      </c>
      <c r="T101" s="122">
        <v>40</v>
      </c>
      <c r="U101" s="123">
        <v>0</v>
      </c>
      <c r="V101" s="123">
        <v>0</v>
      </c>
      <c r="W101" s="123">
        <v>0</v>
      </c>
      <c r="X101" s="122">
        <v>0</v>
      </c>
      <c r="Y101" s="123">
        <v>0</v>
      </c>
      <c r="Z101" s="123">
        <v>0</v>
      </c>
      <c r="AA101" s="123">
        <v>0</v>
      </c>
      <c r="AB101" s="122">
        <v>0</v>
      </c>
      <c r="AC101" s="123">
        <v>0</v>
      </c>
      <c r="AD101" s="123">
        <v>0</v>
      </c>
      <c r="AE101" s="122">
        <f t="shared" si="47"/>
        <v>60</v>
      </c>
      <c r="AF101" s="123">
        <f t="shared" si="48"/>
        <v>25</v>
      </c>
      <c r="AG101" s="123">
        <f t="shared" si="49"/>
        <v>25</v>
      </c>
      <c r="AH101" s="123">
        <f t="shared" si="50"/>
        <v>0</v>
      </c>
      <c r="AI101" s="298">
        <f t="shared" si="51"/>
        <v>4324376400</v>
      </c>
    </row>
    <row r="102" spans="1:35" ht="14.25" customHeight="1" x14ac:dyDescent="0.25">
      <c r="A102" s="35" t="s">
        <v>217</v>
      </c>
      <c r="B102" s="120" t="s">
        <v>332</v>
      </c>
      <c r="C102" s="142" t="s">
        <v>163</v>
      </c>
      <c r="D102" s="135" t="str">
        <f>IF(ISNUMBER(MATCH(Table23[[#This Row],[General]],COVENANTS!$A$2:$A$100,0)), "Y","N")</f>
        <v>N</v>
      </c>
      <c r="E102" s="135" t="str">
        <f>IF(ISNUMBER(MATCH(Table23[[#This Row],[General]],COVENANTS!$B$2:$B$100,0)), "Y","N")</f>
        <v>N</v>
      </c>
      <c r="F102" s="135" t="str">
        <f>IF(ISNUMBER(MATCH(Table23[[#This Row],[General]],COVENANTS!$C$2:$C$100,0)), "Y","N")</f>
        <v>Y</v>
      </c>
      <c r="G102" s="135" t="str">
        <f>IF(ISNUMBER(MATCH(Table23[[#This Row],[General]],COVENANTS!$D$2:$D$100,0)), "Y","N")</f>
        <v>N</v>
      </c>
      <c r="H102" s="122">
        <v>25</v>
      </c>
      <c r="I102" s="123">
        <v>25</v>
      </c>
      <c r="J102" s="123">
        <v>25</v>
      </c>
      <c r="K102" s="123">
        <v>12</v>
      </c>
      <c r="L102" s="122">
        <v>20</v>
      </c>
      <c r="M102" s="123">
        <v>0</v>
      </c>
      <c r="N102" s="123">
        <v>0</v>
      </c>
      <c r="O102" s="123">
        <v>0</v>
      </c>
      <c r="P102" s="122">
        <v>0</v>
      </c>
      <c r="Q102" s="123">
        <v>0</v>
      </c>
      <c r="R102" s="123">
        <v>0</v>
      </c>
      <c r="S102" s="123">
        <v>0</v>
      </c>
      <c r="T102" s="122">
        <v>10</v>
      </c>
      <c r="U102" s="123">
        <v>0</v>
      </c>
      <c r="V102" s="123">
        <v>0</v>
      </c>
      <c r="W102" s="123">
        <v>6</v>
      </c>
      <c r="X102" s="122">
        <v>0</v>
      </c>
      <c r="Y102" s="123">
        <v>0</v>
      </c>
      <c r="Z102" s="123">
        <v>0</v>
      </c>
      <c r="AA102" s="123">
        <v>0</v>
      </c>
      <c r="AB102" s="122">
        <v>0</v>
      </c>
      <c r="AC102" s="123">
        <v>0</v>
      </c>
      <c r="AD102" s="123">
        <v>0</v>
      </c>
      <c r="AE102" s="122">
        <f t="shared" si="47"/>
        <v>30</v>
      </c>
      <c r="AF102" s="123">
        <f t="shared" si="48"/>
        <v>0</v>
      </c>
      <c r="AG102" s="123">
        <f t="shared" si="49"/>
        <v>0</v>
      </c>
      <c r="AH102" s="123">
        <f t="shared" si="50"/>
        <v>6</v>
      </c>
      <c r="AI102" s="298">
        <f t="shared" si="51"/>
        <v>3798539400</v>
      </c>
    </row>
    <row r="103" spans="1:35" ht="14.25" customHeight="1" x14ac:dyDescent="0.25">
      <c r="A103" s="35" t="s">
        <v>218</v>
      </c>
      <c r="B103" s="120" t="s">
        <v>332</v>
      </c>
      <c r="C103" s="142" t="s">
        <v>190</v>
      </c>
      <c r="D103" s="135" t="str">
        <f>IF(ISNUMBER(MATCH(Table23[[#This Row],[General]],COVENANTS!$A$2:$A$100,0)), "Y","N")</f>
        <v>N</v>
      </c>
      <c r="E103" s="135" t="str">
        <f>IF(ISNUMBER(MATCH(Table23[[#This Row],[General]],COVENANTS!$B$2:$B$100,0)), "Y","N")</f>
        <v>Y</v>
      </c>
      <c r="F103" s="135" t="str">
        <f>IF(ISNUMBER(MATCH(Table23[[#This Row],[General]],COVENANTS!$C$2:$C$100,0)), "Y","N")</f>
        <v>N</v>
      </c>
      <c r="G103" s="135" t="str">
        <f>IF(ISNUMBER(MATCH(Table23[[#This Row],[General]],COVENANTS!$D$2:$D$100,0)), "Y","N")</f>
        <v>N</v>
      </c>
      <c r="H103" s="122">
        <v>25</v>
      </c>
      <c r="I103" s="123">
        <v>25</v>
      </c>
      <c r="J103" s="123">
        <v>25</v>
      </c>
      <c r="K103" s="123">
        <v>12</v>
      </c>
      <c r="L103" s="122">
        <v>15</v>
      </c>
      <c r="M103" s="123">
        <v>0</v>
      </c>
      <c r="N103" s="123">
        <v>0</v>
      </c>
      <c r="O103" s="123">
        <v>0</v>
      </c>
      <c r="P103" s="122">
        <v>0</v>
      </c>
      <c r="Q103" s="123">
        <v>0</v>
      </c>
      <c r="R103" s="123">
        <v>0</v>
      </c>
      <c r="S103" s="123">
        <v>0</v>
      </c>
      <c r="T103" s="122">
        <v>6</v>
      </c>
      <c r="U103" s="123">
        <v>0</v>
      </c>
      <c r="V103" s="123">
        <v>0</v>
      </c>
      <c r="W103" s="123">
        <v>6</v>
      </c>
      <c r="X103" s="122">
        <v>0</v>
      </c>
      <c r="Y103" s="123">
        <v>0</v>
      </c>
      <c r="Z103" s="123">
        <v>0</v>
      </c>
      <c r="AA103" s="123">
        <v>0</v>
      </c>
      <c r="AB103" s="122">
        <v>0</v>
      </c>
      <c r="AC103" s="123">
        <v>0</v>
      </c>
      <c r="AD103" s="123">
        <v>0</v>
      </c>
      <c r="AE103" s="122">
        <f t="shared" si="47"/>
        <v>21</v>
      </c>
      <c r="AF103" s="123">
        <f t="shared" si="48"/>
        <v>0</v>
      </c>
      <c r="AG103" s="123">
        <f t="shared" si="49"/>
        <v>0</v>
      </c>
      <c r="AH103" s="123">
        <f t="shared" si="50"/>
        <v>6</v>
      </c>
      <c r="AI103" s="298">
        <f t="shared" si="51"/>
        <v>3142968780</v>
      </c>
    </row>
    <row r="104" spans="1:35" ht="14.25" customHeight="1" x14ac:dyDescent="0.25">
      <c r="A104" s="35" t="s">
        <v>434</v>
      </c>
      <c r="B104" s="120" t="s">
        <v>333</v>
      </c>
      <c r="C104" s="142" t="s">
        <v>196</v>
      </c>
      <c r="D104" s="135" t="str">
        <f>IF(ISNUMBER(MATCH(Table23[[#This Row],[General]],COVENANTS!$A$2:$A$100,0)), "Y","N")</f>
        <v>N</v>
      </c>
      <c r="E104" s="135" t="str">
        <f>IF(ISNUMBER(MATCH(Table23[[#This Row],[General]],COVENANTS!$B$2:$B$100,0)), "Y","N")</f>
        <v>N</v>
      </c>
      <c r="F104" s="135" t="str">
        <f>IF(ISNUMBER(MATCH(Table23[[#This Row],[General]],COVENANTS!$C$2:$C$100,0)), "Y","N")</f>
        <v>N</v>
      </c>
      <c r="G104" s="135" t="str">
        <f>IF(ISNUMBER(MATCH(Table23[[#This Row],[General]],COVENANTS!$D$2:$D$100,0)), "Y","N")</f>
        <v>N</v>
      </c>
      <c r="H104" s="122">
        <v>25</v>
      </c>
      <c r="I104" s="123">
        <v>25</v>
      </c>
      <c r="J104" s="123">
        <v>25</v>
      </c>
      <c r="K104" s="123">
        <v>12</v>
      </c>
      <c r="L104" s="122">
        <v>10</v>
      </c>
      <c r="M104" s="123">
        <v>0</v>
      </c>
      <c r="N104" s="123">
        <v>0</v>
      </c>
      <c r="O104" s="123">
        <v>0</v>
      </c>
      <c r="P104" s="122">
        <v>0</v>
      </c>
      <c r="Q104" s="123">
        <v>0</v>
      </c>
      <c r="R104" s="123">
        <v>0</v>
      </c>
      <c r="S104" s="123">
        <v>0</v>
      </c>
      <c r="T104" s="122">
        <v>20</v>
      </c>
      <c r="U104" s="123">
        <v>0</v>
      </c>
      <c r="V104" s="123">
        <v>10</v>
      </c>
      <c r="W104" s="123">
        <v>0</v>
      </c>
      <c r="X104" s="122">
        <v>0</v>
      </c>
      <c r="Y104" s="123">
        <v>0</v>
      </c>
      <c r="Z104" s="123">
        <v>0</v>
      </c>
      <c r="AA104" s="123">
        <v>0</v>
      </c>
      <c r="AB104" s="122">
        <v>0</v>
      </c>
      <c r="AC104" s="123">
        <v>0</v>
      </c>
      <c r="AD104" s="123">
        <v>0</v>
      </c>
      <c r="AE104" s="122">
        <f t="shared" si="47"/>
        <v>30</v>
      </c>
      <c r="AF104" s="123">
        <f t="shared" si="48"/>
        <v>0</v>
      </c>
      <c r="AG104" s="123">
        <f t="shared" si="49"/>
        <v>10</v>
      </c>
      <c r="AH104" s="123">
        <f t="shared" si="50"/>
        <v>0</v>
      </c>
      <c r="AI104" s="298">
        <f t="shared" si="51"/>
        <v>2162188200</v>
      </c>
    </row>
    <row r="105" spans="1:35" ht="14.25" customHeight="1" x14ac:dyDescent="0.25">
      <c r="A105" s="35" t="s">
        <v>435</v>
      </c>
      <c r="B105" s="104"/>
      <c r="C105" s="184"/>
      <c r="D105" s="185" t="str">
        <f>IF(ISNUMBER(MATCH(Table23[[#This Row],[General]],COVENANTS!$A$2:$A$100,0)), "Y","N")</f>
        <v>N</v>
      </c>
      <c r="E105" s="185" t="str">
        <f>IF(ISNUMBER(MATCH(Table23[[#This Row],[General]],COVENANTS!$B$2:$B$100,0)), "Y","N")</f>
        <v>N</v>
      </c>
      <c r="F105" s="185" t="str">
        <f>IF(ISNUMBER(MATCH(Table23[[#This Row],[General]],COVENANTS!$C$2:$C$100,0)), "Y","N")</f>
        <v>N</v>
      </c>
      <c r="G105" s="185" t="str">
        <f>IF(ISNUMBER(MATCH(Table23[[#This Row],[General]],COVENANTS!$D$2:$D$100,0)), "Y","N")</f>
        <v>N</v>
      </c>
      <c r="H105" s="106">
        <v>0</v>
      </c>
      <c r="I105" s="105">
        <v>0</v>
      </c>
      <c r="J105" s="105">
        <v>0</v>
      </c>
      <c r="K105" s="105">
        <v>0</v>
      </c>
      <c r="L105" s="106">
        <v>0</v>
      </c>
      <c r="M105" s="105">
        <v>0</v>
      </c>
      <c r="N105" s="105">
        <v>0</v>
      </c>
      <c r="O105" s="105">
        <v>0</v>
      </c>
      <c r="P105" s="106">
        <v>0</v>
      </c>
      <c r="Q105" s="105">
        <v>0</v>
      </c>
      <c r="R105" s="105">
        <v>0</v>
      </c>
      <c r="S105" s="105">
        <v>0</v>
      </c>
      <c r="T105" s="106">
        <v>0</v>
      </c>
      <c r="U105" s="105">
        <v>0</v>
      </c>
      <c r="V105" s="105">
        <v>0</v>
      </c>
      <c r="W105" s="105">
        <v>0</v>
      </c>
      <c r="X105" s="106">
        <v>0</v>
      </c>
      <c r="Y105" s="105">
        <v>0</v>
      </c>
      <c r="Z105" s="105">
        <v>0</v>
      </c>
      <c r="AA105" s="105">
        <v>0</v>
      </c>
      <c r="AB105" s="106">
        <v>0</v>
      </c>
      <c r="AC105" s="105">
        <v>0</v>
      </c>
      <c r="AD105" s="105">
        <v>0</v>
      </c>
      <c r="AE105" s="106">
        <f t="shared" si="47"/>
        <v>0</v>
      </c>
      <c r="AF105" s="105">
        <f t="shared" si="48"/>
        <v>0</v>
      </c>
      <c r="AG105" s="105">
        <f t="shared" si="49"/>
        <v>0</v>
      </c>
      <c r="AH105" s="105">
        <f t="shared" si="50"/>
        <v>0</v>
      </c>
      <c r="AI105" s="297">
        <f t="shared" si="51"/>
        <v>0</v>
      </c>
    </row>
    <row r="106" spans="1:35" ht="14.25" customHeight="1" x14ac:dyDescent="0.25">
      <c r="A106" s="35" t="s">
        <v>436</v>
      </c>
      <c r="B106" s="10"/>
      <c r="C106" s="186"/>
      <c r="D106" s="187" t="str">
        <f>IF(ISNUMBER(MATCH(Table23[[#This Row],[General]],COVENANTS!$A$2:$A$100,0)), "Y","N")</f>
        <v>N</v>
      </c>
      <c r="E106" s="187" t="str">
        <f>IF(ISNUMBER(MATCH(Table23[[#This Row],[General]],COVENANTS!$B$2:$B$100,0)), "Y","N")</f>
        <v>N</v>
      </c>
      <c r="F106" s="187" t="str">
        <f>IF(ISNUMBER(MATCH(Table23[[#This Row],[General]],COVENANTS!$C$2:$C$100,0)), "Y","N")</f>
        <v>N</v>
      </c>
      <c r="G106" s="187" t="str">
        <f>IF(ISNUMBER(MATCH(Table23[[#This Row],[General]],COVENANTS!$D$2:$D$100,0)), "Y","N")</f>
        <v>N</v>
      </c>
      <c r="H106" s="97">
        <v>0</v>
      </c>
      <c r="I106" s="113">
        <v>0</v>
      </c>
      <c r="J106" s="113">
        <v>0</v>
      </c>
      <c r="K106" s="113">
        <v>0</v>
      </c>
      <c r="L106" s="97">
        <v>0</v>
      </c>
      <c r="M106" s="113">
        <v>0</v>
      </c>
      <c r="N106" s="113">
        <v>0</v>
      </c>
      <c r="O106" s="113">
        <v>0</v>
      </c>
      <c r="P106" s="97">
        <v>0</v>
      </c>
      <c r="Q106" s="113">
        <v>0</v>
      </c>
      <c r="R106" s="113">
        <v>0</v>
      </c>
      <c r="S106" s="113">
        <v>0</v>
      </c>
      <c r="T106" s="97">
        <v>0</v>
      </c>
      <c r="U106" s="113">
        <v>0</v>
      </c>
      <c r="V106" s="113">
        <v>0</v>
      </c>
      <c r="W106" s="113">
        <v>0</v>
      </c>
      <c r="X106" s="97">
        <v>0</v>
      </c>
      <c r="Y106" s="113">
        <v>0</v>
      </c>
      <c r="Z106" s="113">
        <v>0</v>
      </c>
      <c r="AA106" s="113">
        <v>0</v>
      </c>
      <c r="AB106" s="97">
        <v>0</v>
      </c>
      <c r="AC106" s="113">
        <v>0</v>
      </c>
      <c r="AD106" s="113">
        <v>0</v>
      </c>
      <c r="AE106" s="97">
        <f t="shared" si="47"/>
        <v>0</v>
      </c>
      <c r="AF106" s="113">
        <f t="shared" si="48"/>
        <v>0</v>
      </c>
      <c r="AG106" s="113">
        <f t="shared" si="49"/>
        <v>0</v>
      </c>
      <c r="AH106" s="113">
        <f t="shared" si="50"/>
        <v>0</v>
      </c>
      <c r="AI106" s="300">
        <f t="shared" si="51"/>
        <v>0</v>
      </c>
    </row>
    <row r="107" spans="1:35" ht="14.25" customHeight="1" x14ac:dyDescent="0.25">
      <c r="A107" s="35" t="s">
        <v>437</v>
      </c>
      <c r="B107" s="10"/>
      <c r="C107" s="186"/>
      <c r="D107" s="187" t="str">
        <f>IF(ISNUMBER(MATCH(Table23[[#This Row],[General]],COVENANTS!$A$2:$A$100,0)), "Y","N")</f>
        <v>N</v>
      </c>
      <c r="E107" s="187" t="str">
        <f>IF(ISNUMBER(MATCH(Table23[[#This Row],[General]],COVENANTS!$B$2:$B$100,0)), "Y","N")</f>
        <v>N</v>
      </c>
      <c r="F107" s="187" t="str">
        <f>IF(ISNUMBER(MATCH(Table23[[#This Row],[General]],COVENANTS!$C$2:$C$100,0)), "Y","N")</f>
        <v>N</v>
      </c>
      <c r="G107" s="187" t="str">
        <f>IF(ISNUMBER(MATCH(Table23[[#This Row],[General]],COVENANTS!$D$2:$D$100,0)), "Y","N")</f>
        <v>N</v>
      </c>
      <c r="H107" s="97">
        <v>0</v>
      </c>
      <c r="I107" s="113">
        <v>0</v>
      </c>
      <c r="J107" s="113">
        <v>0</v>
      </c>
      <c r="K107" s="113">
        <v>0</v>
      </c>
      <c r="L107" s="97">
        <v>0</v>
      </c>
      <c r="M107" s="113">
        <v>0</v>
      </c>
      <c r="N107" s="113">
        <v>0</v>
      </c>
      <c r="O107" s="113">
        <v>0</v>
      </c>
      <c r="P107" s="97">
        <v>0</v>
      </c>
      <c r="Q107" s="113">
        <v>0</v>
      </c>
      <c r="R107" s="113">
        <v>0</v>
      </c>
      <c r="S107" s="113">
        <v>0</v>
      </c>
      <c r="T107" s="97">
        <v>0</v>
      </c>
      <c r="U107" s="113">
        <v>0</v>
      </c>
      <c r="V107" s="113">
        <v>0</v>
      </c>
      <c r="W107" s="113">
        <v>0</v>
      </c>
      <c r="X107" s="97">
        <v>0</v>
      </c>
      <c r="Y107" s="113">
        <v>0</v>
      </c>
      <c r="Z107" s="113">
        <v>0</v>
      </c>
      <c r="AA107" s="113">
        <v>0</v>
      </c>
      <c r="AB107" s="97">
        <v>0</v>
      </c>
      <c r="AC107" s="113">
        <v>0</v>
      </c>
      <c r="AD107" s="113">
        <v>0</v>
      </c>
      <c r="AE107" s="97">
        <f t="shared" si="47"/>
        <v>0</v>
      </c>
      <c r="AF107" s="113">
        <f t="shared" si="48"/>
        <v>0</v>
      </c>
      <c r="AG107" s="113">
        <f t="shared" si="49"/>
        <v>0</v>
      </c>
      <c r="AH107" s="113">
        <f t="shared" si="50"/>
        <v>0</v>
      </c>
      <c r="AI107" s="300">
        <f t="shared" si="51"/>
        <v>0</v>
      </c>
    </row>
    <row r="108" spans="1:35" ht="14.25" customHeight="1" x14ac:dyDescent="0.25">
      <c r="A108" s="35" t="s">
        <v>438</v>
      </c>
      <c r="B108" s="10"/>
      <c r="C108" s="186"/>
      <c r="D108" s="187" t="str">
        <f>IF(ISNUMBER(MATCH(Table23[[#This Row],[General]],COVENANTS!$A$2:$A$100,0)), "Y","N")</f>
        <v>N</v>
      </c>
      <c r="E108" s="187" t="str">
        <f>IF(ISNUMBER(MATCH(Table23[[#This Row],[General]],COVENANTS!$B$2:$B$100,0)), "Y","N")</f>
        <v>N</v>
      </c>
      <c r="F108" s="187" t="str">
        <f>IF(ISNUMBER(MATCH(Table23[[#This Row],[General]],COVENANTS!$C$2:$C$100,0)), "Y","N")</f>
        <v>N</v>
      </c>
      <c r="G108" s="187" t="str">
        <f>IF(ISNUMBER(MATCH(Table23[[#This Row],[General]],COVENANTS!$D$2:$D$100,0)), "Y","N")</f>
        <v>N</v>
      </c>
      <c r="H108" s="97">
        <v>0</v>
      </c>
      <c r="I108" s="113">
        <v>0</v>
      </c>
      <c r="J108" s="113">
        <v>0</v>
      </c>
      <c r="K108" s="113">
        <v>0</v>
      </c>
      <c r="L108" s="97">
        <v>0</v>
      </c>
      <c r="M108" s="113">
        <v>0</v>
      </c>
      <c r="N108" s="113">
        <v>0</v>
      </c>
      <c r="O108" s="113">
        <v>0</v>
      </c>
      <c r="P108" s="97">
        <v>0</v>
      </c>
      <c r="Q108" s="113">
        <v>0</v>
      </c>
      <c r="R108" s="113">
        <v>0</v>
      </c>
      <c r="S108" s="113">
        <v>0</v>
      </c>
      <c r="T108" s="97">
        <v>0</v>
      </c>
      <c r="U108" s="113">
        <v>0</v>
      </c>
      <c r="V108" s="113">
        <v>0</v>
      </c>
      <c r="W108" s="113">
        <v>0</v>
      </c>
      <c r="X108" s="97">
        <v>0</v>
      </c>
      <c r="Y108" s="113">
        <v>0</v>
      </c>
      <c r="Z108" s="113">
        <v>0</v>
      </c>
      <c r="AA108" s="113">
        <v>0</v>
      </c>
      <c r="AB108" s="97">
        <v>0</v>
      </c>
      <c r="AC108" s="113">
        <v>0</v>
      </c>
      <c r="AD108" s="113">
        <v>0</v>
      </c>
      <c r="AE108" s="97">
        <f t="shared" si="47"/>
        <v>0</v>
      </c>
      <c r="AF108" s="113">
        <f t="shared" si="48"/>
        <v>0</v>
      </c>
      <c r="AG108" s="113">
        <f t="shared" si="49"/>
        <v>0</v>
      </c>
      <c r="AH108" s="113">
        <f t="shared" si="50"/>
        <v>0</v>
      </c>
      <c r="AI108" s="300">
        <f t="shared" si="51"/>
        <v>0</v>
      </c>
    </row>
    <row r="109" spans="1:35" ht="14.25" customHeight="1" x14ac:dyDescent="0.25">
      <c r="A109" s="35" t="s">
        <v>439</v>
      </c>
      <c r="B109" s="104"/>
      <c r="C109" s="184"/>
      <c r="D109" s="185" t="str">
        <f>IF(ISNUMBER(MATCH(Table23[[#This Row],[General]],COVENANTS!$A$2:$A$100,0)), "Y","N")</f>
        <v>N</v>
      </c>
      <c r="E109" s="185" t="str">
        <f>IF(ISNUMBER(MATCH(Table23[[#This Row],[General]],COVENANTS!$B$2:$B$100,0)), "Y","N")</f>
        <v>N</v>
      </c>
      <c r="F109" s="185" t="str">
        <f>IF(ISNUMBER(MATCH(Table23[[#This Row],[General]],COVENANTS!$C$2:$C$100,0)), "Y","N")</f>
        <v>N</v>
      </c>
      <c r="G109" s="185" t="str">
        <f>IF(ISNUMBER(MATCH(Table23[[#This Row],[General]],COVENANTS!$D$2:$D$100,0)), "Y","N")</f>
        <v>N</v>
      </c>
      <c r="H109" s="97">
        <v>0</v>
      </c>
      <c r="I109" s="113">
        <v>0</v>
      </c>
      <c r="J109" s="113">
        <v>0</v>
      </c>
      <c r="K109" s="113">
        <v>0</v>
      </c>
      <c r="L109" s="106">
        <v>0</v>
      </c>
      <c r="M109" s="105">
        <v>0</v>
      </c>
      <c r="N109" s="105">
        <v>0</v>
      </c>
      <c r="O109" s="105">
        <v>0</v>
      </c>
      <c r="P109" s="106">
        <v>0</v>
      </c>
      <c r="Q109" s="105">
        <v>0</v>
      </c>
      <c r="R109" s="105">
        <v>0</v>
      </c>
      <c r="S109" s="105">
        <v>0</v>
      </c>
      <c r="T109" s="106">
        <v>0</v>
      </c>
      <c r="U109" s="105">
        <v>0</v>
      </c>
      <c r="V109" s="105">
        <v>0</v>
      </c>
      <c r="W109" s="105">
        <v>0</v>
      </c>
      <c r="X109" s="106">
        <v>0</v>
      </c>
      <c r="Y109" s="105">
        <v>0</v>
      </c>
      <c r="Z109" s="105">
        <v>0</v>
      </c>
      <c r="AA109" s="105">
        <v>0</v>
      </c>
      <c r="AB109" s="106">
        <v>0</v>
      </c>
      <c r="AC109" s="105">
        <v>0</v>
      </c>
      <c r="AD109" s="105">
        <v>0</v>
      </c>
      <c r="AE109" s="106">
        <f t="shared" si="47"/>
        <v>0</v>
      </c>
      <c r="AF109" s="105">
        <f t="shared" si="48"/>
        <v>0</v>
      </c>
      <c r="AG109" s="105">
        <f t="shared" si="49"/>
        <v>0</v>
      </c>
      <c r="AH109" s="105">
        <f t="shared" si="50"/>
        <v>0</v>
      </c>
      <c r="AI109" s="297">
        <f t="shared" si="51"/>
        <v>0</v>
      </c>
    </row>
    <row r="110" spans="1:35" ht="14.25" customHeight="1" x14ac:dyDescent="0.25">
      <c r="A110" s="35" t="s">
        <v>440</v>
      </c>
      <c r="B110" s="383"/>
      <c r="C110" s="411"/>
      <c r="D110" s="185" t="str">
        <f>IF(ISNUMBER(MATCH(Table23[[#This Row],[General]],COVENANTS!$A$2:$A$100,0)), "Y","N")</f>
        <v>N</v>
      </c>
      <c r="E110" s="185" t="str">
        <f>IF(ISNUMBER(MATCH(Table23[[#This Row],[General]],COVENANTS!$B$2:$B$100,0)), "Y","N")</f>
        <v>N</v>
      </c>
      <c r="F110" s="185" t="str">
        <f>IF(ISNUMBER(MATCH(Table23[[#This Row],[General]],COVENANTS!$C$2:$C$100,0)), "Y","N")</f>
        <v>N</v>
      </c>
      <c r="G110" s="185" t="str">
        <f>IF(ISNUMBER(MATCH(Table23[[#This Row],[General]],COVENANTS!$D$2:$D$100,0)), "Y","N")</f>
        <v>N</v>
      </c>
      <c r="H110" s="97">
        <v>0</v>
      </c>
      <c r="I110" s="113">
        <v>0</v>
      </c>
      <c r="J110" s="113">
        <v>0</v>
      </c>
      <c r="K110" s="113">
        <v>0</v>
      </c>
      <c r="L110" s="106">
        <v>0</v>
      </c>
      <c r="M110" s="105">
        <v>0</v>
      </c>
      <c r="N110" s="105">
        <v>0</v>
      </c>
      <c r="O110" s="105">
        <v>0</v>
      </c>
      <c r="P110" s="106">
        <v>0</v>
      </c>
      <c r="Q110" s="105">
        <v>0</v>
      </c>
      <c r="R110" s="105">
        <v>0</v>
      </c>
      <c r="S110" s="105">
        <v>0</v>
      </c>
      <c r="T110" s="106">
        <v>0</v>
      </c>
      <c r="U110" s="105">
        <v>0</v>
      </c>
      <c r="V110" s="105">
        <v>0</v>
      </c>
      <c r="W110" s="105">
        <v>0</v>
      </c>
      <c r="X110" s="106">
        <v>0</v>
      </c>
      <c r="Y110" s="105">
        <v>0</v>
      </c>
      <c r="Z110" s="105">
        <v>0</v>
      </c>
      <c r="AA110" s="105">
        <v>0</v>
      </c>
      <c r="AB110" s="106">
        <v>0</v>
      </c>
      <c r="AC110" s="105">
        <v>0</v>
      </c>
      <c r="AD110" s="105">
        <v>0</v>
      </c>
      <c r="AE110" s="106">
        <f t="shared" ref="AE110:AE115" si="52">L110+T110+X110</f>
        <v>0</v>
      </c>
      <c r="AF110" s="105">
        <f t="shared" ref="AF110:AF115" si="53">M110+U110+Y110</f>
        <v>0</v>
      </c>
      <c r="AG110" s="105">
        <f t="shared" ref="AG110:AG115" si="54">N110+V110+Z110</f>
        <v>0</v>
      </c>
      <c r="AH110" s="105">
        <f t="shared" ref="AH110:AH115" si="55">O110+W110+AA110</f>
        <v>0</v>
      </c>
      <c r="AI110" s="297">
        <f t="shared" ref="AI110:AI115" si="56">(AW$2*(AH110/100)+AW$2+AW$3)*(AX$2*(AE110/100)+AX$2+AX$3)-AY$2</f>
        <v>0</v>
      </c>
    </row>
    <row r="111" spans="1:35" ht="14.25" customHeight="1" x14ac:dyDescent="0.25">
      <c r="A111" s="35" t="s">
        <v>441</v>
      </c>
      <c r="B111" s="383"/>
      <c r="C111" s="411"/>
      <c r="D111" s="185" t="str">
        <f>IF(ISNUMBER(MATCH(Table23[[#This Row],[General]],COVENANTS!$A$2:$A$100,0)), "Y","N")</f>
        <v>N</v>
      </c>
      <c r="E111" s="185" t="str">
        <f>IF(ISNUMBER(MATCH(Table23[[#This Row],[General]],COVENANTS!$B$2:$B$100,0)), "Y","N")</f>
        <v>N</v>
      </c>
      <c r="F111" s="185" t="str">
        <f>IF(ISNUMBER(MATCH(Table23[[#This Row],[General]],COVENANTS!$C$2:$C$100,0)), "Y","N")</f>
        <v>N</v>
      </c>
      <c r="G111" s="185" t="str">
        <f>IF(ISNUMBER(MATCH(Table23[[#This Row],[General]],COVENANTS!$D$2:$D$100,0)), "Y","N")</f>
        <v>N</v>
      </c>
      <c r="H111" s="97">
        <v>0</v>
      </c>
      <c r="I111" s="113">
        <v>0</v>
      </c>
      <c r="J111" s="113">
        <v>0</v>
      </c>
      <c r="K111" s="113">
        <v>0</v>
      </c>
      <c r="L111" s="106">
        <v>0</v>
      </c>
      <c r="M111" s="105">
        <v>0</v>
      </c>
      <c r="N111" s="105">
        <v>0</v>
      </c>
      <c r="O111" s="105">
        <v>0</v>
      </c>
      <c r="P111" s="106">
        <v>0</v>
      </c>
      <c r="Q111" s="105">
        <v>0</v>
      </c>
      <c r="R111" s="105">
        <v>0</v>
      </c>
      <c r="S111" s="105">
        <v>0</v>
      </c>
      <c r="T111" s="106">
        <v>0</v>
      </c>
      <c r="U111" s="105">
        <v>0</v>
      </c>
      <c r="V111" s="105">
        <v>0</v>
      </c>
      <c r="W111" s="105">
        <v>0</v>
      </c>
      <c r="X111" s="106">
        <v>0</v>
      </c>
      <c r="Y111" s="105">
        <v>0</v>
      </c>
      <c r="Z111" s="105">
        <v>0</v>
      </c>
      <c r="AA111" s="105">
        <v>0</v>
      </c>
      <c r="AB111" s="106">
        <v>0</v>
      </c>
      <c r="AC111" s="105">
        <v>0</v>
      </c>
      <c r="AD111" s="105">
        <v>0</v>
      </c>
      <c r="AE111" s="106">
        <f t="shared" si="52"/>
        <v>0</v>
      </c>
      <c r="AF111" s="105">
        <f t="shared" si="53"/>
        <v>0</v>
      </c>
      <c r="AG111" s="105">
        <f t="shared" si="54"/>
        <v>0</v>
      </c>
      <c r="AH111" s="105">
        <f t="shared" si="55"/>
        <v>0</v>
      </c>
      <c r="AI111" s="300">
        <f t="shared" si="56"/>
        <v>0</v>
      </c>
    </row>
    <row r="112" spans="1:35" ht="14.25" customHeight="1" x14ac:dyDescent="0.25">
      <c r="A112" s="35" t="s">
        <v>442</v>
      </c>
      <c r="B112" s="383"/>
      <c r="C112" s="411"/>
      <c r="D112" s="185" t="str">
        <f>IF(ISNUMBER(MATCH(Table23[[#This Row],[General]],COVENANTS!$A$2:$A$100,0)), "Y","N")</f>
        <v>N</v>
      </c>
      <c r="E112" s="185" t="str">
        <f>IF(ISNUMBER(MATCH(Table23[[#This Row],[General]],COVENANTS!$B$2:$B$100,0)), "Y","N")</f>
        <v>N</v>
      </c>
      <c r="F112" s="185" t="str">
        <f>IF(ISNUMBER(MATCH(Table23[[#This Row],[General]],COVENANTS!$C$2:$C$100,0)), "Y","N")</f>
        <v>N</v>
      </c>
      <c r="G112" s="185" t="str">
        <f>IF(ISNUMBER(MATCH(Table23[[#This Row],[General]],COVENANTS!$D$2:$D$100,0)), "Y","N")</f>
        <v>N</v>
      </c>
      <c r="H112" s="97">
        <v>0</v>
      </c>
      <c r="I112" s="113">
        <v>0</v>
      </c>
      <c r="J112" s="113">
        <v>0</v>
      </c>
      <c r="K112" s="113">
        <v>0</v>
      </c>
      <c r="L112" s="106">
        <v>0</v>
      </c>
      <c r="M112" s="105">
        <v>0</v>
      </c>
      <c r="N112" s="105">
        <v>0</v>
      </c>
      <c r="O112" s="105">
        <v>0</v>
      </c>
      <c r="P112" s="106">
        <v>0</v>
      </c>
      <c r="Q112" s="105">
        <v>0</v>
      </c>
      <c r="R112" s="105">
        <v>0</v>
      </c>
      <c r="S112" s="105">
        <v>0</v>
      </c>
      <c r="T112" s="106">
        <v>0</v>
      </c>
      <c r="U112" s="105">
        <v>0</v>
      </c>
      <c r="V112" s="105">
        <v>0</v>
      </c>
      <c r="W112" s="105">
        <v>0</v>
      </c>
      <c r="X112" s="106">
        <v>0</v>
      </c>
      <c r="Y112" s="105">
        <v>0</v>
      </c>
      <c r="Z112" s="105">
        <v>0</v>
      </c>
      <c r="AA112" s="105">
        <v>0</v>
      </c>
      <c r="AB112" s="106">
        <v>0</v>
      </c>
      <c r="AC112" s="105">
        <v>0</v>
      </c>
      <c r="AD112" s="105">
        <v>0</v>
      </c>
      <c r="AE112" s="106">
        <f t="shared" si="52"/>
        <v>0</v>
      </c>
      <c r="AF112" s="105">
        <f t="shared" si="53"/>
        <v>0</v>
      </c>
      <c r="AG112" s="105">
        <f t="shared" si="54"/>
        <v>0</v>
      </c>
      <c r="AH112" s="105">
        <f t="shared" si="55"/>
        <v>0</v>
      </c>
      <c r="AI112" s="300">
        <f t="shared" si="56"/>
        <v>0</v>
      </c>
    </row>
    <row r="113" spans="1:35" ht="14.25" customHeight="1" x14ac:dyDescent="0.25">
      <c r="A113" s="35" t="s">
        <v>443</v>
      </c>
      <c r="B113" s="383"/>
      <c r="C113" s="411"/>
      <c r="D113" s="185" t="str">
        <f>IF(ISNUMBER(MATCH(Table23[[#This Row],[General]],COVENANTS!$A$2:$A$100,0)), "Y","N")</f>
        <v>N</v>
      </c>
      <c r="E113" s="185" t="str">
        <f>IF(ISNUMBER(MATCH(Table23[[#This Row],[General]],COVENANTS!$B$2:$B$100,0)), "Y","N")</f>
        <v>N</v>
      </c>
      <c r="F113" s="185" t="str">
        <f>IF(ISNUMBER(MATCH(Table23[[#This Row],[General]],COVENANTS!$C$2:$C$100,0)), "Y","N")</f>
        <v>N</v>
      </c>
      <c r="G113" s="185" t="str">
        <f>IF(ISNUMBER(MATCH(Table23[[#This Row],[General]],COVENANTS!$D$2:$D$100,0)), "Y","N")</f>
        <v>N</v>
      </c>
      <c r="H113" s="97">
        <v>0</v>
      </c>
      <c r="I113" s="113">
        <v>0</v>
      </c>
      <c r="J113" s="113">
        <v>0</v>
      </c>
      <c r="K113" s="113">
        <v>0</v>
      </c>
      <c r="L113" s="106">
        <v>0</v>
      </c>
      <c r="M113" s="105">
        <v>0</v>
      </c>
      <c r="N113" s="105">
        <v>0</v>
      </c>
      <c r="O113" s="105">
        <v>0</v>
      </c>
      <c r="P113" s="106">
        <v>0</v>
      </c>
      <c r="Q113" s="105">
        <v>0</v>
      </c>
      <c r="R113" s="105">
        <v>0</v>
      </c>
      <c r="S113" s="105">
        <v>0</v>
      </c>
      <c r="T113" s="106">
        <v>0</v>
      </c>
      <c r="U113" s="105">
        <v>0</v>
      </c>
      <c r="V113" s="105">
        <v>0</v>
      </c>
      <c r="W113" s="105">
        <v>0</v>
      </c>
      <c r="X113" s="106">
        <v>0</v>
      </c>
      <c r="Y113" s="105">
        <v>0</v>
      </c>
      <c r="Z113" s="105">
        <v>0</v>
      </c>
      <c r="AA113" s="105">
        <v>0</v>
      </c>
      <c r="AB113" s="106">
        <v>0</v>
      </c>
      <c r="AC113" s="105">
        <v>0</v>
      </c>
      <c r="AD113" s="105">
        <v>0</v>
      </c>
      <c r="AE113" s="106">
        <f t="shared" si="52"/>
        <v>0</v>
      </c>
      <c r="AF113" s="105">
        <f t="shared" si="53"/>
        <v>0</v>
      </c>
      <c r="AG113" s="105">
        <f t="shared" si="54"/>
        <v>0</v>
      </c>
      <c r="AH113" s="105">
        <f t="shared" si="55"/>
        <v>0</v>
      </c>
      <c r="AI113" s="300">
        <f t="shared" si="56"/>
        <v>0</v>
      </c>
    </row>
    <row r="114" spans="1:35" ht="14.25" customHeight="1" x14ac:dyDescent="0.25">
      <c r="A114" s="35" t="s">
        <v>444</v>
      </c>
      <c r="B114" s="383"/>
      <c r="C114" s="411"/>
      <c r="D114" s="185" t="str">
        <f>IF(ISNUMBER(MATCH(Table23[[#This Row],[General]],COVENANTS!$A$2:$A$100,0)), "Y","N")</f>
        <v>N</v>
      </c>
      <c r="E114" s="185" t="str">
        <f>IF(ISNUMBER(MATCH(Table23[[#This Row],[General]],COVENANTS!$B$2:$B$100,0)), "Y","N")</f>
        <v>N</v>
      </c>
      <c r="F114" s="185" t="str">
        <f>IF(ISNUMBER(MATCH(Table23[[#This Row],[General]],COVENANTS!$C$2:$C$100,0)), "Y","N")</f>
        <v>N</v>
      </c>
      <c r="G114" s="185" t="str">
        <f>IF(ISNUMBER(MATCH(Table23[[#This Row],[General]],COVENANTS!$D$2:$D$100,0)), "Y","N")</f>
        <v>N</v>
      </c>
      <c r="H114" s="97">
        <v>0</v>
      </c>
      <c r="I114" s="113">
        <v>0</v>
      </c>
      <c r="J114" s="113">
        <v>0</v>
      </c>
      <c r="K114" s="113">
        <v>0</v>
      </c>
      <c r="L114" s="106">
        <v>0</v>
      </c>
      <c r="M114" s="105">
        <v>0</v>
      </c>
      <c r="N114" s="105">
        <v>0</v>
      </c>
      <c r="O114" s="105">
        <v>0</v>
      </c>
      <c r="P114" s="106">
        <v>0</v>
      </c>
      <c r="Q114" s="105">
        <v>0</v>
      </c>
      <c r="R114" s="105">
        <v>0</v>
      </c>
      <c r="S114" s="105">
        <v>0</v>
      </c>
      <c r="T114" s="106">
        <v>0</v>
      </c>
      <c r="U114" s="105">
        <v>0</v>
      </c>
      <c r="V114" s="105">
        <v>0</v>
      </c>
      <c r="W114" s="105">
        <v>0</v>
      </c>
      <c r="X114" s="106">
        <v>0</v>
      </c>
      <c r="Y114" s="105">
        <v>0</v>
      </c>
      <c r="Z114" s="105">
        <v>0</v>
      </c>
      <c r="AA114" s="105">
        <v>0</v>
      </c>
      <c r="AB114" s="106">
        <v>0</v>
      </c>
      <c r="AC114" s="105">
        <v>0</v>
      </c>
      <c r="AD114" s="105">
        <v>0</v>
      </c>
      <c r="AE114" s="106">
        <f t="shared" si="52"/>
        <v>0</v>
      </c>
      <c r="AF114" s="105">
        <f t="shared" si="53"/>
        <v>0</v>
      </c>
      <c r="AG114" s="105">
        <f t="shared" si="54"/>
        <v>0</v>
      </c>
      <c r="AH114" s="105">
        <f t="shared" si="55"/>
        <v>0</v>
      </c>
      <c r="AI114" s="300">
        <f t="shared" si="56"/>
        <v>0</v>
      </c>
    </row>
    <row r="115" spans="1:35" ht="14.25" customHeight="1" x14ac:dyDescent="0.25">
      <c r="A115" s="35" t="s">
        <v>445</v>
      </c>
      <c r="B115" s="383"/>
      <c r="C115" s="411"/>
      <c r="D115" s="185" t="str">
        <f>IF(ISNUMBER(MATCH(Table23[[#This Row],[General]],COVENANTS!$A$2:$A$100,0)), "Y","N")</f>
        <v>N</v>
      </c>
      <c r="E115" s="185" t="str">
        <f>IF(ISNUMBER(MATCH(Table23[[#This Row],[General]],COVENANTS!$B$2:$B$100,0)), "Y","N")</f>
        <v>N</v>
      </c>
      <c r="F115" s="185" t="str">
        <f>IF(ISNUMBER(MATCH(Table23[[#This Row],[General]],COVENANTS!$C$2:$C$100,0)), "Y","N")</f>
        <v>N</v>
      </c>
      <c r="G115" s="185" t="str">
        <f>IF(ISNUMBER(MATCH(Table23[[#This Row],[General]],COVENANTS!$D$2:$D$100,0)), "Y","N")</f>
        <v>N</v>
      </c>
      <c r="H115" s="97">
        <v>0</v>
      </c>
      <c r="I115" s="113">
        <v>0</v>
      </c>
      <c r="J115" s="113">
        <v>0</v>
      </c>
      <c r="K115" s="113">
        <v>0</v>
      </c>
      <c r="L115" s="106">
        <v>0</v>
      </c>
      <c r="M115" s="105">
        <v>0</v>
      </c>
      <c r="N115" s="105">
        <v>0</v>
      </c>
      <c r="O115" s="105">
        <v>0</v>
      </c>
      <c r="P115" s="106">
        <v>0</v>
      </c>
      <c r="Q115" s="105">
        <v>0</v>
      </c>
      <c r="R115" s="105">
        <v>0</v>
      </c>
      <c r="S115" s="105">
        <v>0</v>
      </c>
      <c r="T115" s="106">
        <v>0</v>
      </c>
      <c r="U115" s="105">
        <v>0</v>
      </c>
      <c r="V115" s="105">
        <v>0</v>
      </c>
      <c r="W115" s="105">
        <v>0</v>
      </c>
      <c r="X115" s="106">
        <v>0</v>
      </c>
      <c r="Y115" s="105">
        <v>0</v>
      </c>
      <c r="Z115" s="105">
        <v>0</v>
      </c>
      <c r="AA115" s="105">
        <v>0</v>
      </c>
      <c r="AB115" s="106">
        <v>0</v>
      </c>
      <c r="AC115" s="105">
        <v>0</v>
      </c>
      <c r="AD115" s="105">
        <v>0</v>
      </c>
      <c r="AE115" s="106">
        <f t="shared" si="52"/>
        <v>0</v>
      </c>
      <c r="AF115" s="105">
        <f t="shared" si="53"/>
        <v>0</v>
      </c>
      <c r="AG115" s="105">
        <f t="shared" si="54"/>
        <v>0</v>
      </c>
      <c r="AH115" s="105">
        <f t="shared" si="55"/>
        <v>0</v>
      </c>
      <c r="AI115" s="300">
        <f t="shared" si="56"/>
        <v>0</v>
      </c>
    </row>
  </sheetData>
  <sheetProtection autoFilter="0"/>
  <mergeCells count="20">
    <mergeCell ref="AJ1:AO1"/>
    <mergeCell ref="AP1:AU1"/>
    <mergeCell ref="AE1:AI1"/>
    <mergeCell ref="AE59:AI59"/>
    <mergeCell ref="AB59:AD59"/>
    <mergeCell ref="AB1:AD1"/>
    <mergeCell ref="A1:C1"/>
    <mergeCell ref="L1:O1"/>
    <mergeCell ref="P1:S1"/>
    <mergeCell ref="T1:W1"/>
    <mergeCell ref="X1:AA1"/>
    <mergeCell ref="H1:K1"/>
    <mergeCell ref="D1:G1"/>
    <mergeCell ref="A59:C59"/>
    <mergeCell ref="L59:O59"/>
    <mergeCell ref="P59:S59"/>
    <mergeCell ref="T59:W59"/>
    <mergeCell ref="X59:AA59"/>
    <mergeCell ref="H59:K59"/>
    <mergeCell ref="D59:G59"/>
  </mergeCells>
  <phoneticPr fontId="2" type="noConversion"/>
  <conditionalFormatting sqref="B3:B57 B61:B115">
    <cfRule type="cellIs" dxfId="15" priority="3" operator="equal">
      <formula>"U"</formula>
    </cfRule>
    <cfRule type="cellIs" dxfId="14" priority="4" operator="equal">
      <formula>"A"</formula>
    </cfRule>
  </conditionalFormatting>
  <conditionalFormatting sqref="D3:G57 D61:G115">
    <cfRule type="containsText" dxfId="13" priority="1" operator="containsText" text="N">
      <formula>NOT(ISERROR(SEARCH("N",D3)))</formula>
    </cfRule>
    <cfRule type="containsText" dxfId="12" priority="2" operator="containsText" text="Y">
      <formula>NOT(ISERROR(SEARCH("Y",D3)))</formula>
    </cfRule>
  </conditionalFormatting>
  <conditionalFormatting sqref="H3:K57 H61:K115">
    <cfRule type="cellIs" dxfId="11" priority="5" operator="equal">
      <formula>0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62745FB-3FB0-45A8-89E1-16E4EB2AF5B7}">
          <x14:formula1>
            <xm:f>Calculator!$M$2:$M$18</xm:f>
          </x14:formula1>
          <xm:sqref>AX5</xm:sqref>
        </x14:dataValidation>
        <x14:dataValidation type="list" allowBlank="1" showInputMessage="1" showErrorMessage="1" xr:uid="{108C9FE7-FDC3-47DD-B851-674FDD45ABB6}">
          <x14:formula1>
            <xm:f>Calculator!$S$2:$S$51</xm:f>
          </x14:formula1>
          <xm:sqref>AX9</xm:sqref>
        </x14:dataValidation>
        <x14:dataValidation type="list" allowBlank="1" showInputMessage="1" showErrorMessage="1" xr:uid="{62F3724F-B5D0-46E8-9C07-740AA634C39F}">
          <x14:formula1>
            <xm:f>Calculator!$P$2:$P$51</xm:f>
          </x14:formula1>
          <xm:sqref>AX6</xm:sqref>
        </x14:dataValidation>
        <x14:dataValidation type="list" allowBlank="1" showInputMessage="1" showErrorMessage="1" xr:uid="{D8E5EAC1-C23B-44F5-B5E9-F4607F20303C}">
          <x14:formula1>
            <xm:f>Calculator!$X$2:$X$13</xm:f>
          </x14:formula1>
          <xm:sqref>AX10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394B-3872-4061-87B2-31FE70287D52}">
  <sheetPr>
    <tabColor rgb="FF002060"/>
  </sheetPr>
  <dimension ref="A1:BO60"/>
  <sheetViews>
    <sheetView showGridLines="0" zoomScale="85" zoomScaleNormal="85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I68" sqref="I68"/>
    </sheetView>
  </sheetViews>
  <sheetFormatPr defaultRowHeight="13.5" customHeight="1" x14ac:dyDescent="0.25"/>
  <cols>
    <col min="1" max="1" width="4.140625" style="10" bestFit="1" customWidth="1"/>
    <col min="2" max="2" width="22.140625" style="74" bestFit="1" customWidth="1"/>
    <col min="3" max="4" width="7" style="23" customWidth="1"/>
    <col min="5" max="5" width="6.140625" style="23" customWidth="1"/>
    <col min="6" max="7" width="8" style="23" customWidth="1"/>
    <col min="8" max="8" width="7.140625" style="23" customWidth="1"/>
    <col min="9" max="10" width="8" style="23" customWidth="1"/>
    <col min="11" max="11" width="7.140625" style="23" customWidth="1"/>
    <col min="12" max="13" width="8" style="23" customWidth="1"/>
    <col min="14" max="14" width="8.140625" style="23" customWidth="1"/>
    <col min="15" max="16" width="9" style="23" customWidth="1"/>
    <col min="17" max="17" width="8.140625" style="23" customWidth="1"/>
    <col min="18" max="19" width="9" style="23" customWidth="1"/>
    <col min="20" max="20" width="8.140625" style="23" customWidth="1"/>
    <col min="21" max="22" width="9" style="23" customWidth="1"/>
    <col min="23" max="23" width="8.140625" style="23" customWidth="1"/>
    <col min="24" max="25" width="9" style="23" bestFit="1" customWidth="1"/>
    <col min="26" max="26" width="8.140625" style="23" bestFit="1" customWidth="1"/>
    <col min="27" max="28" width="9" style="23" customWidth="1"/>
    <col min="29" max="29" width="8.140625" style="23" customWidth="1"/>
    <col min="30" max="31" width="9" style="23" customWidth="1"/>
    <col min="32" max="32" width="8.140625" style="23" customWidth="1"/>
    <col min="33" max="34" width="9" style="23" customWidth="1"/>
    <col min="35" max="35" width="8.140625" style="23" customWidth="1"/>
    <col min="36" max="37" width="9" style="23" bestFit="1" customWidth="1"/>
    <col min="38" max="38" width="8.140625" style="23" bestFit="1" customWidth="1"/>
    <col min="39" max="40" width="9.42578125" style="23" customWidth="1"/>
    <col min="41" max="41" width="8.5703125" style="23" customWidth="1"/>
    <col min="42" max="43" width="9.42578125" style="23" customWidth="1"/>
    <col min="44" max="44" width="8.5703125" style="23" customWidth="1"/>
    <col min="45" max="46" width="9.42578125" style="23" customWidth="1"/>
    <col min="47" max="47" width="9.5703125" style="23" customWidth="1"/>
    <col min="48" max="49" width="10.42578125" style="23" customWidth="1"/>
    <col min="50" max="50" width="9.5703125" style="23" customWidth="1"/>
    <col min="51" max="52" width="9" style="23" customWidth="1"/>
    <col min="53" max="53" width="8.140625" style="23" customWidth="1"/>
    <col min="54" max="55" width="9" style="23" customWidth="1"/>
    <col min="56" max="56" width="8.140625" style="23" customWidth="1"/>
    <col min="57" max="58" width="9" style="23" customWidth="1"/>
    <col min="59" max="59" width="8.140625" style="23" customWidth="1"/>
    <col min="60" max="61" width="9" style="23" bestFit="1" customWidth="1"/>
    <col min="62" max="62" width="8.140625" style="23" bestFit="1" customWidth="1"/>
    <col min="63" max="63" width="9" style="55" customWidth="1"/>
    <col min="64" max="64" width="11" style="23" bestFit="1" customWidth="1"/>
    <col min="65" max="66" width="9.85546875" style="23" customWidth="1"/>
    <col min="67" max="67" width="8.140625" style="23" bestFit="1" customWidth="1"/>
    <col min="68" max="16384" width="9.140625" style="10"/>
  </cols>
  <sheetData>
    <row r="1" spans="1:67" ht="13.5" customHeight="1" thickBot="1" x14ac:dyDescent="0.3">
      <c r="C1" s="570" t="s">
        <v>282</v>
      </c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2"/>
      <c r="O1" s="573" t="s">
        <v>283</v>
      </c>
      <c r="P1" s="574"/>
      <c r="Q1" s="574"/>
      <c r="R1" s="574"/>
      <c r="S1" s="574"/>
      <c r="T1" s="574"/>
      <c r="U1" s="574"/>
      <c r="V1" s="574"/>
      <c r="W1" s="574"/>
      <c r="X1" s="574"/>
      <c r="Y1" s="574"/>
      <c r="Z1" s="575"/>
      <c r="AA1" s="576" t="s">
        <v>284</v>
      </c>
      <c r="AB1" s="577"/>
      <c r="AC1" s="577"/>
      <c r="AD1" s="577"/>
      <c r="AE1" s="577"/>
      <c r="AF1" s="577"/>
      <c r="AG1" s="577"/>
      <c r="AH1" s="577"/>
      <c r="AI1" s="577"/>
      <c r="AJ1" s="577"/>
      <c r="AK1" s="577"/>
      <c r="AL1" s="578"/>
      <c r="AM1" s="557" t="s">
        <v>285</v>
      </c>
      <c r="AN1" s="558"/>
      <c r="AO1" s="558"/>
      <c r="AP1" s="558"/>
      <c r="AQ1" s="558"/>
      <c r="AR1" s="558"/>
      <c r="AS1" s="558"/>
      <c r="AT1" s="558"/>
      <c r="AU1" s="558"/>
      <c r="AV1" s="558"/>
      <c r="AW1" s="558"/>
      <c r="AX1" s="559"/>
      <c r="AY1" s="560" t="s">
        <v>796</v>
      </c>
      <c r="AZ1" s="561"/>
      <c r="BA1" s="561"/>
      <c r="BB1" s="561"/>
      <c r="BC1" s="561"/>
      <c r="BD1" s="561"/>
      <c r="BE1" s="561"/>
      <c r="BF1" s="561"/>
      <c r="BG1" s="561"/>
      <c r="BH1" s="561"/>
      <c r="BI1" s="561"/>
      <c r="BJ1" s="561"/>
      <c r="BK1" s="562" t="s">
        <v>798</v>
      </c>
      <c r="BL1" s="564" t="s">
        <v>797</v>
      </c>
      <c r="BM1" s="565"/>
      <c r="BN1" s="565"/>
      <c r="BO1" s="566"/>
    </row>
    <row r="2" spans="1:67" s="60" customFormat="1" ht="18" customHeight="1" thickBot="1" x14ac:dyDescent="0.3">
      <c r="B2" s="62"/>
      <c r="C2" s="584" t="s">
        <v>1</v>
      </c>
      <c r="D2" s="584"/>
      <c r="E2" s="585"/>
      <c r="F2" s="584" t="s">
        <v>2</v>
      </c>
      <c r="G2" s="584"/>
      <c r="H2" s="585"/>
      <c r="I2" s="584" t="s">
        <v>3</v>
      </c>
      <c r="J2" s="584"/>
      <c r="K2" s="585"/>
      <c r="L2" s="584" t="s">
        <v>4</v>
      </c>
      <c r="M2" s="584"/>
      <c r="N2" s="585"/>
      <c r="O2" s="586" t="s">
        <v>1</v>
      </c>
      <c r="P2" s="586"/>
      <c r="Q2" s="587"/>
      <c r="R2" s="586" t="s">
        <v>2</v>
      </c>
      <c r="S2" s="586"/>
      <c r="T2" s="587"/>
      <c r="U2" s="586" t="s">
        <v>3</v>
      </c>
      <c r="V2" s="586"/>
      <c r="W2" s="587"/>
      <c r="X2" s="586" t="s">
        <v>4</v>
      </c>
      <c r="Y2" s="586"/>
      <c r="Z2" s="587"/>
      <c r="AA2" s="579" t="s">
        <v>1</v>
      </c>
      <c r="AB2" s="579"/>
      <c r="AC2" s="580"/>
      <c r="AD2" s="579" t="s">
        <v>2</v>
      </c>
      <c r="AE2" s="579"/>
      <c r="AF2" s="580"/>
      <c r="AG2" s="579" t="s">
        <v>3</v>
      </c>
      <c r="AH2" s="579"/>
      <c r="AI2" s="580"/>
      <c r="AJ2" s="579" t="s">
        <v>4</v>
      </c>
      <c r="AK2" s="579"/>
      <c r="AL2" s="580"/>
      <c r="AM2" s="552" t="s">
        <v>1</v>
      </c>
      <c r="AN2" s="552"/>
      <c r="AO2" s="552"/>
      <c r="AP2" s="552" t="s">
        <v>2</v>
      </c>
      <c r="AQ2" s="552"/>
      <c r="AR2" s="552"/>
      <c r="AS2" s="552" t="s">
        <v>3</v>
      </c>
      <c r="AT2" s="552"/>
      <c r="AU2" s="552"/>
      <c r="AV2" s="552" t="s">
        <v>4</v>
      </c>
      <c r="AW2" s="552"/>
      <c r="AX2" s="552"/>
      <c r="AY2" s="581" t="s">
        <v>44</v>
      </c>
      <c r="AZ2" s="581"/>
      <c r="BA2" s="582"/>
      <c r="BB2" s="581" t="s">
        <v>45</v>
      </c>
      <c r="BC2" s="581"/>
      <c r="BD2" s="582"/>
      <c r="BE2" s="581" t="s">
        <v>46</v>
      </c>
      <c r="BF2" s="581"/>
      <c r="BG2" s="582"/>
      <c r="BH2" s="581" t="s">
        <v>47</v>
      </c>
      <c r="BI2" s="581"/>
      <c r="BJ2" s="583"/>
      <c r="BK2" s="563"/>
      <c r="BL2" s="567"/>
      <c r="BM2" s="568"/>
      <c r="BN2" s="568"/>
      <c r="BO2" s="569"/>
    </row>
    <row r="3" spans="1:67" ht="13.5" customHeight="1" thickBot="1" x14ac:dyDescent="0.3">
      <c r="A3" s="40" t="s">
        <v>48</v>
      </c>
      <c r="B3" s="194" t="s">
        <v>0</v>
      </c>
      <c r="C3" s="103" t="s">
        <v>270</v>
      </c>
      <c r="D3" s="102" t="s">
        <v>271</v>
      </c>
      <c r="E3" s="102" t="s">
        <v>272</v>
      </c>
      <c r="F3" s="195" t="s">
        <v>537</v>
      </c>
      <c r="G3" s="102" t="s">
        <v>538</v>
      </c>
      <c r="H3" s="102" t="s">
        <v>539</v>
      </c>
      <c r="I3" s="195" t="s">
        <v>748</v>
      </c>
      <c r="J3" s="102" t="s">
        <v>749</v>
      </c>
      <c r="K3" s="102" t="s">
        <v>750</v>
      </c>
      <c r="L3" s="195" t="s">
        <v>751</v>
      </c>
      <c r="M3" s="102" t="s">
        <v>752</v>
      </c>
      <c r="N3" s="102" t="s">
        <v>753</v>
      </c>
      <c r="O3" s="103" t="s">
        <v>754</v>
      </c>
      <c r="P3" s="102" t="s">
        <v>755</v>
      </c>
      <c r="Q3" s="102" t="s">
        <v>756</v>
      </c>
      <c r="R3" s="195" t="s">
        <v>549</v>
      </c>
      <c r="S3" s="102" t="s">
        <v>550</v>
      </c>
      <c r="T3" s="102" t="s">
        <v>551</v>
      </c>
      <c r="U3" s="195" t="s">
        <v>552</v>
      </c>
      <c r="V3" s="102" t="s">
        <v>553</v>
      </c>
      <c r="W3" s="102" t="s">
        <v>554</v>
      </c>
      <c r="X3" s="195" t="s">
        <v>757</v>
      </c>
      <c r="Y3" s="102" t="s">
        <v>758</v>
      </c>
      <c r="Z3" s="102" t="s">
        <v>759</v>
      </c>
      <c r="AA3" s="103" t="s">
        <v>760</v>
      </c>
      <c r="AB3" s="102" t="s">
        <v>761</v>
      </c>
      <c r="AC3" s="102" t="s">
        <v>762</v>
      </c>
      <c r="AD3" s="195" t="s">
        <v>763</v>
      </c>
      <c r="AE3" s="102" t="s">
        <v>764</v>
      </c>
      <c r="AF3" s="102" t="s">
        <v>765</v>
      </c>
      <c r="AG3" s="195" t="s">
        <v>766</v>
      </c>
      <c r="AH3" s="102" t="s">
        <v>767</v>
      </c>
      <c r="AI3" s="102" t="s">
        <v>768</v>
      </c>
      <c r="AJ3" s="195" t="s">
        <v>769</v>
      </c>
      <c r="AK3" s="102" t="s">
        <v>770</v>
      </c>
      <c r="AL3" s="102" t="s">
        <v>771</v>
      </c>
      <c r="AM3" s="103" t="s">
        <v>784</v>
      </c>
      <c r="AN3" s="102" t="s">
        <v>785</v>
      </c>
      <c r="AO3" s="102" t="s">
        <v>786</v>
      </c>
      <c r="AP3" s="195" t="s">
        <v>787</v>
      </c>
      <c r="AQ3" s="102" t="s">
        <v>788</v>
      </c>
      <c r="AR3" s="102" t="s">
        <v>789</v>
      </c>
      <c r="AS3" s="195" t="s">
        <v>790</v>
      </c>
      <c r="AT3" s="102" t="s">
        <v>791</v>
      </c>
      <c r="AU3" s="102" t="s">
        <v>792</v>
      </c>
      <c r="AV3" s="195" t="s">
        <v>793</v>
      </c>
      <c r="AW3" s="102" t="s">
        <v>794</v>
      </c>
      <c r="AX3" s="102" t="s">
        <v>795</v>
      </c>
      <c r="AY3" s="103" t="s">
        <v>772</v>
      </c>
      <c r="AZ3" s="102" t="s">
        <v>773</v>
      </c>
      <c r="BA3" s="102" t="s">
        <v>774</v>
      </c>
      <c r="BB3" s="195" t="s">
        <v>775</v>
      </c>
      <c r="BC3" s="102" t="s">
        <v>776</v>
      </c>
      <c r="BD3" s="102" t="s">
        <v>777</v>
      </c>
      <c r="BE3" s="195" t="s">
        <v>778</v>
      </c>
      <c r="BF3" s="102" t="s">
        <v>779</v>
      </c>
      <c r="BG3" s="102" t="s">
        <v>780</v>
      </c>
      <c r="BH3" s="195" t="s">
        <v>781</v>
      </c>
      <c r="BI3" s="102" t="s">
        <v>782</v>
      </c>
      <c r="BJ3" s="102" t="s">
        <v>783</v>
      </c>
      <c r="BK3" s="196" t="s">
        <v>5</v>
      </c>
      <c r="BL3" s="197" t="s">
        <v>1</v>
      </c>
      <c r="BM3" s="198" t="s">
        <v>2</v>
      </c>
      <c r="BN3" s="198" t="s">
        <v>3</v>
      </c>
      <c r="BO3" s="198" t="s">
        <v>4</v>
      </c>
    </row>
    <row r="4" spans="1:67" ht="13.5" customHeight="1" thickTop="1" thickBot="1" x14ac:dyDescent="0.3">
      <c r="A4" s="36" t="s">
        <v>49</v>
      </c>
      <c r="B4" s="201" t="s">
        <v>801</v>
      </c>
      <c r="C4" s="126">
        <v>0</v>
      </c>
      <c r="D4" s="127">
        <v>0</v>
      </c>
      <c r="E4" s="127">
        <v>0</v>
      </c>
      <c r="F4" s="199">
        <v>0</v>
      </c>
      <c r="G4" s="127">
        <v>0</v>
      </c>
      <c r="H4" s="127">
        <v>0</v>
      </c>
      <c r="I4" s="199">
        <v>45</v>
      </c>
      <c r="J4" s="127">
        <v>35</v>
      </c>
      <c r="K4" s="127">
        <v>35</v>
      </c>
      <c r="L4" s="199">
        <v>0</v>
      </c>
      <c r="M4" s="127">
        <v>35</v>
      </c>
      <c r="N4" s="127">
        <v>35</v>
      </c>
      <c r="O4" s="126">
        <v>25</v>
      </c>
      <c r="P4" s="127">
        <v>10</v>
      </c>
      <c r="Q4" s="127">
        <v>50</v>
      </c>
      <c r="R4" s="199">
        <v>25</v>
      </c>
      <c r="S4" s="127">
        <v>10</v>
      </c>
      <c r="T4" s="127">
        <v>50</v>
      </c>
      <c r="U4" s="199">
        <v>105</v>
      </c>
      <c r="V4" s="127">
        <v>65</v>
      </c>
      <c r="W4" s="127">
        <v>65</v>
      </c>
      <c r="X4" s="199">
        <v>90</v>
      </c>
      <c r="Y4" s="127">
        <v>80</v>
      </c>
      <c r="Z4" s="127">
        <v>65</v>
      </c>
      <c r="AA4" s="126">
        <v>10</v>
      </c>
      <c r="AB4" s="127">
        <v>0</v>
      </c>
      <c r="AC4" s="127">
        <v>0</v>
      </c>
      <c r="AD4" s="199">
        <v>10</v>
      </c>
      <c r="AE4" s="127">
        <v>0</v>
      </c>
      <c r="AF4" s="127">
        <v>0</v>
      </c>
      <c r="AG4" s="199">
        <v>45</v>
      </c>
      <c r="AH4" s="127">
        <v>30</v>
      </c>
      <c r="AI4" s="127">
        <v>30</v>
      </c>
      <c r="AJ4" s="199">
        <v>10</v>
      </c>
      <c r="AK4" s="127">
        <v>30</v>
      </c>
      <c r="AL4" s="127">
        <v>30</v>
      </c>
      <c r="AM4" s="126">
        <v>0</v>
      </c>
      <c r="AN4" s="127">
        <v>0</v>
      </c>
      <c r="AO4" s="127">
        <v>0</v>
      </c>
      <c r="AP4" s="199">
        <v>0</v>
      </c>
      <c r="AQ4" s="127">
        <v>0</v>
      </c>
      <c r="AR4" s="127">
        <v>0</v>
      </c>
      <c r="AS4" s="199">
        <v>0</v>
      </c>
      <c r="AT4" s="127">
        <v>0</v>
      </c>
      <c r="AU4" s="127">
        <v>0</v>
      </c>
      <c r="AV4" s="199">
        <v>0</v>
      </c>
      <c r="AW4" s="127">
        <v>0</v>
      </c>
      <c r="AX4" s="127">
        <v>0</v>
      </c>
      <c r="AY4" s="126">
        <f t="shared" ref="AY4:AY35" si="0">O4+AA4+AM4</f>
        <v>35</v>
      </c>
      <c r="AZ4" s="127">
        <f t="shared" ref="AZ4:AZ35" si="1">P4+AB4+AN4</f>
        <v>10</v>
      </c>
      <c r="BA4" s="127">
        <f t="shared" ref="BA4:BA35" si="2">Q4+AC4+AO4</f>
        <v>50</v>
      </c>
      <c r="BB4" s="199">
        <f t="shared" ref="BB4:BB35" si="3">R4+AD4+AP4</f>
        <v>35</v>
      </c>
      <c r="BC4" s="127">
        <f t="shared" ref="BC4:BC35" si="4">S4+AE4+AQ4</f>
        <v>10</v>
      </c>
      <c r="BD4" s="127">
        <f t="shared" ref="BD4:BD35" si="5">T4+AF4+AR4</f>
        <v>50</v>
      </c>
      <c r="BE4" s="199">
        <f t="shared" ref="BE4:BE35" si="6">U4+AG4+AS4</f>
        <v>150</v>
      </c>
      <c r="BF4" s="127">
        <f t="shared" ref="BF4:BF35" si="7">V4+AH4+AT4</f>
        <v>95</v>
      </c>
      <c r="BG4" s="127">
        <f t="shared" ref="BG4:BG35" si="8">W4+AI4+AU4</f>
        <v>95</v>
      </c>
      <c r="BH4" s="199">
        <f t="shared" ref="BH4:BH35" si="9">X4+AJ4+AV4</f>
        <v>100</v>
      </c>
      <c r="BI4" s="127">
        <f t="shared" ref="BI4:BI35" si="10">Y4+AK4+AW4</f>
        <v>110</v>
      </c>
      <c r="BJ4" s="127">
        <f t="shared" ref="BJ4:BJ35" si="11">Z4+AL4+AX4</f>
        <v>95</v>
      </c>
      <c r="BK4" s="149">
        <f t="shared" ref="BK4:BK35" si="12">BL4+BM4+BN4+BO4</f>
        <v>835</v>
      </c>
      <c r="BL4" s="199">
        <f t="shared" ref="BL4:BL35" si="13">AY4+AZ4+BA4</f>
        <v>95</v>
      </c>
      <c r="BM4" s="127">
        <f t="shared" ref="BM4:BM35" si="14">BB4+BC4+BD4</f>
        <v>95</v>
      </c>
      <c r="BN4" s="127">
        <f t="shared" ref="BN4:BN35" si="15">BE4+BF4+BG4</f>
        <v>340</v>
      </c>
      <c r="BO4" s="127">
        <f t="shared" ref="BO4:BO35" si="16">BH4+BI4+BJ4</f>
        <v>305</v>
      </c>
    </row>
    <row r="5" spans="1:67" ht="13.5" customHeight="1" thickTop="1" thickBot="1" x14ac:dyDescent="0.3">
      <c r="A5" s="36" t="s">
        <v>50</v>
      </c>
      <c r="B5" s="202" t="s">
        <v>491</v>
      </c>
      <c r="C5" s="122">
        <v>0</v>
      </c>
      <c r="D5" s="123">
        <v>0</v>
      </c>
      <c r="E5" s="123">
        <v>0</v>
      </c>
      <c r="F5" s="200">
        <v>0</v>
      </c>
      <c r="G5" s="123">
        <v>35</v>
      </c>
      <c r="H5" s="123">
        <v>35</v>
      </c>
      <c r="I5" s="200">
        <v>40</v>
      </c>
      <c r="J5" s="123">
        <v>0</v>
      </c>
      <c r="K5" s="123">
        <v>0</v>
      </c>
      <c r="L5" s="200">
        <v>40</v>
      </c>
      <c r="M5" s="123">
        <v>0</v>
      </c>
      <c r="N5" s="123">
        <v>0</v>
      </c>
      <c r="O5" s="122">
        <v>0</v>
      </c>
      <c r="P5" s="123">
        <v>50</v>
      </c>
      <c r="Q5" s="123">
        <v>15</v>
      </c>
      <c r="R5" s="200">
        <v>40</v>
      </c>
      <c r="S5" s="123">
        <v>85</v>
      </c>
      <c r="T5" s="123">
        <v>50</v>
      </c>
      <c r="U5" s="200">
        <v>60</v>
      </c>
      <c r="V5" s="123">
        <v>60</v>
      </c>
      <c r="W5" s="123">
        <v>25</v>
      </c>
      <c r="X5" s="200">
        <v>90</v>
      </c>
      <c r="Y5" s="123">
        <v>60</v>
      </c>
      <c r="Z5" s="123">
        <v>25</v>
      </c>
      <c r="AA5" s="122">
        <v>10</v>
      </c>
      <c r="AB5" s="123">
        <v>0</v>
      </c>
      <c r="AC5" s="123">
        <v>0</v>
      </c>
      <c r="AD5" s="200">
        <v>10</v>
      </c>
      <c r="AE5" s="123">
        <v>0</v>
      </c>
      <c r="AF5" s="123">
        <v>0</v>
      </c>
      <c r="AG5" s="200">
        <v>30</v>
      </c>
      <c r="AH5" s="123">
        <v>0</v>
      </c>
      <c r="AI5" s="123">
        <v>0</v>
      </c>
      <c r="AJ5" s="200">
        <v>30</v>
      </c>
      <c r="AK5" s="123">
        <v>40</v>
      </c>
      <c r="AL5" s="123">
        <v>40</v>
      </c>
      <c r="AM5" s="122">
        <v>0</v>
      </c>
      <c r="AN5" s="123">
        <v>0</v>
      </c>
      <c r="AO5" s="123">
        <v>0</v>
      </c>
      <c r="AP5" s="200">
        <v>0</v>
      </c>
      <c r="AQ5" s="123">
        <v>0</v>
      </c>
      <c r="AR5" s="123">
        <v>0</v>
      </c>
      <c r="AS5" s="200">
        <v>0</v>
      </c>
      <c r="AT5" s="123">
        <v>0</v>
      </c>
      <c r="AU5" s="123">
        <v>0</v>
      </c>
      <c r="AV5" s="200">
        <v>0</v>
      </c>
      <c r="AW5" s="123">
        <v>0</v>
      </c>
      <c r="AX5" s="123">
        <v>0</v>
      </c>
      <c r="AY5" s="126">
        <f t="shared" si="0"/>
        <v>10</v>
      </c>
      <c r="AZ5" s="127">
        <f t="shared" si="1"/>
        <v>50</v>
      </c>
      <c r="BA5" s="127">
        <f t="shared" si="2"/>
        <v>15</v>
      </c>
      <c r="BB5" s="199">
        <f t="shared" si="3"/>
        <v>50</v>
      </c>
      <c r="BC5" s="127">
        <f t="shared" si="4"/>
        <v>85</v>
      </c>
      <c r="BD5" s="127">
        <f t="shared" si="5"/>
        <v>50</v>
      </c>
      <c r="BE5" s="199">
        <f t="shared" si="6"/>
        <v>90</v>
      </c>
      <c r="BF5" s="127">
        <f t="shared" si="7"/>
        <v>60</v>
      </c>
      <c r="BG5" s="127">
        <f t="shared" si="8"/>
        <v>25</v>
      </c>
      <c r="BH5" s="199">
        <f t="shared" si="9"/>
        <v>120</v>
      </c>
      <c r="BI5" s="127">
        <f t="shared" si="10"/>
        <v>100</v>
      </c>
      <c r="BJ5" s="127">
        <f t="shared" si="11"/>
        <v>65</v>
      </c>
      <c r="BK5" s="149">
        <f t="shared" si="12"/>
        <v>720</v>
      </c>
      <c r="BL5" s="199">
        <f t="shared" si="13"/>
        <v>75</v>
      </c>
      <c r="BM5" s="127">
        <f t="shared" si="14"/>
        <v>185</v>
      </c>
      <c r="BN5" s="127">
        <f t="shared" si="15"/>
        <v>175</v>
      </c>
      <c r="BO5" s="127">
        <f t="shared" si="16"/>
        <v>285</v>
      </c>
    </row>
    <row r="6" spans="1:67" ht="13.5" customHeight="1" thickTop="1" thickBot="1" x14ac:dyDescent="0.3">
      <c r="A6" s="36" t="s">
        <v>51</v>
      </c>
      <c r="B6" s="202" t="s">
        <v>6</v>
      </c>
      <c r="C6" s="122">
        <v>0</v>
      </c>
      <c r="D6" s="123">
        <v>40</v>
      </c>
      <c r="E6" s="123">
        <v>0</v>
      </c>
      <c r="F6" s="200">
        <v>50</v>
      </c>
      <c r="G6" s="123">
        <v>40</v>
      </c>
      <c r="H6" s="123">
        <v>0</v>
      </c>
      <c r="I6" s="200">
        <v>0</v>
      </c>
      <c r="J6" s="123">
        <v>0</v>
      </c>
      <c r="K6" s="123">
        <v>0</v>
      </c>
      <c r="L6" s="200">
        <v>0</v>
      </c>
      <c r="M6" s="123">
        <v>0</v>
      </c>
      <c r="N6" s="123">
        <v>0</v>
      </c>
      <c r="O6" s="122">
        <v>0</v>
      </c>
      <c r="P6" s="123">
        <v>65</v>
      </c>
      <c r="Q6" s="123">
        <v>15</v>
      </c>
      <c r="R6" s="200">
        <v>80</v>
      </c>
      <c r="S6" s="123">
        <v>85</v>
      </c>
      <c r="T6" s="123">
        <v>75</v>
      </c>
      <c r="U6" s="200">
        <v>0</v>
      </c>
      <c r="V6" s="123">
        <v>25</v>
      </c>
      <c r="W6" s="123">
        <v>45</v>
      </c>
      <c r="X6" s="200">
        <v>0</v>
      </c>
      <c r="Y6" s="123">
        <v>45</v>
      </c>
      <c r="Z6" s="123">
        <v>45</v>
      </c>
      <c r="AA6" s="122">
        <v>10</v>
      </c>
      <c r="AB6" s="123">
        <v>25</v>
      </c>
      <c r="AC6" s="123">
        <v>25</v>
      </c>
      <c r="AD6" s="200">
        <v>45</v>
      </c>
      <c r="AE6" s="123">
        <v>25</v>
      </c>
      <c r="AF6" s="123">
        <v>25</v>
      </c>
      <c r="AG6" s="200">
        <v>10</v>
      </c>
      <c r="AH6" s="123">
        <v>0</v>
      </c>
      <c r="AI6" s="123">
        <v>0</v>
      </c>
      <c r="AJ6" s="200">
        <v>10</v>
      </c>
      <c r="AK6" s="123">
        <v>0</v>
      </c>
      <c r="AL6" s="123">
        <v>0</v>
      </c>
      <c r="AM6" s="122">
        <v>0</v>
      </c>
      <c r="AN6" s="123">
        <v>0</v>
      </c>
      <c r="AO6" s="123">
        <v>0</v>
      </c>
      <c r="AP6" s="200">
        <v>0</v>
      </c>
      <c r="AQ6" s="123">
        <v>0</v>
      </c>
      <c r="AR6" s="123">
        <v>0</v>
      </c>
      <c r="AS6" s="200">
        <v>0</v>
      </c>
      <c r="AT6" s="123">
        <v>0</v>
      </c>
      <c r="AU6" s="123">
        <v>0</v>
      </c>
      <c r="AV6" s="200">
        <v>0</v>
      </c>
      <c r="AW6" s="123">
        <v>0</v>
      </c>
      <c r="AX6" s="123">
        <v>0</v>
      </c>
      <c r="AY6" s="126">
        <f t="shared" si="0"/>
        <v>10</v>
      </c>
      <c r="AZ6" s="127">
        <f t="shared" si="1"/>
        <v>90</v>
      </c>
      <c r="BA6" s="127">
        <f t="shared" si="2"/>
        <v>40</v>
      </c>
      <c r="BB6" s="199">
        <f t="shared" si="3"/>
        <v>125</v>
      </c>
      <c r="BC6" s="127">
        <f t="shared" si="4"/>
        <v>110</v>
      </c>
      <c r="BD6" s="127">
        <f t="shared" si="5"/>
        <v>100</v>
      </c>
      <c r="BE6" s="199">
        <f t="shared" si="6"/>
        <v>10</v>
      </c>
      <c r="BF6" s="127">
        <f t="shared" si="7"/>
        <v>25</v>
      </c>
      <c r="BG6" s="127">
        <f t="shared" si="8"/>
        <v>45</v>
      </c>
      <c r="BH6" s="199">
        <f t="shared" si="9"/>
        <v>10</v>
      </c>
      <c r="BI6" s="127">
        <f t="shared" si="10"/>
        <v>45</v>
      </c>
      <c r="BJ6" s="127">
        <f t="shared" si="11"/>
        <v>45</v>
      </c>
      <c r="BK6" s="149">
        <f t="shared" si="12"/>
        <v>655</v>
      </c>
      <c r="BL6" s="199">
        <f t="shared" si="13"/>
        <v>140</v>
      </c>
      <c r="BM6" s="127">
        <f t="shared" si="14"/>
        <v>335</v>
      </c>
      <c r="BN6" s="127">
        <f t="shared" si="15"/>
        <v>80</v>
      </c>
      <c r="BO6" s="127">
        <f t="shared" si="16"/>
        <v>100</v>
      </c>
    </row>
    <row r="7" spans="1:67" ht="13.5" customHeight="1" thickTop="1" thickBot="1" x14ac:dyDescent="0.3">
      <c r="A7" s="36" t="s">
        <v>52</v>
      </c>
      <c r="B7" s="202" t="s">
        <v>12</v>
      </c>
      <c r="C7" s="122">
        <v>0</v>
      </c>
      <c r="D7" s="123">
        <v>0</v>
      </c>
      <c r="E7" s="123">
        <v>0</v>
      </c>
      <c r="F7" s="200">
        <v>0</v>
      </c>
      <c r="G7" s="123">
        <v>0</v>
      </c>
      <c r="H7" s="123">
        <v>0</v>
      </c>
      <c r="I7" s="200">
        <v>40</v>
      </c>
      <c r="J7" s="123">
        <v>0</v>
      </c>
      <c r="K7" s="123">
        <v>0</v>
      </c>
      <c r="L7" s="200">
        <v>40</v>
      </c>
      <c r="M7" s="123">
        <v>30</v>
      </c>
      <c r="N7" s="123">
        <v>30</v>
      </c>
      <c r="O7" s="122">
        <v>20</v>
      </c>
      <c r="P7" s="123">
        <v>40</v>
      </c>
      <c r="Q7" s="123">
        <v>10</v>
      </c>
      <c r="R7" s="200">
        <v>20</v>
      </c>
      <c r="S7" s="123">
        <v>40</v>
      </c>
      <c r="T7" s="123">
        <v>10</v>
      </c>
      <c r="U7" s="200">
        <v>65</v>
      </c>
      <c r="V7" s="123">
        <v>25</v>
      </c>
      <c r="W7" s="123">
        <v>15</v>
      </c>
      <c r="X7" s="200">
        <v>75</v>
      </c>
      <c r="Y7" s="123">
        <v>65</v>
      </c>
      <c r="Z7" s="123">
        <v>25</v>
      </c>
      <c r="AA7" s="122">
        <v>10</v>
      </c>
      <c r="AB7" s="123">
        <v>0</v>
      </c>
      <c r="AC7" s="123">
        <v>0</v>
      </c>
      <c r="AD7" s="200">
        <v>10</v>
      </c>
      <c r="AE7" s="123">
        <v>10</v>
      </c>
      <c r="AF7" s="123">
        <v>10</v>
      </c>
      <c r="AG7" s="200">
        <v>35</v>
      </c>
      <c r="AH7" s="123">
        <v>20</v>
      </c>
      <c r="AI7" s="123">
        <v>20</v>
      </c>
      <c r="AJ7" s="200">
        <v>35</v>
      </c>
      <c r="AK7" s="123">
        <v>20</v>
      </c>
      <c r="AL7" s="123">
        <v>20</v>
      </c>
      <c r="AM7" s="122">
        <v>0</v>
      </c>
      <c r="AN7" s="123">
        <v>0</v>
      </c>
      <c r="AO7" s="123">
        <v>0</v>
      </c>
      <c r="AP7" s="200">
        <v>0</v>
      </c>
      <c r="AQ7" s="123">
        <v>0</v>
      </c>
      <c r="AR7" s="123">
        <v>0</v>
      </c>
      <c r="AS7" s="200">
        <v>0</v>
      </c>
      <c r="AT7" s="123">
        <v>0</v>
      </c>
      <c r="AU7" s="123">
        <v>0</v>
      </c>
      <c r="AV7" s="200">
        <v>0</v>
      </c>
      <c r="AW7" s="123">
        <v>0</v>
      </c>
      <c r="AX7" s="123">
        <v>0</v>
      </c>
      <c r="AY7" s="126">
        <f t="shared" si="0"/>
        <v>30</v>
      </c>
      <c r="AZ7" s="127">
        <f t="shared" si="1"/>
        <v>40</v>
      </c>
      <c r="BA7" s="127">
        <f t="shared" si="2"/>
        <v>10</v>
      </c>
      <c r="BB7" s="199">
        <f t="shared" si="3"/>
        <v>30</v>
      </c>
      <c r="BC7" s="127">
        <f t="shared" si="4"/>
        <v>50</v>
      </c>
      <c r="BD7" s="127">
        <f t="shared" si="5"/>
        <v>20</v>
      </c>
      <c r="BE7" s="199">
        <f t="shared" si="6"/>
        <v>100</v>
      </c>
      <c r="BF7" s="127">
        <f t="shared" si="7"/>
        <v>45</v>
      </c>
      <c r="BG7" s="127">
        <f t="shared" si="8"/>
        <v>35</v>
      </c>
      <c r="BH7" s="199">
        <f t="shared" si="9"/>
        <v>110</v>
      </c>
      <c r="BI7" s="127">
        <f t="shared" si="10"/>
        <v>85</v>
      </c>
      <c r="BJ7" s="127">
        <f t="shared" si="11"/>
        <v>45</v>
      </c>
      <c r="BK7" s="149">
        <f t="shared" si="12"/>
        <v>600</v>
      </c>
      <c r="BL7" s="199">
        <f t="shared" si="13"/>
        <v>80</v>
      </c>
      <c r="BM7" s="127">
        <f t="shared" si="14"/>
        <v>100</v>
      </c>
      <c r="BN7" s="127">
        <f t="shared" si="15"/>
        <v>180</v>
      </c>
      <c r="BO7" s="127">
        <f t="shared" si="16"/>
        <v>240</v>
      </c>
    </row>
    <row r="8" spans="1:67" ht="13.5" customHeight="1" thickTop="1" thickBot="1" x14ac:dyDescent="0.3">
      <c r="A8" s="36" t="s">
        <v>53</v>
      </c>
      <c r="B8" s="202" t="s">
        <v>13</v>
      </c>
      <c r="C8" s="122">
        <v>0</v>
      </c>
      <c r="D8" s="123">
        <v>0</v>
      </c>
      <c r="E8" s="123">
        <v>0</v>
      </c>
      <c r="F8" s="200">
        <v>25</v>
      </c>
      <c r="G8" s="123">
        <v>0</v>
      </c>
      <c r="H8" s="123">
        <v>0</v>
      </c>
      <c r="I8" s="200">
        <v>0</v>
      </c>
      <c r="J8" s="123">
        <v>40</v>
      </c>
      <c r="K8" s="123">
        <v>0</v>
      </c>
      <c r="L8" s="200">
        <v>0</v>
      </c>
      <c r="M8" s="123">
        <v>40</v>
      </c>
      <c r="N8" s="123">
        <v>0</v>
      </c>
      <c r="O8" s="122">
        <v>25</v>
      </c>
      <c r="P8" s="123">
        <v>15</v>
      </c>
      <c r="Q8" s="123">
        <v>15</v>
      </c>
      <c r="R8" s="200">
        <v>50</v>
      </c>
      <c r="S8" s="123">
        <v>15</v>
      </c>
      <c r="T8" s="123">
        <v>15</v>
      </c>
      <c r="U8" s="200">
        <v>0</v>
      </c>
      <c r="V8" s="123">
        <v>60</v>
      </c>
      <c r="W8" s="123">
        <v>60</v>
      </c>
      <c r="X8" s="200">
        <v>0</v>
      </c>
      <c r="Y8" s="123">
        <v>60</v>
      </c>
      <c r="Z8" s="123">
        <v>60</v>
      </c>
      <c r="AA8" s="122">
        <v>10</v>
      </c>
      <c r="AB8" s="123">
        <v>10</v>
      </c>
      <c r="AC8" s="123">
        <v>0</v>
      </c>
      <c r="AD8" s="200">
        <v>10</v>
      </c>
      <c r="AE8" s="123">
        <v>10</v>
      </c>
      <c r="AF8" s="123">
        <v>0</v>
      </c>
      <c r="AG8" s="200">
        <v>0</v>
      </c>
      <c r="AH8" s="123">
        <v>35</v>
      </c>
      <c r="AI8" s="123">
        <v>25</v>
      </c>
      <c r="AJ8" s="200">
        <v>0</v>
      </c>
      <c r="AK8" s="123">
        <v>35</v>
      </c>
      <c r="AL8" s="123">
        <v>25</v>
      </c>
      <c r="AM8" s="122">
        <v>0</v>
      </c>
      <c r="AN8" s="123">
        <v>0</v>
      </c>
      <c r="AO8" s="123">
        <v>0</v>
      </c>
      <c r="AP8" s="200">
        <v>0</v>
      </c>
      <c r="AQ8" s="123">
        <v>0</v>
      </c>
      <c r="AR8" s="123">
        <v>0</v>
      </c>
      <c r="AS8" s="200">
        <v>6</v>
      </c>
      <c r="AT8" s="123">
        <v>0</v>
      </c>
      <c r="AU8" s="123">
        <v>10</v>
      </c>
      <c r="AV8" s="200">
        <v>0</v>
      </c>
      <c r="AW8" s="123">
        <v>0</v>
      </c>
      <c r="AX8" s="123">
        <v>10</v>
      </c>
      <c r="AY8" s="126">
        <f t="shared" si="0"/>
        <v>35</v>
      </c>
      <c r="AZ8" s="127">
        <f t="shared" si="1"/>
        <v>25</v>
      </c>
      <c r="BA8" s="127">
        <f t="shared" si="2"/>
        <v>15</v>
      </c>
      <c r="BB8" s="199">
        <f t="shared" si="3"/>
        <v>60</v>
      </c>
      <c r="BC8" s="127">
        <f t="shared" si="4"/>
        <v>25</v>
      </c>
      <c r="BD8" s="127">
        <f t="shared" si="5"/>
        <v>15</v>
      </c>
      <c r="BE8" s="199">
        <f t="shared" si="6"/>
        <v>6</v>
      </c>
      <c r="BF8" s="127">
        <f t="shared" si="7"/>
        <v>95</v>
      </c>
      <c r="BG8" s="127">
        <f t="shared" si="8"/>
        <v>95</v>
      </c>
      <c r="BH8" s="199">
        <f t="shared" si="9"/>
        <v>0</v>
      </c>
      <c r="BI8" s="127">
        <f t="shared" si="10"/>
        <v>95</v>
      </c>
      <c r="BJ8" s="127">
        <f t="shared" si="11"/>
        <v>95</v>
      </c>
      <c r="BK8" s="149">
        <f t="shared" si="12"/>
        <v>561</v>
      </c>
      <c r="BL8" s="199">
        <f t="shared" si="13"/>
        <v>75</v>
      </c>
      <c r="BM8" s="127">
        <f t="shared" si="14"/>
        <v>100</v>
      </c>
      <c r="BN8" s="127">
        <f t="shared" si="15"/>
        <v>196</v>
      </c>
      <c r="BO8" s="127">
        <f t="shared" si="16"/>
        <v>190</v>
      </c>
    </row>
    <row r="9" spans="1:67" ht="13.5" customHeight="1" thickTop="1" thickBot="1" x14ac:dyDescent="0.3">
      <c r="A9" s="36" t="s">
        <v>54</v>
      </c>
      <c r="B9" s="202" t="s">
        <v>7</v>
      </c>
      <c r="C9" s="122">
        <v>15</v>
      </c>
      <c r="D9" s="123">
        <v>20</v>
      </c>
      <c r="E9" s="123">
        <v>0</v>
      </c>
      <c r="F9" s="200">
        <v>15</v>
      </c>
      <c r="G9" s="123">
        <v>20</v>
      </c>
      <c r="H9" s="123">
        <v>0</v>
      </c>
      <c r="I9" s="200">
        <v>15</v>
      </c>
      <c r="J9" s="123">
        <v>0</v>
      </c>
      <c r="K9" s="123">
        <v>0</v>
      </c>
      <c r="L9" s="200">
        <v>15</v>
      </c>
      <c r="M9" s="123">
        <v>0</v>
      </c>
      <c r="N9" s="123">
        <v>0</v>
      </c>
      <c r="O9" s="122">
        <v>35</v>
      </c>
      <c r="P9" s="123">
        <v>100</v>
      </c>
      <c r="Q9" s="123">
        <v>55</v>
      </c>
      <c r="R9" s="200">
        <v>35</v>
      </c>
      <c r="S9" s="123">
        <v>100</v>
      </c>
      <c r="T9" s="123">
        <v>55</v>
      </c>
      <c r="U9" s="200">
        <v>15</v>
      </c>
      <c r="V9" s="123">
        <v>0</v>
      </c>
      <c r="W9" s="123">
        <v>0</v>
      </c>
      <c r="X9" s="200">
        <v>15</v>
      </c>
      <c r="Y9" s="123">
        <v>0</v>
      </c>
      <c r="Z9" s="123">
        <v>0</v>
      </c>
      <c r="AA9" s="122">
        <v>15</v>
      </c>
      <c r="AB9" s="123">
        <v>0</v>
      </c>
      <c r="AC9" s="123">
        <v>35</v>
      </c>
      <c r="AD9" s="200">
        <v>15</v>
      </c>
      <c r="AE9" s="123">
        <v>0</v>
      </c>
      <c r="AF9" s="123">
        <v>35</v>
      </c>
      <c r="AG9" s="200">
        <v>15</v>
      </c>
      <c r="AH9" s="123">
        <v>0</v>
      </c>
      <c r="AI9" s="123">
        <v>10</v>
      </c>
      <c r="AJ9" s="200">
        <v>15</v>
      </c>
      <c r="AK9" s="123">
        <v>0</v>
      </c>
      <c r="AL9" s="123">
        <v>10</v>
      </c>
      <c r="AM9" s="122">
        <v>0</v>
      </c>
      <c r="AN9" s="123">
        <v>0</v>
      </c>
      <c r="AO9" s="123">
        <v>0</v>
      </c>
      <c r="AP9" s="200">
        <v>0</v>
      </c>
      <c r="AQ9" s="123">
        <v>0</v>
      </c>
      <c r="AR9" s="123">
        <v>0</v>
      </c>
      <c r="AS9" s="200">
        <v>0</v>
      </c>
      <c r="AT9" s="123">
        <v>0</v>
      </c>
      <c r="AU9" s="123">
        <v>0</v>
      </c>
      <c r="AV9" s="200">
        <v>0</v>
      </c>
      <c r="AW9" s="123">
        <v>0</v>
      </c>
      <c r="AX9" s="123">
        <v>0</v>
      </c>
      <c r="AY9" s="126">
        <f t="shared" si="0"/>
        <v>50</v>
      </c>
      <c r="AZ9" s="127">
        <f t="shared" si="1"/>
        <v>100</v>
      </c>
      <c r="BA9" s="127">
        <f t="shared" si="2"/>
        <v>90</v>
      </c>
      <c r="BB9" s="199">
        <f t="shared" si="3"/>
        <v>50</v>
      </c>
      <c r="BC9" s="127">
        <f t="shared" si="4"/>
        <v>100</v>
      </c>
      <c r="BD9" s="127">
        <f t="shared" si="5"/>
        <v>90</v>
      </c>
      <c r="BE9" s="199">
        <f t="shared" si="6"/>
        <v>30</v>
      </c>
      <c r="BF9" s="127">
        <f t="shared" si="7"/>
        <v>0</v>
      </c>
      <c r="BG9" s="127">
        <f t="shared" si="8"/>
        <v>10</v>
      </c>
      <c r="BH9" s="199">
        <f t="shared" si="9"/>
        <v>30</v>
      </c>
      <c r="BI9" s="127">
        <f t="shared" si="10"/>
        <v>0</v>
      </c>
      <c r="BJ9" s="127">
        <f t="shared" si="11"/>
        <v>10</v>
      </c>
      <c r="BK9" s="149">
        <f t="shared" si="12"/>
        <v>560</v>
      </c>
      <c r="BL9" s="199">
        <f t="shared" si="13"/>
        <v>240</v>
      </c>
      <c r="BM9" s="127">
        <f t="shared" si="14"/>
        <v>240</v>
      </c>
      <c r="BN9" s="127">
        <f t="shared" si="15"/>
        <v>40</v>
      </c>
      <c r="BO9" s="127">
        <f t="shared" si="16"/>
        <v>40</v>
      </c>
    </row>
    <row r="10" spans="1:67" ht="13.5" customHeight="1" thickTop="1" thickBot="1" x14ac:dyDescent="0.3">
      <c r="A10" s="36" t="s">
        <v>55</v>
      </c>
      <c r="B10" s="202" t="s">
        <v>23</v>
      </c>
      <c r="C10" s="122">
        <v>0</v>
      </c>
      <c r="D10" s="123">
        <v>0</v>
      </c>
      <c r="E10" s="123">
        <v>0</v>
      </c>
      <c r="F10" s="200">
        <v>0</v>
      </c>
      <c r="G10" s="123">
        <v>0</v>
      </c>
      <c r="H10" s="123">
        <v>0</v>
      </c>
      <c r="I10" s="200">
        <v>40</v>
      </c>
      <c r="J10" s="123">
        <v>15</v>
      </c>
      <c r="K10" s="123">
        <v>15</v>
      </c>
      <c r="L10" s="200">
        <v>0</v>
      </c>
      <c r="M10" s="123">
        <v>15</v>
      </c>
      <c r="N10" s="123">
        <v>15</v>
      </c>
      <c r="O10" s="122">
        <v>0</v>
      </c>
      <c r="P10" s="123">
        <v>10</v>
      </c>
      <c r="Q10" s="123">
        <v>10</v>
      </c>
      <c r="R10" s="200">
        <v>35</v>
      </c>
      <c r="S10" s="123">
        <v>10</v>
      </c>
      <c r="T10" s="123">
        <v>10</v>
      </c>
      <c r="U10" s="200">
        <v>90</v>
      </c>
      <c r="V10" s="123">
        <v>80</v>
      </c>
      <c r="W10" s="123">
        <v>80</v>
      </c>
      <c r="X10" s="200">
        <v>0</v>
      </c>
      <c r="Y10" s="123">
        <v>35</v>
      </c>
      <c r="Z10" s="123">
        <v>35</v>
      </c>
      <c r="AA10" s="122">
        <v>0</v>
      </c>
      <c r="AB10" s="123">
        <v>10</v>
      </c>
      <c r="AC10" s="123">
        <v>0</v>
      </c>
      <c r="AD10" s="200">
        <v>0</v>
      </c>
      <c r="AE10" s="123">
        <v>10</v>
      </c>
      <c r="AF10" s="123">
        <v>0</v>
      </c>
      <c r="AG10" s="200">
        <v>30</v>
      </c>
      <c r="AH10" s="123">
        <v>30</v>
      </c>
      <c r="AI10" s="123">
        <v>20</v>
      </c>
      <c r="AJ10" s="200">
        <v>30</v>
      </c>
      <c r="AK10" s="123">
        <v>0</v>
      </c>
      <c r="AL10" s="123">
        <v>0</v>
      </c>
      <c r="AM10" s="122">
        <v>0</v>
      </c>
      <c r="AN10" s="123">
        <v>0</v>
      </c>
      <c r="AO10" s="123">
        <v>0</v>
      </c>
      <c r="AP10" s="200">
        <v>0</v>
      </c>
      <c r="AQ10" s="123">
        <v>0</v>
      </c>
      <c r="AR10" s="123">
        <v>0</v>
      </c>
      <c r="AS10" s="200">
        <v>0</v>
      </c>
      <c r="AT10" s="123">
        <v>0</v>
      </c>
      <c r="AU10" s="123">
        <v>0</v>
      </c>
      <c r="AV10" s="200">
        <v>0</v>
      </c>
      <c r="AW10" s="123">
        <v>0</v>
      </c>
      <c r="AX10" s="123">
        <v>0</v>
      </c>
      <c r="AY10" s="126">
        <f t="shared" si="0"/>
        <v>0</v>
      </c>
      <c r="AZ10" s="127">
        <f t="shared" si="1"/>
        <v>20</v>
      </c>
      <c r="BA10" s="127">
        <f t="shared" si="2"/>
        <v>10</v>
      </c>
      <c r="BB10" s="199">
        <f t="shared" si="3"/>
        <v>35</v>
      </c>
      <c r="BC10" s="127">
        <f t="shared" si="4"/>
        <v>20</v>
      </c>
      <c r="BD10" s="127">
        <f t="shared" si="5"/>
        <v>10</v>
      </c>
      <c r="BE10" s="199">
        <f t="shared" si="6"/>
        <v>120</v>
      </c>
      <c r="BF10" s="127">
        <f t="shared" si="7"/>
        <v>110</v>
      </c>
      <c r="BG10" s="127">
        <f t="shared" si="8"/>
        <v>100</v>
      </c>
      <c r="BH10" s="199">
        <f t="shared" si="9"/>
        <v>30</v>
      </c>
      <c r="BI10" s="127">
        <f t="shared" si="10"/>
        <v>35</v>
      </c>
      <c r="BJ10" s="127">
        <f t="shared" si="11"/>
        <v>35</v>
      </c>
      <c r="BK10" s="149">
        <f t="shared" si="12"/>
        <v>525</v>
      </c>
      <c r="BL10" s="199">
        <f t="shared" si="13"/>
        <v>30</v>
      </c>
      <c r="BM10" s="127">
        <f t="shared" si="14"/>
        <v>65</v>
      </c>
      <c r="BN10" s="127">
        <f t="shared" si="15"/>
        <v>330</v>
      </c>
      <c r="BO10" s="127">
        <f t="shared" si="16"/>
        <v>100</v>
      </c>
    </row>
    <row r="11" spans="1:67" ht="13.5" customHeight="1" thickTop="1" thickBot="1" x14ac:dyDescent="0.3">
      <c r="A11" s="36" t="s">
        <v>56</v>
      </c>
      <c r="B11" s="202" t="s">
        <v>18</v>
      </c>
      <c r="C11" s="122">
        <v>0</v>
      </c>
      <c r="D11" s="123">
        <v>10</v>
      </c>
      <c r="E11" s="123">
        <v>0</v>
      </c>
      <c r="F11" s="200">
        <v>0</v>
      </c>
      <c r="G11" s="123">
        <v>10</v>
      </c>
      <c r="H11" s="123">
        <v>0</v>
      </c>
      <c r="I11" s="200">
        <v>30</v>
      </c>
      <c r="J11" s="123">
        <v>10</v>
      </c>
      <c r="K11" s="123">
        <v>0</v>
      </c>
      <c r="L11" s="200">
        <v>0</v>
      </c>
      <c r="M11" s="123">
        <v>10</v>
      </c>
      <c r="N11" s="123">
        <v>0</v>
      </c>
      <c r="O11" s="122">
        <v>0</v>
      </c>
      <c r="P11" s="123">
        <v>35</v>
      </c>
      <c r="Q11" s="123">
        <v>10</v>
      </c>
      <c r="R11" s="200">
        <v>0</v>
      </c>
      <c r="S11" s="123">
        <v>35</v>
      </c>
      <c r="T11" s="123">
        <v>10</v>
      </c>
      <c r="U11" s="200">
        <v>45</v>
      </c>
      <c r="V11" s="123">
        <v>70</v>
      </c>
      <c r="W11" s="123">
        <v>45</v>
      </c>
      <c r="X11" s="200">
        <v>15</v>
      </c>
      <c r="Y11" s="123">
        <v>70</v>
      </c>
      <c r="Z11" s="123">
        <v>45</v>
      </c>
      <c r="AA11" s="122">
        <v>30</v>
      </c>
      <c r="AB11" s="123">
        <v>10</v>
      </c>
      <c r="AC11" s="123">
        <v>0</v>
      </c>
      <c r="AD11" s="200">
        <v>0</v>
      </c>
      <c r="AE11" s="123">
        <v>10</v>
      </c>
      <c r="AF11" s="123">
        <v>20</v>
      </c>
      <c r="AG11" s="200">
        <v>0</v>
      </c>
      <c r="AH11" s="123">
        <v>10</v>
      </c>
      <c r="AI11" s="123">
        <v>0</v>
      </c>
      <c r="AJ11" s="200">
        <v>0</v>
      </c>
      <c r="AK11" s="123">
        <v>10</v>
      </c>
      <c r="AL11" s="123">
        <v>0</v>
      </c>
      <c r="AM11" s="122">
        <v>0</v>
      </c>
      <c r="AN11" s="123">
        <v>0</v>
      </c>
      <c r="AO11" s="123">
        <v>0</v>
      </c>
      <c r="AP11" s="200">
        <v>0</v>
      </c>
      <c r="AQ11" s="123">
        <v>0</v>
      </c>
      <c r="AR11" s="123">
        <v>0</v>
      </c>
      <c r="AS11" s="200">
        <v>0</v>
      </c>
      <c r="AT11" s="123">
        <v>0</v>
      </c>
      <c r="AU11" s="123">
        <v>0</v>
      </c>
      <c r="AV11" s="200">
        <v>0</v>
      </c>
      <c r="AW11" s="123">
        <v>0</v>
      </c>
      <c r="AX11" s="123">
        <v>0</v>
      </c>
      <c r="AY11" s="126">
        <f t="shared" si="0"/>
        <v>30</v>
      </c>
      <c r="AZ11" s="127">
        <f t="shared" si="1"/>
        <v>45</v>
      </c>
      <c r="BA11" s="127">
        <f t="shared" si="2"/>
        <v>10</v>
      </c>
      <c r="BB11" s="199">
        <f t="shared" si="3"/>
        <v>0</v>
      </c>
      <c r="BC11" s="127">
        <f t="shared" si="4"/>
        <v>45</v>
      </c>
      <c r="BD11" s="127">
        <f t="shared" si="5"/>
        <v>30</v>
      </c>
      <c r="BE11" s="199">
        <f t="shared" si="6"/>
        <v>45</v>
      </c>
      <c r="BF11" s="127">
        <f t="shared" si="7"/>
        <v>80</v>
      </c>
      <c r="BG11" s="127">
        <f t="shared" si="8"/>
        <v>45</v>
      </c>
      <c r="BH11" s="199">
        <f t="shared" si="9"/>
        <v>15</v>
      </c>
      <c r="BI11" s="127">
        <f t="shared" si="10"/>
        <v>80</v>
      </c>
      <c r="BJ11" s="127">
        <f t="shared" si="11"/>
        <v>45</v>
      </c>
      <c r="BK11" s="149">
        <f t="shared" si="12"/>
        <v>470</v>
      </c>
      <c r="BL11" s="199">
        <f t="shared" si="13"/>
        <v>85</v>
      </c>
      <c r="BM11" s="127">
        <f t="shared" si="14"/>
        <v>75</v>
      </c>
      <c r="BN11" s="127">
        <f t="shared" si="15"/>
        <v>170</v>
      </c>
      <c r="BO11" s="127">
        <f t="shared" si="16"/>
        <v>140</v>
      </c>
    </row>
    <row r="12" spans="1:67" ht="13.5" customHeight="1" thickTop="1" thickBot="1" x14ac:dyDescent="0.3">
      <c r="A12" s="36" t="s">
        <v>57</v>
      </c>
      <c r="B12" s="202" t="s">
        <v>9</v>
      </c>
      <c r="C12" s="122">
        <v>0</v>
      </c>
      <c r="D12" s="123">
        <v>0</v>
      </c>
      <c r="E12" s="123">
        <v>15</v>
      </c>
      <c r="F12" s="200">
        <v>0</v>
      </c>
      <c r="G12" s="123">
        <v>0</v>
      </c>
      <c r="H12" s="123">
        <v>15</v>
      </c>
      <c r="I12" s="200">
        <v>25</v>
      </c>
      <c r="J12" s="123">
        <v>0</v>
      </c>
      <c r="K12" s="123">
        <v>0</v>
      </c>
      <c r="L12" s="200">
        <v>0</v>
      </c>
      <c r="M12" s="123">
        <v>0</v>
      </c>
      <c r="N12" s="123">
        <v>0</v>
      </c>
      <c r="O12" s="122">
        <v>0</v>
      </c>
      <c r="P12" s="123">
        <v>60</v>
      </c>
      <c r="Q12" s="123">
        <v>60</v>
      </c>
      <c r="R12" s="200">
        <v>0</v>
      </c>
      <c r="S12" s="123">
        <v>60</v>
      </c>
      <c r="T12" s="123">
        <v>60</v>
      </c>
      <c r="U12" s="200">
        <v>55</v>
      </c>
      <c r="V12" s="123">
        <v>0</v>
      </c>
      <c r="W12" s="123">
        <v>0</v>
      </c>
      <c r="X12" s="200">
        <v>30</v>
      </c>
      <c r="Y12" s="123">
        <v>0</v>
      </c>
      <c r="Z12" s="123">
        <v>0</v>
      </c>
      <c r="AA12" s="122">
        <v>10</v>
      </c>
      <c r="AB12" s="123">
        <v>0</v>
      </c>
      <c r="AC12" s="123">
        <v>0</v>
      </c>
      <c r="AD12" s="200">
        <v>10</v>
      </c>
      <c r="AE12" s="123">
        <v>0</v>
      </c>
      <c r="AF12" s="123">
        <v>0</v>
      </c>
      <c r="AG12" s="200">
        <v>36</v>
      </c>
      <c r="AH12" s="123">
        <v>26</v>
      </c>
      <c r="AI12" s="123">
        <v>26</v>
      </c>
      <c r="AJ12" s="200">
        <v>10</v>
      </c>
      <c r="AK12" s="123">
        <v>0</v>
      </c>
      <c r="AL12" s="123">
        <v>0</v>
      </c>
      <c r="AM12" s="122">
        <v>0</v>
      </c>
      <c r="AN12" s="123">
        <v>0</v>
      </c>
      <c r="AO12" s="123">
        <v>0</v>
      </c>
      <c r="AP12" s="200">
        <v>0</v>
      </c>
      <c r="AQ12" s="123">
        <v>0</v>
      </c>
      <c r="AR12" s="123">
        <v>0</v>
      </c>
      <c r="AS12" s="200">
        <v>0</v>
      </c>
      <c r="AT12" s="123">
        <v>0</v>
      </c>
      <c r="AU12" s="123">
        <v>0</v>
      </c>
      <c r="AV12" s="200">
        <v>0</v>
      </c>
      <c r="AW12" s="123">
        <v>0</v>
      </c>
      <c r="AX12" s="123">
        <v>0</v>
      </c>
      <c r="AY12" s="126">
        <f t="shared" si="0"/>
        <v>10</v>
      </c>
      <c r="AZ12" s="127">
        <f t="shared" si="1"/>
        <v>60</v>
      </c>
      <c r="BA12" s="127">
        <f t="shared" si="2"/>
        <v>60</v>
      </c>
      <c r="BB12" s="199">
        <f t="shared" si="3"/>
        <v>10</v>
      </c>
      <c r="BC12" s="127">
        <f t="shared" si="4"/>
        <v>60</v>
      </c>
      <c r="BD12" s="127">
        <f t="shared" si="5"/>
        <v>60</v>
      </c>
      <c r="BE12" s="199">
        <f t="shared" si="6"/>
        <v>91</v>
      </c>
      <c r="BF12" s="127">
        <f t="shared" si="7"/>
        <v>26</v>
      </c>
      <c r="BG12" s="127">
        <f t="shared" si="8"/>
        <v>26</v>
      </c>
      <c r="BH12" s="199">
        <f t="shared" si="9"/>
        <v>40</v>
      </c>
      <c r="BI12" s="127">
        <f t="shared" si="10"/>
        <v>0</v>
      </c>
      <c r="BJ12" s="127">
        <f t="shared" si="11"/>
        <v>0</v>
      </c>
      <c r="BK12" s="149">
        <f t="shared" si="12"/>
        <v>443</v>
      </c>
      <c r="BL12" s="199">
        <f t="shared" si="13"/>
        <v>130</v>
      </c>
      <c r="BM12" s="127">
        <f t="shared" si="14"/>
        <v>130</v>
      </c>
      <c r="BN12" s="127">
        <f t="shared" si="15"/>
        <v>143</v>
      </c>
      <c r="BO12" s="127">
        <f t="shared" si="16"/>
        <v>40</v>
      </c>
    </row>
    <row r="13" spans="1:67" ht="13.5" customHeight="1" thickTop="1" thickBot="1" x14ac:dyDescent="0.3">
      <c r="A13" s="36" t="s">
        <v>58</v>
      </c>
      <c r="B13" s="202" t="s">
        <v>647</v>
      </c>
      <c r="C13" s="122">
        <v>0</v>
      </c>
      <c r="D13" s="123">
        <v>0</v>
      </c>
      <c r="E13" s="123">
        <v>20</v>
      </c>
      <c r="F13" s="200">
        <v>35</v>
      </c>
      <c r="G13" s="123">
        <v>0</v>
      </c>
      <c r="H13" s="123">
        <v>20</v>
      </c>
      <c r="I13" s="200">
        <v>0</v>
      </c>
      <c r="J13" s="123">
        <v>0</v>
      </c>
      <c r="K13" s="123">
        <v>0</v>
      </c>
      <c r="L13" s="200">
        <v>0</v>
      </c>
      <c r="M13" s="123">
        <v>0</v>
      </c>
      <c r="N13" s="123">
        <v>0</v>
      </c>
      <c r="O13" s="122">
        <v>40</v>
      </c>
      <c r="P13" s="123">
        <v>45</v>
      </c>
      <c r="Q13" s="123">
        <v>65</v>
      </c>
      <c r="R13" s="200">
        <v>75</v>
      </c>
      <c r="S13" s="123">
        <v>45</v>
      </c>
      <c r="T13" s="123">
        <v>65</v>
      </c>
      <c r="U13" s="200">
        <v>0</v>
      </c>
      <c r="V13" s="123">
        <v>0</v>
      </c>
      <c r="W13" s="123">
        <v>0</v>
      </c>
      <c r="X13" s="200">
        <v>0</v>
      </c>
      <c r="Y13" s="123">
        <v>0</v>
      </c>
      <c r="Z13" s="123">
        <v>0</v>
      </c>
      <c r="AA13" s="122">
        <v>30</v>
      </c>
      <c r="AB13" s="123">
        <v>0</v>
      </c>
      <c r="AC13" s="123">
        <v>20</v>
      </c>
      <c r="AD13" s="200">
        <v>30</v>
      </c>
      <c r="AE13" s="123">
        <v>0</v>
      </c>
      <c r="AF13" s="123">
        <v>0</v>
      </c>
      <c r="AG13" s="200">
        <v>10</v>
      </c>
      <c r="AH13" s="123">
        <v>0</v>
      </c>
      <c r="AI13" s="123">
        <v>0</v>
      </c>
      <c r="AJ13" s="200">
        <v>10</v>
      </c>
      <c r="AK13" s="123">
        <v>0</v>
      </c>
      <c r="AL13" s="123">
        <v>0</v>
      </c>
      <c r="AM13" s="122">
        <v>0</v>
      </c>
      <c r="AN13" s="123">
        <v>0</v>
      </c>
      <c r="AO13" s="123">
        <v>0</v>
      </c>
      <c r="AP13" s="200">
        <v>0</v>
      </c>
      <c r="AQ13" s="123">
        <v>0</v>
      </c>
      <c r="AR13" s="123">
        <v>0</v>
      </c>
      <c r="AS13" s="200">
        <v>0</v>
      </c>
      <c r="AT13" s="123">
        <v>0</v>
      </c>
      <c r="AU13" s="123">
        <v>0</v>
      </c>
      <c r="AV13" s="200">
        <v>0</v>
      </c>
      <c r="AW13" s="123">
        <v>0</v>
      </c>
      <c r="AX13" s="123">
        <v>0</v>
      </c>
      <c r="AY13" s="126">
        <f t="shared" si="0"/>
        <v>70</v>
      </c>
      <c r="AZ13" s="127">
        <f t="shared" si="1"/>
        <v>45</v>
      </c>
      <c r="BA13" s="127">
        <f t="shared" si="2"/>
        <v>85</v>
      </c>
      <c r="BB13" s="199">
        <f t="shared" si="3"/>
        <v>105</v>
      </c>
      <c r="BC13" s="127">
        <f t="shared" si="4"/>
        <v>45</v>
      </c>
      <c r="BD13" s="127">
        <f t="shared" si="5"/>
        <v>65</v>
      </c>
      <c r="BE13" s="199">
        <f t="shared" si="6"/>
        <v>10</v>
      </c>
      <c r="BF13" s="127">
        <f t="shared" si="7"/>
        <v>0</v>
      </c>
      <c r="BG13" s="127">
        <f t="shared" si="8"/>
        <v>0</v>
      </c>
      <c r="BH13" s="199">
        <f t="shared" si="9"/>
        <v>10</v>
      </c>
      <c r="BI13" s="127">
        <f t="shared" si="10"/>
        <v>0</v>
      </c>
      <c r="BJ13" s="127">
        <f t="shared" si="11"/>
        <v>0</v>
      </c>
      <c r="BK13" s="149">
        <f t="shared" si="12"/>
        <v>435</v>
      </c>
      <c r="BL13" s="199">
        <f t="shared" si="13"/>
        <v>200</v>
      </c>
      <c r="BM13" s="127">
        <f t="shared" si="14"/>
        <v>215</v>
      </c>
      <c r="BN13" s="127">
        <f t="shared" si="15"/>
        <v>10</v>
      </c>
      <c r="BO13" s="127">
        <f t="shared" si="16"/>
        <v>10</v>
      </c>
    </row>
    <row r="14" spans="1:67" ht="13.5" customHeight="1" thickTop="1" thickBot="1" x14ac:dyDescent="0.3">
      <c r="A14" s="36" t="s">
        <v>59</v>
      </c>
      <c r="B14" s="202" t="s">
        <v>8</v>
      </c>
      <c r="C14" s="122">
        <v>10</v>
      </c>
      <c r="D14" s="123">
        <v>0</v>
      </c>
      <c r="E14" s="123">
        <v>0</v>
      </c>
      <c r="F14" s="200">
        <v>40</v>
      </c>
      <c r="G14" s="123">
        <v>0</v>
      </c>
      <c r="H14" s="123">
        <v>0</v>
      </c>
      <c r="I14" s="200">
        <v>10</v>
      </c>
      <c r="J14" s="123">
        <v>0</v>
      </c>
      <c r="K14" s="123">
        <v>0</v>
      </c>
      <c r="L14" s="200">
        <v>10</v>
      </c>
      <c r="M14" s="123">
        <v>0</v>
      </c>
      <c r="N14" s="123">
        <v>0</v>
      </c>
      <c r="O14" s="122">
        <v>25</v>
      </c>
      <c r="P14" s="123">
        <v>60</v>
      </c>
      <c r="Q14" s="123">
        <v>50</v>
      </c>
      <c r="R14" s="200">
        <v>65</v>
      </c>
      <c r="S14" s="123">
        <v>60</v>
      </c>
      <c r="T14" s="123">
        <v>50</v>
      </c>
      <c r="U14" s="200">
        <v>10</v>
      </c>
      <c r="V14" s="123">
        <v>0</v>
      </c>
      <c r="W14" s="123">
        <v>0</v>
      </c>
      <c r="X14" s="200">
        <v>10</v>
      </c>
      <c r="Y14" s="123">
        <v>0</v>
      </c>
      <c r="Z14" s="123">
        <v>0</v>
      </c>
      <c r="AA14" s="122">
        <v>10</v>
      </c>
      <c r="AB14" s="123">
        <v>0</v>
      </c>
      <c r="AC14" s="123">
        <v>10</v>
      </c>
      <c r="AD14" s="200">
        <v>10</v>
      </c>
      <c r="AE14" s="123">
        <v>0</v>
      </c>
      <c r="AF14" s="123">
        <v>10</v>
      </c>
      <c r="AG14" s="200">
        <v>20</v>
      </c>
      <c r="AH14" s="123">
        <v>0</v>
      </c>
      <c r="AI14" s="123">
        <v>10</v>
      </c>
      <c r="AJ14" s="200">
        <v>20</v>
      </c>
      <c r="AK14" s="123">
        <v>0</v>
      </c>
      <c r="AL14" s="123">
        <v>10</v>
      </c>
      <c r="AM14" s="122">
        <v>0</v>
      </c>
      <c r="AN14" s="123">
        <v>0</v>
      </c>
      <c r="AO14" s="123">
        <v>0</v>
      </c>
      <c r="AP14" s="200">
        <v>0</v>
      </c>
      <c r="AQ14" s="123">
        <v>0</v>
      </c>
      <c r="AR14" s="123">
        <v>0</v>
      </c>
      <c r="AS14" s="200">
        <v>0</v>
      </c>
      <c r="AT14" s="123">
        <v>0</v>
      </c>
      <c r="AU14" s="123">
        <v>0</v>
      </c>
      <c r="AV14" s="200">
        <v>0</v>
      </c>
      <c r="AW14" s="123">
        <v>0</v>
      </c>
      <c r="AX14" s="123">
        <v>0</v>
      </c>
      <c r="AY14" s="126">
        <f t="shared" si="0"/>
        <v>35</v>
      </c>
      <c r="AZ14" s="127">
        <f t="shared" si="1"/>
        <v>60</v>
      </c>
      <c r="BA14" s="127">
        <f t="shared" si="2"/>
        <v>60</v>
      </c>
      <c r="BB14" s="199">
        <f t="shared" si="3"/>
        <v>75</v>
      </c>
      <c r="BC14" s="127">
        <f t="shared" si="4"/>
        <v>60</v>
      </c>
      <c r="BD14" s="127">
        <f t="shared" si="5"/>
        <v>60</v>
      </c>
      <c r="BE14" s="199">
        <f t="shared" si="6"/>
        <v>30</v>
      </c>
      <c r="BF14" s="127">
        <f t="shared" si="7"/>
        <v>0</v>
      </c>
      <c r="BG14" s="127">
        <f t="shared" si="8"/>
        <v>10</v>
      </c>
      <c r="BH14" s="199">
        <f t="shared" si="9"/>
        <v>30</v>
      </c>
      <c r="BI14" s="127">
        <f t="shared" si="10"/>
        <v>0</v>
      </c>
      <c r="BJ14" s="127">
        <f t="shared" si="11"/>
        <v>10</v>
      </c>
      <c r="BK14" s="149">
        <f t="shared" si="12"/>
        <v>430</v>
      </c>
      <c r="BL14" s="199">
        <f t="shared" si="13"/>
        <v>155</v>
      </c>
      <c r="BM14" s="127">
        <f t="shared" si="14"/>
        <v>195</v>
      </c>
      <c r="BN14" s="127">
        <f t="shared" si="15"/>
        <v>40</v>
      </c>
      <c r="BO14" s="127">
        <f t="shared" si="16"/>
        <v>40</v>
      </c>
    </row>
    <row r="15" spans="1:67" ht="13.5" customHeight="1" thickTop="1" thickBot="1" x14ac:dyDescent="0.3">
      <c r="A15" s="36" t="s">
        <v>60</v>
      </c>
      <c r="B15" s="202" t="s">
        <v>25</v>
      </c>
      <c r="C15" s="122">
        <v>0</v>
      </c>
      <c r="D15" s="123">
        <v>0</v>
      </c>
      <c r="E15" s="123">
        <v>0</v>
      </c>
      <c r="F15" s="200">
        <v>25</v>
      </c>
      <c r="G15" s="123">
        <v>0</v>
      </c>
      <c r="H15" s="123">
        <v>0</v>
      </c>
      <c r="I15" s="200">
        <v>15</v>
      </c>
      <c r="J15" s="123">
        <v>0</v>
      </c>
      <c r="K15" s="123">
        <v>0</v>
      </c>
      <c r="L15" s="200">
        <v>15</v>
      </c>
      <c r="M15" s="123">
        <v>0</v>
      </c>
      <c r="N15" s="123">
        <v>0</v>
      </c>
      <c r="O15" s="122">
        <v>35</v>
      </c>
      <c r="P15" s="123">
        <v>25</v>
      </c>
      <c r="Q15" s="123">
        <v>25</v>
      </c>
      <c r="R15" s="200">
        <v>0</v>
      </c>
      <c r="S15" s="123">
        <v>25</v>
      </c>
      <c r="T15" s="123">
        <v>25</v>
      </c>
      <c r="U15" s="200">
        <v>50</v>
      </c>
      <c r="V15" s="123">
        <v>25</v>
      </c>
      <c r="W15" s="123">
        <v>25</v>
      </c>
      <c r="X15" s="200">
        <v>50</v>
      </c>
      <c r="Y15" s="123">
        <v>25</v>
      </c>
      <c r="Z15" s="123">
        <v>25</v>
      </c>
      <c r="AA15" s="122">
        <v>20</v>
      </c>
      <c r="AB15" s="123">
        <v>0</v>
      </c>
      <c r="AC15" s="123">
        <v>30</v>
      </c>
      <c r="AD15" s="200">
        <v>0</v>
      </c>
      <c r="AE15" s="123">
        <v>0</v>
      </c>
      <c r="AF15" s="123">
        <v>10</v>
      </c>
      <c r="AG15" s="200">
        <v>0</v>
      </c>
      <c r="AH15" s="123">
        <v>0</v>
      </c>
      <c r="AI15" s="123">
        <v>10</v>
      </c>
      <c r="AJ15" s="200">
        <v>0</v>
      </c>
      <c r="AK15" s="123">
        <v>0</v>
      </c>
      <c r="AL15" s="123">
        <v>10</v>
      </c>
      <c r="AM15" s="122">
        <v>0</v>
      </c>
      <c r="AN15" s="123">
        <v>0</v>
      </c>
      <c r="AO15" s="123">
        <v>0</v>
      </c>
      <c r="AP15" s="200">
        <v>0</v>
      </c>
      <c r="AQ15" s="123">
        <v>0</v>
      </c>
      <c r="AR15" s="123">
        <v>0</v>
      </c>
      <c r="AS15" s="200">
        <v>0</v>
      </c>
      <c r="AT15" s="123">
        <v>0</v>
      </c>
      <c r="AU15" s="123">
        <v>0</v>
      </c>
      <c r="AV15" s="200">
        <v>0</v>
      </c>
      <c r="AW15" s="123">
        <v>0</v>
      </c>
      <c r="AX15" s="123">
        <v>0</v>
      </c>
      <c r="AY15" s="126">
        <f t="shared" si="0"/>
        <v>55</v>
      </c>
      <c r="AZ15" s="127">
        <f t="shared" si="1"/>
        <v>25</v>
      </c>
      <c r="BA15" s="127">
        <f t="shared" si="2"/>
        <v>55</v>
      </c>
      <c r="BB15" s="199">
        <f t="shared" si="3"/>
        <v>0</v>
      </c>
      <c r="BC15" s="127">
        <f t="shared" si="4"/>
        <v>25</v>
      </c>
      <c r="BD15" s="127">
        <f t="shared" si="5"/>
        <v>35</v>
      </c>
      <c r="BE15" s="199">
        <f t="shared" si="6"/>
        <v>50</v>
      </c>
      <c r="BF15" s="127">
        <f t="shared" si="7"/>
        <v>25</v>
      </c>
      <c r="BG15" s="127">
        <f t="shared" si="8"/>
        <v>35</v>
      </c>
      <c r="BH15" s="199">
        <f t="shared" si="9"/>
        <v>50</v>
      </c>
      <c r="BI15" s="127">
        <f t="shared" si="10"/>
        <v>25</v>
      </c>
      <c r="BJ15" s="127">
        <f t="shared" si="11"/>
        <v>35</v>
      </c>
      <c r="BK15" s="149">
        <f t="shared" si="12"/>
        <v>415</v>
      </c>
      <c r="BL15" s="199">
        <f t="shared" si="13"/>
        <v>135</v>
      </c>
      <c r="BM15" s="127">
        <f t="shared" si="14"/>
        <v>60</v>
      </c>
      <c r="BN15" s="127">
        <f t="shared" si="15"/>
        <v>110</v>
      </c>
      <c r="BO15" s="127">
        <f t="shared" si="16"/>
        <v>110</v>
      </c>
    </row>
    <row r="16" spans="1:67" ht="13.5" customHeight="1" thickTop="1" thickBot="1" x14ac:dyDescent="0.3">
      <c r="A16" s="36" t="s">
        <v>61</v>
      </c>
      <c r="B16" s="202" t="s">
        <v>11</v>
      </c>
      <c r="C16" s="122">
        <v>0</v>
      </c>
      <c r="D16" s="123">
        <v>0</v>
      </c>
      <c r="E16" s="123">
        <v>10</v>
      </c>
      <c r="F16" s="200">
        <v>0</v>
      </c>
      <c r="G16" s="123">
        <v>0</v>
      </c>
      <c r="H16" s="123">
        <v>10</v>
      </c>
      <c r="I16" s="200">
        <v>35</v>
      </c>
      <c r="J16" s="123">
        <v>0</v>
      </c>
      <c r="K16" s="123">
        <v>0</v>
      </c>
      <c r="L16" s="200">
        <v>0</v>
      </c>
      <c r="M16" s="123">
        <v>0</v>
      </c>
      <c r="N16" s="123">
        <v>0</v>
      </c>
      <c r="O16" s="122">
        <v>0</v>
      </c>
      <c r="P16" s="123">
        <v>40</v>
      </c>
      <c r="Q16" s="123">
        <v>40</v>
      </c>
      <c r="R16" s="200">
        <v>0</v>
      </c>
      <c r="S16" s="123">
        <v>40</v>
      </c>
      <c r="T16" s="123">
        <v>40</v>
      </c>
      <c r="U16" s="200">
        <v>60</v>
      </c>
      <c r="V16" s="123">
        <v>15</v>
      </c>
      <c r="W16" s="123">
        <v>25</v>
      </c>
      <c r="X16" s="200">
        <v>25</v>
      </c>
      <c r="Y16" s="123">
        <v>15</v>
      </c>
      <c r="Z16" s="123">
        <v>25</v>
      </c>
      <c r="AA16" s="122">
        <v>10</v>
      </c>
      <c r="AB16" s="123">
        <v>0</v>
      </c>
      <c r="AC16" s="123">
        <v>10</v>
      </c>
      <c r="AD16" s="200">
        <v>10</v>
      </c>
      <c r="AE16" s="123">
        <v>0</v>
      </c>
      <c r="AF16" s="123">
        <v>10</v>
      </c>
      <c r="AG16" s="200">
        <v>40</v>
      </c>
      <c r="AH16" s="123">
        <v>0</v>
      </c>
      <c r="AI16" s="123">
        <v>0</v>
      </c>
      <c r="AJ16" s="200">
        <v>10</v>
      </c>
      <c r="AK16" s="123">
        <v>0</v>
      </c>
      <c r="AL16" s="123">
        <v>0</v>
      </c>
      <c r="AM16" s="122">
        <v>0</v>
      </c>
      <c r="AN16" s="123">
        <v>0</v>
      </c>
      <c r="AO16" s="123">
        <v>0</v>
      </c>
      <c r="AP16" s="200">
        <v>0</v>
      </c>
      <c r="AQ16" s="123">
        <v>0</v>
      </c>
      <c r="AR16" s="123">
        <v>0</v>
      </c>
      <c r="AS16" s="200">
        <v>0</v>
      </c>
      <c r="AT16" s="123">
        <v>0</v>
      </c>
      <c r="AU16" s="123">
        <v>0</v>
      </c>
      <c r="AV16" s="200">
        <v>0</v>
      </c>
      <c r="AW16" s="123">
        <v>0</v>
      </c>
      <c r="AX16" s="123">
        <v>0</v>
      </c>
      <c r="AY16" s="126">
        <f t="shared" si="0"/>
        <v>10</v>
      </c>
      <c r="AZ16" s="127">
        <f t="shared" si="1"/>
        <v>40</v>
      </c>
      <c r="BA16" s="127">
        <f t="shared" si="2"/>
        <v>50</v>
      </c>
      <c r="BB16" s="199">
        <f t="shared" si="3"/>
        <v>10</v>
      </c>
      <c r="BC16" s="127">
        <f t="shared" si="4"/>
        <v>40</v>
      </c>
      <c r="BD16" s="127">
        <f t="shared" si="5"/>
        <v>50</v>
      </c>
      <c r="BE16" s="199">
        <f t="shared" si="6"/>
        <v>100</v>
      </c>
      <c r="BF16" s="127">
        <f t="shared" si="7"/>
        <v>15</v>
      </c>
      <c r="BG16" s="127">
        <f t="shared" si="8"/>
        <v>25</v>
      </c>
      <c r="BH16" s="199">
        <f t="shared" si="9"/>
        <v>35</v>
      </c>
      <c r="BI16" s="127">
        <f t="shared" si="10"/>
        <v>15</v>
      </c>
      <c r="BJ16" s="127">
        <f t="shared" si="11"/>
        <v>25</v>
      </c>
      <c r="BK16" s="149">
        <f t="shared" si="12"/>
        <v>415</v>
      </c>
      <c r="BL16" s="199">
        <f t="shared" si="13"/>
        <v>100</v>
      </c>
      <c r="BM16" s="127">
        <f t="shared" si="14"/>
        <v>100</v>
      </c>
      <c r="BN16" s="127">
        <f t="shared" si="15"/>
        <v>140</v>
      </c>
      <c r="BO16" s="127">
        <f t="shared" si="16"/>
        <v>75</v>
      </c>
    </row>
    <row r="17" spans="1:67" ht="13.5" customHeight="1" thickTop="1" thickBot="1" x14ac:dyDescent="0.3">
      <c r="A17" s="36" t="s">
        <v>62</v>
      </c>
      <c r="B17" s="203" t="s">
        <v>646</v>
      </c>
      <c r="C17" s="122">
        <v>0</v>
      </c>
      <c r="D17" s="123">
        <v>15</v>
      </c>
      <c r="E17" s="123">
        <v>0</v>
      </c>
      <c r="F17" s="200">
        <v>0</v>
      </c>
      <c r="G17" s="123">
        <v>30</v>
      </c>
      <c r="H17" s="123">
        <v>0</v>
      </c>
      <c r="I17" s="200">
        <v>0</v>
      </c>
      <c r="J17" s="123">
        <v>15</v>
      </c>
      <c r="K17" s="123">
        <v>0</v>
      </c>
      <c r="L17" s="200">
        <v>0</v>
      </c>
      <c r="M17" s="123">
        <v>15</v>
      </c>
      <c r="N17" s="123">
        <v>0</v>
      </c>
      <c r="O17" s="122">
        <v>25</v>
      </c>
      <c r="P17" s="123">
        <v>55</v>
      </c>
      <c r="Q17" s="123">
        <v>40</v>
      </c>
      <c r="R17" s="200">
        <v>25</v>
      </c>
      <c r="S17" s="123">
        <v>70</v>
      </c>
      <c r="T17" s="123">
        <v>40</v>
      </c>
      <c r="U17" s="200">
        <v>0</v>
      </c>
      <c r="V17" s="123">
        <v>15</v>
      </c>
      <c r="W17" s="123">
        <v>0</v>
      </c>
      <c r="X17" s="200">
        <v>0</v>
      </c>
      <c r="Y17" s="123">
        <v>15</v>
      </c>
      <c r="Z17" s="123">
        <v>0</v>
      </c>
      <c r="AA17" s="122">
        <v>0</v>
      </c>
      <c r="AB17" s="123">
        <v>16</v>
      </c>
      <c r="AC17" s="123">
        <v>10</v>
      </c>
      <c r="AD17" s="200">
        <v>0</v>
      </c>
      <c r="AE17" s="123">
        <v>16</v>
      </c>
      <c r="AF17" s="123">
        <v>10</v>
      </c>
      <c r="AG17" s="200">
        <v>0</v>
      </c>
      <c r="AH17" s="123">
        <v>16</v>
      </c>
      <c r="AI17" s="123">
        <v>10</v>
      </c>
      <c r="AJ17" s="200">
        <v>0</v>
      </c>
      <c r="AK17" s="123">
        <v>16</v>
      </c>
      <c r="AL17" s="123">
        <v>10</v>
      </c>
      <c r="AM17" s="122">
        <v>0</v>
      </c>
      <c r="AN17" s="123">
        <v>0</v>
      </c>
      <c r="AO17" s="123">
        <v>0</v>
      </c>
      <c r="AP17" s="200">
        <v>0</v>
      </c>
      <c r="AQ17" s="123">
        <v>0</v>
      </c>
      <c r="AR17" s="123">
        <v>0</v>
      </c>
      <c r="AS17" s="200">
        <v>0</v>
      </c>
      <c r="AT17" s="123">
        <v>0</v>
      </c>
      <c r="AU17" s="123">
        <v>0</v>
      </c>
      <c r="AV17" s="200">
        <v>0</v>
      </c>
      <c r="AW17" s="123">
        <v>0</v>
      </c>
      <c r="AX17" s="123">
        <v>0</v>
      </c>
      <c r="AY17" s="126">
        <f t="shared" si="0"/>
        <v>25</v>
      </c>
      <c r="AZ17" s="127">
        <f t="shared" si="1"/>
        <v>71</v>
      </c>
      <c r="BA17" s="127">
        <f t="shared" si="2"/>
        <v>50</v>
      </c>
      <c r="BB17" s="199">
        <f t="shared" si="3"/>
        <v>25</v>
      </c>
      <c r="BC17" s="127">
        <f t="shared" si="4"/>
        <v>86</v>
      </c>
      <c r="BD17" s="127">
        <f t="shared" si="5"/>
        <v>50</v>
      </c>
      <c r="BE17" s="199">
        <f t="shared" si="6"/>
        <v>0</v>
      </c>
      <c r="BF17" s="127">
        <f t="shared" si="7"/>
        <v>31</v>
      </c>
      <c r="BG17" s="127">
        <f t="shared" si="8"/>
        <v>10</v>
      </c>
      <c r="BH17" s="199">
        <f t="shared" si="9"/>
        <v>0</v>
      </c>
      <c r="BI17" s="127">
        <f t="shared" si="10"/>
        <v>31</v>
      </c>
      <c r="BJ17" s="127">
        <f t="shared" si="11"/>
        <v>10</v>
      </c>
      <c r="BK17" s="149">
        <f t="shared" si="12"/>
        <v>389</v>
      </c>
      <c r="BL17" s="199">
        <f t="shared" si="13"/>
        <v>146</v>
      </c>
      <c r="BM17" s="127">
        <f t="shared" si="14"/>
        <v>161</v>
      </c>
      <c r="BN17" s="127">
        <f t="shared" si="15"/>
        <v>41</v>
      </c>
      <c r="BO17" s="127">
        <f t="shared" si="16"/>
        <v>41</v>
      </c>
    </row>
    <row r="18" spans="1:67" ht="13.5" customHeight="1" thickTop="1" thickBot="1" x14ac:dyDescent="0.3">
      <c r="A18" s="36" t="s">
        <v>63</v>
      </c>
      <c r="B18" s="203" t="s">
        <v>14</v>
      </c>
      <c r="C18" s="122">
        <v>0</v>
      </c>
      <c r="D18" s="123">
        <v>0</v>
      </c>
      <c r="E18" s="123">
        <v>15</v>
      </c>
      <c r="F18" s="200">
        <v>0</v>
      </c>
      <c r="G18" s="123">
        <v>0</v>
      </c>
      <c r="H18" s="123">
        <v>15</v>
      </c>
      <c r="I18" s="200">
        <v>0</v>
      </c>
      <c r="J18" s="123">
        <v>0</v>
      </c>
      <c r="K18" s="123">
        <v>15</v>
      </c>
      <c r="L18" s="200">
        <v>0</v>
      </c>
      <c r="M18" s="123">
        <v>0</v>
      </c>
      <c r="N18" s="123">
        <v>15</v>
      </c>
      <c r="O18" s="122">
        <v>15</v>
      </c>
      <c r="P18" s="123">
        <v>20</v>
      </c>
      <c r="Q18" s="123">
        <v>35</v>
      </c>
      <c r="R18" s="200">
        <v>15</v>
      </c>
      <c r="S18" s="123">
        <v>20</v>
      </c>
      <c r="T18" s="123">
        <v>35</v>
      </c>
      <c r="U18" s="200">
        <v>15</v>
      </c>
      <c r="V18" s="123">
        <v>20</v>
      </c>
      <c r="W18" s="123">
        <v>35</v>
      </c>
      <c r="X18" s="200">
        <v>15</v>
      </c>
      <c r="Y18" s="123">
        <v>20</v>
      </c>
      <c r="Z18" s="123">
        <v>35</v>
      </c>
      <c r="AA18" s="122">
        <v>0</v>
      </c>
      <c r="AB18" s="123">
        <v>10</v>
      </c>
      <c r="AC18" s="123">
        <v>16</v>
      </c>
      <c r="AD18" s="200">
        <v>0</v>
      </c>
      <c r="AE18" s="123">
        <v>10</v>
      </c>
      <c r="AF18" s="123">
        <v>16</v>
      </c>
      <c r="AG18" s="200">
        <v>0</v>
      </c>
      <c r="AH18" s="123">
        <v>10</v>
      </c>
      <c r="AI18" s="123">
        <v>16</v>
      </c>
      <c r="AJ18" s="200">
        <v>0</v>
      </c>
      <c r="AK18" s="123">
        <v>10</v>
      </c>
      <c r="AL18" s="123">
        <v>16</v>
      </c>
      <c r="AM18" s="122">
        <v>0</v>
      </c>
      <c r="AN18" s="123">
        <v>0</v>
      </c>
      <c r="AO18" s="123">
        <v>0</v>
      </c>
      <c r="AP18" s="200">
        <v>0</v>
      </c>
      <c r="AQ18" s="123">
        <v>0</v>
      </c>
      <c r="AR18" s="123">
        <v>0</v>
      </c>
      <c r="AS18" s="200">
        <v>0</v>
      </c>
      <c r="AT18" s="123">
        <v>0</v>
      </c>
      <c r="AU18" s="123">
        <v>0</v>
      </c>
      <c r="AV18" s="200">
        <v>0</v>
      </c>
      <c r="AW18" s="123">
        <v>0</v>
      </c>
      <c r="AX18" s="123">
        <v>0</v>
      </c>
      <c r="AY18" s="126">
        <f t="shared" si="0"/>
        <v>15</v>
      </c>
      <c r="AZ18" s="127">
        <f t="shared" si="1"/>
        <v>30</v>
      </c>
      <c r="BA18" s="127">
        <f t="shared" si="2"/>
        <v>51</v>
      </c>
      <c r="BB18" s="199">
        <f t="shared" si="3"/>
        <v>15</v>
      </c>
      <c r="BC18" s="127">
        <f t="shared" si="4"/>
        <v>30</v>
      </c>
      <c r="BD18" s="127">
        <f t="shared" si="5"/>
        <v>51</v>
      </c>
      <c r="BE18" s="199">
        <f t="shared" si="6"/>
        <v>15</v>
      </c>
      <c r="BF18" s="127">
        <f t="shared" si="7"/>
        <v>30</v>
      </c>
      <c r="BG18" s="127">
        <f t="shared" si="8"/>
        <v>51</v>
      </c>
      <c r="BH18" s="199">
        <f t="shared" si="9"/>
        <v>15</v>
      </c>
      <c r="BI18" s="127">
        <f t="shared" si="10"/>
        <v>30</v>
      </c>
      <c r="BJ18" s="127">
        <f t="shared" si="11"/>
        <v>51</v>
      </c>
      <c r="BK18" s="149">
        <f t="shared" si="12"/>
        <v>384</v>
      </c>
      <c r="BL18" s="199">
        <f t="shared" si="13"/>
        <v>96</v>
      </c>
      <c r="BM18" s="127">
        <f t="shared" si="14"/>
        <v>96</v>
      </c>
      <c r="BN18" s="127">
        <f t="shared" si="15"/>
        <v>96</v>
      </c>
      <c r="BO18" s="127">
        <f t="shared" si="16"/>
        <v>96</v>
      </c>
    </row>
    <row r="19" spans="1:67" ht="13.5" customHeight="1" thickTop="1" thickBot="1" x14ac:dyDescent="0.3">
      <c r="A19" s="36" t="s">
        <v>64</v>
      </c>
      <c r="B19" s="202" t="s">
        <v>27</v>
      </c>
      <c r="C19" s="122">
        <v>0</v>
      </c>
      <c r="D19" s="123">
        <v>0</v>
      </c>
      <c r="E19" s="123">
        <v>35</v>
      </c>
      <c r="F19" s="200">
        <v>0</v>
      </c>
      <c r="G19" s="123">
        <v>0</v>
      </c>
      <c r="H19" s="123">
        <v>0</v>
      </c>
      <c r="I19" s="200">
        <v>35</v>
      </c>
      <c r="J19" s="123">
        <v>0</v>
      </c>
      <c r="K19" s="123">
        <v>0</v>
      </c>
      <c r="L19" s="200">
        <v>0</v>
      </c>
      <c r="M19" s="123">
        <v>0</v>
      </c>
      <c r="N19" s="123">
        <v>0</v>
      </c>
      <c r="O19" s="122">
        <v>0</v>
      </c>
      <c r="P19" s="123">
        <v>20</v>
      </c>
      <c r="Q19" s="123">
        <v>90</v>
      </c>
      <c r="R19" s="200">
        <v>0</v>
      </c>
      <c r="S19" s="123">
        <v>20</v>
      </c>
      <c r="T19" s="123">
        <v>20</v>
      </c>
      <c r="U19" s="200">
        <v>70</v>
      </c>
      <c r="V19" s="123">
        <v>15</v>
      </c>
      <c r="W19" s="123">
        <v>15</v>
      </c>
      <c r="X19" s="200">
        <v>0</v>
      </c>
      <c r="Y19" s="123">
        <v>15</v>
      </c>
      <c r="Z19" s="123">
        <v>15</v>
      </c>
      <c r="AA19" s="122">
        <v>10</v>
      </c>
      <c r="AB19" s="123">
        <v>0</v>
      </c>
      <c r="AC19" s="123">
        <v>30</v>
      </c>
      <c r="AD19" s="200">
        <v>10</v>
      </c>
      <c r="AE19" s="123">
        <v>0</v>
      </c>
      <c r="AF19" s="123">
        <v>0</v>
      </c>
      <c r="AG19" s="200">
        <v>40</v>
      </c>
      <c r="AH19" s="123">
        <v>0</v>
      </c>
      <c r="AI19" s="123">
        <v>0</v>
      </c>
      <c r="AJ19" s="200">
        <v>10</v>
      </c>
      <c r="AK19" s="123">
        <v>0</v>
      </c>
      <c r="AL19" s="123">
        <v>0</v>
      </c>
      <c r="AM19" s="122">
        <v>0</v>
      </c>
      <c r="AN19" s="123">
        <v>0</v>
      </c>
      <c r="AO19" s="123">
        <v>0</v>
      </c>
      <c r="AP19" s="200">
        <v>0</v>
      </c>
      <c r="AQ19" s="123">
        <v>0</v>
      </c>
      <c r="AR19" s="123">
        <v>0</v>
      </c>
      <c r="AS19" s="200">
        <v>0</v>
      </c>
      <c r="AT19" s="123">
        <v>0</v>
      </c>
      <c r="AU19" s="123">
        <v>0</v>
      </c>
      <c r="AV19" s="200">
        <v>0</v>
      </c>
      <c r="AW19" s="123">
        <v>0</v>
      </c>
      <c r="AX19" s="123">
        <v>0</v>
      </c>
      <c r="AY19" s="126">
        <f t="shared" si="0"/>
        <v>10</v>
      </c>
      <c r="AZ19" s="127">
        <f t="shared" si="1"/>
        <v>20</v>
      </c>
      <c r="BA19" s="127">
        <f t="shared" si="2"/>
        <v>120</v>
      </c>
      <c r="BB19" s="199">
        <f t="shared" si="3"/>
        <v>10</v>
      </c>
      <c r="BC19" s="127">
        <f t="shared" si="4"/>
        <v>20</v>
      </c>
      <c r="BD19" s="127">
        <f t="shared" si="5"/>
        <v>20</v>
      </c>
      <c r="BE19" s="199">
        <f t="shared" si="6"/>
        <v>110</v>
      </c>
      <c r="BF19" s="127">
        <f t="shared" si="7"/>
        <v>15</v>
      </c>
      <c r="BG19" s="127">
        <f t="shared" si="8"/>
        <v>15</v>
      </c>
      <c r="BH19" s="199">
        <f t="shared" si="9"/>
        <v>10</v>
      </c>
      <c r="BI19" s="127">
        <f t="shared" si="10"/>
        <v>15</v>
      </c>
      <c r="BJ19" s="127">
        <f t="shared" si="11"/>
        <v>15</v>
      </c>
      <c r="BK19" s="149">
        <f t="shared" si="12"/>
        <v>380</v>
      </c>
      <c r="BL19" s="199">
        <f t="shared" si="13"/>
        <v>150</v>
      </c>
      <c r="BM19" s="127">
        <f t="shared" si="14"/>
        <v>50</v>
      </c>
      <c r="BN19" s="127">
        <f t="shared" si="15"/>
        <v>140</v>
      </c>
      <c r="BO19" s="127">
        <f t="shared" si="16"/>
        <v>40</v>
      </c>
    </row>
    <row r="20" spans="1:67" ht="13.5" customHeight="1" thickTop="1" thickBot="1" x14ac:dyDescent="0.3">
      <c r="A20" s="36" t="s">
        <v>65</v>
      </c>
      <c r="B20" s="202" t="s">
        <v>38</v>
      </c>
      <c r="C20" s="122">
        <v>0</v>
      </c>
      <c r="D20" s="123">
        <v>0</v>
      </c>
      <c r="E20" s="123">
        <v>0</v>
      </c>
      <c r="F20" s="200">
        <v>0</v>
      </c>
      <c r="G20" s="123">
        <v>0</v>
      </c>
      <c r="H20" s="123">
        <v>0</v>
      </c>
      <c r="I20" s="200">
        <v>30</v>
      </c>
      <c r="J20" s="123">
        <v>0</v>
      </c>
      <c r="K20" s="123">
        <v>0</v>
      </c>
      <c r="L20" s="200">
        <v>20</v>
      </c>
      <c r="M20" s="123">
        <v>0</v>
      </c>
      <c r="N20" s="123">
        <v>0</v>
      </c>
      <c r="O20" s="122">
        <v>0</v>
      </c>
      <c r="P20" s="123">
        <v>0</v>
      </c>
      <c r="Q20" s="123">
        <v>0</v>
      </c>
      <c r="R20" s="200">
        <v>0</v>
      </c>
      <c r="S20" s="123">
        <v>0</v>
      </c>
      <c r="T20" s="123">
        <v>0</v>
      </c>
      <c r="U20" s="200">
        <v>55</v>
      </c>
      <c r="V20" s="123">
        <v>30</v>
      </c>
      <c r="W20" s="123">
        <v>35</v>
      </c>
      <c r="X20" s="200">
        <v>45</v>
      </c>
      <c r="Y20" s="123">
        <v>30</v>
      </c>
      <c r="Z20" s="123">
        <v>35</v>
      </c>
      <c r="AA20" s="122">
        <v>10</v>
      </c>
      <c r="AB20" s="123">
        <v>0</v>
      </c>
      <c r="AC20" s="123">
        <v>0</v>
      </c>
      <c r="AD20" s="200">
        <v>10</v>
      </c>
      <c r="AE20" s="123">
        <v>0</v>
      </c>
      <c r="AF20" s="123">
        <v>0</v>
      </c>
      <c r="AG20" s="200">
        <v>30</v>
      </c>
      <c r="AH20" s="123">
        <v>0</v>
      </c>
      <c r="AI20" s="123">
        <v>10</v>
      </c>
      <c r="AJ20" s="200">
        <v>30</v>
      </c>
      <c r="AK20" s="123">
        <v>0</v>
      </c>
      <c r="AL20" s="123">
        <v>10</v>
      </c>
      <c r="AM20" s="122">
        <v>0</v>
      </c>
      <c r="AN20" s="123">
        <v>0</v>
      </c>
      <c r="AO20" s="123">
        <v>10</v>
      </c>
      <c r="AP20" s="200">
        <v>0</v>
      </c>
      <c r="AQ20" s="123">
        <v>0</v>
      </c>
      <c r="AR20" s="123">
        <v>10</v>
      </c>
      <c r="AS20" s="200">
        <v>5</v>
      </c>
      <c r="AT20" s="123">
        <v>0</v>
      </c>
      <c r="AU20" s="123">
        <v>0</v>
      </c>
      <c r="AV20" s="200">
        <v>5</v>
      </c>
      <c r="AW20" s="123">
        <v>0</v>
      </c>
      <c r="AX20" s="123">
        <v>0</v>
      </c>
      <c r="AY20" s="126">
        <f t="shared" si="0"/>
        <v>10</v>
      </c>
      <c r="AZ20" s="127">
        <f t="shared" si="1"/>
        <v>0</v>
      </c>
      <c r="BA20" s="127">
        <f t="shared" si="2"/>
        <v>10</v>
      </c>
      <c r="BB20" s="199">
        <f t="shared" si="3"/>
        <v>10</v>
      </c>
      <c r="BC20" s="127">
        <f t="shared" si="4"/>
        <v>0</v>
      </c>
      <c r="BD20" s="127">
        <f t="shared" si="5"/>
        <v>10</v>
      </c>
      <c r="BE20" s="199">
        <f t="shared" si="6"/>
        <v>90</v>
      </c>
      <c r="BF20" s="127">
        <f t="shared" si="7"/>
        <v>30</v>
      </c>
      <c r="BG20" s="127">
        <f t="shared" si="8"/>
        <v>45</v>
      </c>
      <c r="BH20" s="199">
        <f t="shared" si="9"/>
        <v>80</v>
      </c>
      <c r="BI20" s="127">
        <f t="shared" si="10"/>
        <v>30</v>
      </c>
      <c r="BJ20" s="127">
        <f t="shared" si="11"/>
        <v>45</v>
      </c>
      <c r="BK20" s="149">
        <f t="shared" si="12"/>
        <v>360</v>
      </c>
      <c r="BL20" s="199">
        <f t="shared" si="13"/>
        <v>20</v>
      </c>
      <c r="BM20" s="127">
        <f t="shared" si="14"/>
        <v>20</v>
      </c>
      <c r="BN20" s="127">
        <f t="shared" si="15"/>
        <v>165</v>
      </c>
      <c r="BO20" s="127">
        <f t="shared" si="16"/>
        <v>155</v>
      </c>
    </row>
    <row r="21" spans="1:67" ht="13.5" customHeight="1" thickTop="1" thickBot="1" x14ac:dyDescent="0.3">
      <c r="A21" s="36" t="s">
        <v>66</v>
      </c>
      <c r="B21" s="202" t="s">
        <v>644</v>
      </c>
      <c r="C21" s="122">
        <v>25</v>
      </c>
      <c r="D21" s="123">
        <v>0</v>
      </c>
      <c r="E21" s="123">
        <v>0</v>
      </c>
      <c r="F21" s="200">
        <v>0</v>
      </c>
      <c r="G21" s="123">
        <v>0</v>
      </c>
      <c r="H21" s="123">
        <v>0</v>
      </c>
      <c r="I21" s="200">
        <v>0</v>
      </c>
      <c r="J21" s="123">
        <v>0</v>
      </c>
      <c r="K21" s="123">
        <v>0</v>
      </c>
      <c r="L21" s="200">
        <v>0</v>
      </c>
      <c r="M21" s="123">
        <v>30</v>
      </c>
      <c r="N21" s="123">
        <v>30</v>
      </c>
      <c r="O21" s="122">
        <v>65</v>
      </c>
      <c r="P21" s="123">
        <v>10</v>
      </c>
      <c r="Q21" s="123">
        <v>10</v>
      </c>
      <c r="R21" s="200">
        <v>15</v>
      </c>
      <c r="S21" s="123">
        <v>10</v>
      </c>
      <c r="T21" s="123">
        <v>10</v>
      </c>
      <c r="U21" s="200">
        <v>0</v>
      </c>
      <c r="V21" s="123">
        <v>0</v>
      </c>
      <c r="W21" s="123">
        <v>0</v>
      </c>
      <c r="X21" s="200">
        <v>0</v>
      </c>
      <c r="Y21" s="123">
        <v>55</v>
      </c>
      <c r="Z21" s="123">
        <v>55</v>
      </c>
      <c r="AA21" s="122">
        <v>45</v>
      </c>
      <c r="AB21" s="123">
        <v>0</v>
      </c>
      <c r="AC21" s="123">
        <v>0</v>
      </c>
      <c r="AD21" s="200">
        <v>10</v>
      </c>
      <c r="AE21" s="123">
        <v>0</v>
      </c>
      <c r="AF21" s="123">
        <v>0</v>
      </c>
      <c r="AG21" s="200">
        <v>10</v>
      </c>
      <c r="AH21" s="123">
        <v>0</v>
      </c>
      <c r="AI21" s="123">
        <v>0</v>
      </c>
      <c r="AJ21" s="200">
        <v>10</v>
      </c>
      <c r="AK21" s="123">
        <v>20</v>
      </c>
      <c r="AL21" s="123">
        <v>20</v>
      </c>
      <c r="AM21" s="122">
        <v>0</v>
      </c>
      <c r="AN21" s="123">
        <v>0</v>
      </c>
      <c r="AO21" s="123">
        <v>0</v>
      </c>
      <c r="AP21" s="200">
        <v>0</v>
      </c>
      <c r="AQ21" s="123">
        <v>0</v>
      </c>
      <c r="AR21" s="123">
        <v>0</v>
      </c>
      <c r="AS21" s="200">
        <v>0</v>
      </c>
      <c r="AT21" s="123">
        <v>0</v>
      </c>
      <c r="AU21" s="123">
        <v>0</v>
      </c>
      <c r="AV21" s="200">
        <v>0</v>
      </c>
      <c r="AW21" s="123">
        <v>0</v>
      </c>
      <c r="AX21" s="123">
        <v>0</v>
      </c>
      <c r="AY21" s="126">
        <f t="shared" si="0"/>
        <v>110</v>
      </c>
      <c r="AZ21" s="127">
        <f t="shared" si="1"/>
        <v>10</v>
      </c>
      <c r="BA21" s="127">
        <f t="shared" si="2"/>
        <v>10</v>
      </c>
      <c r="BB21" s="199">
        <f t="shared" si="3"/>
        <v>25</v>
      </c>
      <c r="BC21" s="127">
        <f t="shared" si="4"/>
        <v>10</v>
      </c>
      <c r="BD21" s="127">
        <f t="shared" si="5"/>
        <v>10</v>
      </c>
      <c r="BE21" s="199">
        <f t="shared" si="6"/>
        <v>10</v>
      </c>
      <c r="BF21" s="127">
        <f t="shared" si="7"/>
        <v>0</v>
      </c>
      <c r="BG21" s="127">
        <f t="shared" si="8"/>
        <v>0</v>
      </c>
      <c r="BH21" s="199">
        <f t="shared" si="9"/>
        <v>10</v>
      </c>
      <c r="BI21" s="127">
        <f t="shared" si="10"/>
        <v>75</v>
      </c>
      <c r="BJ21" s="127">
        <f t="shared" si="11"/>
        <v>75</v>
      </c>
      <c r="BK21" s="149">
        <f t="shared" si="12"/>
        <v>345</v>
      </c>
      <c r="BL21" s="199">
        <f t="shared" si="13"/>
        <v>130</v>
      </c>
      <c r="BM21" s="127">
        <f t="shared" si="14"/>
        <v>45</v>
      </c>
      <c r="BN21" s="127">
        <f t="shared" si="15"/>
        <v>10</v>
      </c>
      <c r="BO21" s="127">
        <f t="shared" si="16"/>
        <v>160</v>
      </c>
    </row>
    <row r="22" spans="1:67" ht="13.5" customHeight="1" thickTop="1" thickBot="1" x14ac:dyDescent="0.3">
      <c r="A22" s="36" t="s">
        <v>67</v>
      </c>
      <c r="B22" s="202" t="s">
        <v>10</v>
      </c>
      <c r="C22" s="122">
        <v>15</v>
      </c>
      <c r="D22" s="123">
        <v>0</v>
      </c>
      <c r="E22" s="123">
        <v>0</v>
      </c>
      <c r="F22" s="200">
        <v>15</v>
      </c>
      <c r="G22" s="123">
        <v>0</v>
      </c>
      <c r="H22" s="123">
        <v>0</v>
      </c>
      <c r="I22" s="200">
        <v>15</v>
      </c>
      <c r="J22" s="123">
        <v>0</v>
      </c>
      <c r="K22" s="123">
        <v>0</v>
      </c>
      <c r="L22" s="200">
        <v>15</v>
      </c>
      <c r="M22" s="123">
        <v>0</v>
      </c>
      <c r="N22" s="123">
        <v>0</v>
      </c>
      <c r="O22" s="122">
        <v>40</v>
      </c>
      <c r="P22" s="123">
        <v>10</v>
      </c>
      <c r="Q22" s="123">
        <v>10</v>
      </c>
      <c r="R22" s="200">
        <v>55</v>
      </c>
      <c r="S22" s="123">
        <v>10</v>
      </c>
      <c r="T22" s="123">
        <v>10</v>
      </c>
      <c r="U22" s="200">
        <v>40</v>
      </c>
      <c r="V22" s="123">
        <v>10</v>
      </c>
      <c r="W22" s="123">
        <v>10</v>
      </c>
      <c r="X22" s="200">
        <v>25</v>
      </c>
      <c r="Y22" s="123">
        <v>10</v>
      </c>
      <c r="Z22" s="123">
        <v>10</v>
      </c>
      <c r="AA22" s="122">
        <v>16</v>
      </c>
      <c r="AB22" s="123">
        <v>0</v>
      </c>
      <c r="AC22" s="123">
        <v>10</v>
      </c>
      <c r="AD22" s="200">
        <v>16</v>
      </c>
      <c r="AE22" s="123">
        <v>0</v>
      </c>
      <c r="AF22" s="123">
        <v>10</v>
      </c>
      <c r="AG22" s="200">
        <v>16</v>
      </c>
      <c r="AH22" s="123">
        <v>0</v>
      </c>
      <c r="AI22" s="123">
        <v>10</v>
      </c>
      <c r="AJ22" s="200">
        <v>16</v>
      </c>
      <c r="AK22" s="123">
        <v>0</v>
      </c>
      <c r="AL22" s="123">
        <v>10</v>
      </c>
      <c r="AM22" s="122">
        <v>0</v>
      </c>
      <c r="AN22" s="123">
        <v>0</v>
      </c>
      <c r="AO22" s="123">
        <v>0</v>
      </c>
      <c r="AP22" s="200">
        <v>0</v>
      </c>
      <c r="AQ22" s="123">
        <v>0</v>
      </c>
      <c r="AR22" s="123">
        <v>0</v>
      </c>
      <c r="AS22" s="200">
        <v>0</v>
      </c>
      <c r="AT22" s="123">
        <v>0</v>
      </c>
      <c r="AU22" s="123">
        <v>0</v>
      </c>
      <c r="AV22" s="200">
        <v>0</v>
      </c>
      <c r="AW22" s="123">
        <v>0</v>
      </c>
      <c r="AX22" s="123">
        <v>0</v>
      </c>
      <c r="AY22" s="126">
        <f t="shared" si="0"/>
        <v>56</v>
      </c>
      <c r="AZ22" s="127">
        <f t="shared" si="1"/>
        <v>10</v>
      </c>
      <c r="BA22" s="127">
        <f t="shared" si="2"/>
        <v>20</v>
      </c>
      <c r="BB22" s="199">
        <f t="shared" si="3"/>
        <v>71</v>
      </c>
      <c r="BC22" s="127">
        <f t="shared" si="4"/>
        <v>10</v>
      </c>
      <c r="BD22" s="127">
        <f t="shared" si="5"/>
        <v>20</v>
      </c>
      <c r="BE22" s="199">
        <f t="shared" si="6"/>
        <v>56</v>
      </c>
      <c r="BF22" s="127">
        <f t="shared" si="7"/>
        <v>10</v>
      </c>
      <c r="BG22" s="127">
        <f t="shared" si="8"/>
        <v>20</v>
      </c>
      <c r="BH22" s="199">
        <f t="shared" si="9"/>
        <v>41</v>
      </c>
      <c r="BI22" s="127">
        <f t="shared" si="10"/>
        <v>10</v>
      </c>
      <c r="BJ22" s="127">
        <f t="shared" si="11"/>
        <v>20</v>
      </c>
      <c r="BK22" s="149">
        <f t="shared" si="12"/>
        <v>344</v>
      </c>
      <c r="BL22" s="199">
        <f t="shared" si="13"/>
        <v>86</v>
      </c>
      <c r="BM22" s="127">
        <f t="shared" si="14"/>
        <v>101</v>
      </c>
      <c r="BN22" s="127">
        <f t="shared" si="15"/>
        <v>86</v>
      </c>
      <c r="BO22" s="127">
        <f t="shared" si="16"/>
        <v>71</v>
      </c>
    </row>
    <row r="23" spans="1:67" ht="13.5" customHeight="1" thickTop="1" thickBot="1" x14ac:dyDescent="0.3">
      <c r="A23" s="36" t="s">
        <v>68</v>
      </c>
      <c r="B23" s="202" t="s">
        <v>19</v>
      </c>
      <c r="C23" s="122">
        <v>0</v>
      </c>
      <c r="D23" s="123">
        <v>20</v>
      </c>
      <c r="E23" s="123">
        <v>0</v>
      </c>
      <c r="F23" s="200">
        <v>0</v>
      </c>
      <c r="G23" s="123">
        <v>20</v>
      </c>
      <c r="H23" s="123">
        <v>0</v>
      </c>
      <c r="I23" s="200">
        <v>10</v>
      </c>
      <c r="J23" s="123">
        <v>0</v>
      </c>
      <c r="K23" s="123">
        <v>0</v>
      </c>
      <c r="L23" s="200">
        <v>10</v>
      </c>
      <c r="M23" s="123">
        <v>0</v>
      </c>
      <c r="N23" s="123">
        <v>0</v>
      </c>
      <c r="O23" s="122">
        <v>0</v>
      </c>
      <c r="P23" s="123">
        <v>45</v>
      </c>
      <c r="Q23" s="123">
        <v>20</v>
      </c>
      <c r="R23" s="200">
        <v>0</v>
      </c>
      <c r="S23" s="123">
        <v>45</v>
      </c>
      <c r="T23" s="123">
        <v>20</v>
      </c>
      <c r="U23" s="200">
        <v>20</v>
      </c>
      <c r="V23" s="123">
        <v>20</v>
      </c>
      <c r="W23" s="123">
        <v>20</v>
      </c>
      <c r="X23" s="200">
        <v>20</v>
      </c>
      <c r="Y23" s="123">
        <v>20</v>
      </c>
      <c r="Z23" s="123">
        <v>20</v>
      </c>
      <c r="AA23" s="122">
        <v>0</v>
      </c>
      <c r="AB23" s="123">
        <v>10</v>
      </c>
      <c r="AC23" s="123">
        <v>0</v>
      </c>
      <c r="AD23" s="200">
        <v>0</v>
      </c>
      <c r="AE23" s="123">
        <v>10</v>
      </c>
      <c r="AF23" s="123">
        <v>0</v>
      </c>
      <c r="AG23" s="200">
        <v>0</v>
      </c>
      <c r="AH23" s="123">
        <v>10</v>
      </c>
      <c r="AI23" s="123">
        <v>25</v>
      </c>
      <c r="AJ23" s="200">
        <v>0</v>
      </c>
      <c r="AK23" s="123">
        <v>10</v>
      </c>
      <c r="AL23" s="123">
        <v>25</v>
      </c>
      <c r="AM23" s="122">
        <v>0</v>
      </c>
      <c r="AN23" s="123">
        <v>0</v>
      </c>
      <c r="AO23" s="123">
        <v>0</v>
      </c>
      <c r="AP23" s="200">
        <v>0</v>
      </c>
      <c r="AQ23" s="123">
        <v>0</v>
      </c>
      <c r="AR23" s="123">
        <v>0</v>
      </c>
      <c r="AS23" s="200">
        <v>0</v>
      </c>
      <c r="AT23" s="123">
        <v>0</v>
      </c>
      <c r="AU23" s="123">
        <v>0</v>
      </c>
      <c r="AV23" s="200">
        <v>0</v>
      </c>
      <c r="AW23" s="123">
        <v>0</v>
      </c>
      <c r="AX23" s="123">
        <v>0</v>
      </c>
      <c r="AY23" s="126">
        <f t="shared" si="0"/>
        <v>0</v>
      </c>
      <c r="AZ23" s="127">
        <f t="shared" si="1"/>
        <v>55</v>
      </c>
      <c r="BA23" s="127">
        <f t="shared" si="2"/>
        <v>20</v>
      </c>
      <c r="BB23" s="199">
        <f t="shared" si="3"/>
        <v>0</v>
      </c>
      <c r="BC23" s="127">
        <f t="shared" si="4"/>
        <v>55</v>
      </c>
      <c r="BD23" s="127">
        <f t="shared" si="5"/>
        <v>20</v>
      </c>
      <c r="BE23" s="199">
        <f t="shared" si="6"/>
        <v>20</v>
      </c>
      <c r="BF23" s="127">
        <f t="shared" si="7"/>
        <v>30</v>
      </c>
      <c r="BG23" s="127">
        <f t="shared" si="8"/>
        <v>45</v>
      </c>
      <c r="BH23" s="199">
        <f t="shared" si="9"/>
        <v>20</v>
      </c>
      <c r="BI23" s="127">
        <f t="shared" si="10"/>
        <v>30</v>
      </c>
      <c r="BJ23" s="127">
        <f t="shared" si="11"/>
        <v>45</v>
      </c>
      <c r="BK23" s="149">
        <f t="shared" si="12"/>
        <v>340</v>
      </c>
      <c r="BL23" s="199">
        <f t="shared" si="13"/>
        <v>75</v>
      </c>
      <c r="BM23" s="127">
        <f t="shared" si="14"/>
        <v>75</v>
      </c>
      <c r="BN23" s="127">
        <f t="shared" si="15"/>
        <v>95</v>
      </c>
      <c r="BO23" s="127">
        <f t="shared" si="16"/>
        <v>95</v>
      </c>
    </row>
    <row r="24" spans="1:67" ht="13.5" customHeight="1" thickTop="1" thickBot="1" x14ac:dyDescent="0.3">
      <c r="A24" s="36" t="s">
        <v>69</v>
      </c>
      <c r="B24" s="204" t="s">
        <v>643</v>
      </c>
      <c r="C24" s="122">
        <v>20</v>
      </c>
      <c r="D24" s="123">
        <v>0</v>
      </c>
      <c r="E24" s="123">
        <v>0</v>
      </c>
      <c r="F24" s="200">
        <v>20</v>
      </c>
      <c r="G24" s="123">
        <v>0</v>
      </c>
      <c r="H24" s="123">
        <v>0</v>
      </c>
      <c r="I24" s="200">
        <v>0</v>
      </c>
      <c r="J24" s="123">
        <v>0</v>
      </c>
      <c r="K24" s="123">
        <v>0</v>
      </c>
      <c r="L24" s="200">
        <v>0</v>
      </c>
      <c r="M24" s="123">
        <v>0</v>
      </c>
      <c r="N24" s="123">
        <v>0</v>
      </c>
      <c r="O24" s="122">
        <v>60</v>
      </c>
      <c r="P24" s="123">
        <v>40</v>
      </c>
      <c r="Q24" s="123">
        <v>45</v>
      </c>
      <c r="R24" s="200">
        <v>60</v>
      </c>
      <c r="S24" s="123">
        <v>40</v>
      </c>
      <c r="T24" s="123">
        <v>45</v>
      </c>
      <c r="U24" s="200">
        <v>0</v>
      </c>
      <c r="V24" s="123">
        <v>0</v>
      </c>
      <c r="W24" s="123">
        <v>0</v>
      </c>
      <c r="X24" s="200">
        <v>0</v>
      </c>
      <c r="Y24" s="123">
        <v>0</v>
      </c>
      <c r="Z24" s="123">
        <v>0</v>
      </c>
      <c r="AA24" s="122">
        <v>20</v>
      </c>
      <c r="AB24" s="123">
        <v>0</v>
      </c>
      <c r="AC24" s="123">
        <v>0</v>
      </c>
      <c r="AD24" s="200">
        <v>20</v>
      </c>
      <c r="AE24" s="123">
        <v>0</v>
      </c>
      <c r="AF24" s="123">
        <v>0</v>
      </c>
      <c r="AG24" s="200">
        <v>0</v>
      </c>
      <c r="AH24" s="123">
        <v>0</v>
      </c>
      <c r="AI24" s="123">
        <v>0</v>
      </c>
      <c r="AJ24" s="200">
        <v>0</v>
      </c>
      <c r="AK24" s="123">
        <v>0</v>
      </c>
      <c r="AL24" s="123">
        <v>0</v>
      </c>
      <c r="AM24" s="122">
        <v>0</v>
      </c>
      <c r="AN24" s="123">
        <v>0</v>
      </c>
      <c r="AO24" s="123">
        <v>0</v>
      </c>
      <c r="AP24" s="200">
        <v>0</v>
      </c>
      <c r="AQ24" s="123">
        <v>0</v>
      </c>
      <c r="AR24" s="123">
        <v>0</v>
      </c>
      <c r="AS24" s="200">
        <v>0</v>
      </c>
      <c r="AT24" s="123">
        <v>0</v>
      </c>
      <c r="AU24" s="123">
        <v>0</v>
      </c>
      <c r="AV24" s="200">
        <v>0</v>
      </c>
      <c r="AW24" s="123">
        <v>0</v>
      </c>
      <c r="AX24" s="123">
        <v>0</v>
      </c>
      <c r="AY24" s="126">
        <f t="shared" si="0"/>
        <v>80</v>
      </c>
      <c r="AZ24" s="127">
        <f t="shared" si="1"/>
        <v>40</v>
      </c>
      <c r="BA24" s="127">
        <f t="shared" si="2"/>
        <v>45</v>
      </c>
      <c r="BB24" s="199">
        <f t="shared" si="3"/>
        <v>80</v>
      </c>
      <c r="BC24" s="127">
        <f t="shared" si="4"/>
        <v>40</v>
      </c>
      <c r="BD24" s="127">
        <f t="shared" si="5"/>
        <v>45</v>
      </c>
      <c r="BE24" s="199">
        <f t="shared" si="6"/>
        <v>0</v>
      </c>
      <c r="BF24" s="127">
        <f t="shared" si="7"/>
        <v>0</v>
      </c>
      <c r="BG24" s="127">
        <f t="shared" si="8"/>
        <v>0</v>
      </c>
      <c r="BH24" s="199">
        <f t="shared" si="9"/>
        <v>0</v>
      </c>
      <c r="BI24" s="127">
        <f t="shared" si="10"/>
        <v>0</v>
      </c>
      <c r="BJ24" s="127">
        <f t="shared" si="11"/>
        <v>0</v>
      </c>
      <c r="BK24" s="149">
        <f t="shared" si="12"/>
        <v>330</v>
      </c>
      <c r="BL24" s="199">
        <f t="shared" si="13"/>
        <v>165</v>
      </c>
      <c r="BM24" s="127">
        <f t="shared" si="14"/>
        <v>165</v>
      </c>
      <c r="BN24" s="127">
        <f t="shared" si="15"/>
        <v>0</v>
      </c>
      <c r="BO24" s="127">
        <f t="shared" si="16"/>
        <v>0</v>
      </c>
    </row>
    <row r="25" spans="1:67" ht="13.5" customHeight="1" thickTop="1" thickBot="1" x14ac:dyDescent="0.3">
      <c r="A25" s="36" t="s">
        <v>70</v>
      </c>
      <c r="B25" s="203" t="s">
        <v>17</v>
      </c>
      <c r="C25" s="122">
        <v>10</v>
      </c>
      <c r="D25" s="123">
        <v>0</v>
      </c>
      <c r="E25" s="123">
        <v>10</v>
      </c>
      <c r="F25" s="200">
        <v>10</v>
      </c>
      <c r="G25" s="123">
        <v>0</v>
      </c>
      <c r="H25" s="123">
        <v>10</v>
      </c>
      <c r="I25" s="200">
        <v>10</v>
      </c>
      <c r="J25" s="123">
        <v>0</v>
      </c>
      <c r="K25" s="123">
        <v>10</v>
      </c>
      <c r="L25" s="200">
        <v>10</v>
      </c>
      <c r="M25" s="123">
        <v>0</v>
      </c>
      <c r="N25" s="123">
        <v>10</v>
      </c>
      <c r="O25" s="122">
        <v>20</v>
      </c>
      <c r="P25" s="123">
        <v>20</v>
      </c>
      <c r="Q25" s="123">
        <v>20</v>
      </c>
      <c r="R25" s="200">
        <v>20</v>
      </c>
      <c r="S25" s="123">
        <v>20</v>
      </c>
      <c r="T25" s="123">
        <v>20</v>
      </c>
      <c r="U25" s="200">
        <v>20</v>
      </c>
      <c r="V25" s="123">
        <v>20</v>
      </c>
      <c r="W25" s="123">
        <v>20</v>
      </c>
      <c r="X25" s="200">
        <v>20</v>
      </c>
      <c r="Y25" s="123">
        <v>20</v>
      </c>
      <c r="Z25" s="123">
        <v>20</v>
      </c>
      <c r="AA25" s="122">
        <v>0</v>
      </c>
      <c r="AB25" s="123">
        <v>20</v>
      </c>
      <c r="AC25" s="123">
        <v>0</v>
      </c>
      <c r="AD25" s="200">
        <v>0</v>
      </c>
      <c r="AE25" s="123">
        <v>20</v>
      </c>
      <c r="AF25" s="123">
        <v>0</v>
      </c>
      <c r="AG25" s="200">
        <v>0</v>
      </c>
      <c r="AH25" s="123">
        <v>20</v>
      </c>
      <c r="AI25" s="123">
        <v>0</v>
      </c>
      <c r="AJ25" s="200">
        <v>0</v>
      </c>
      <c r="AK25" s="123">
        <v>20</v>
      </c>
      <c r="AL25" s="123">
        <v>0</v>
      </c>
      <c r="AM25" s="122">
        <v>0</v>
      </c>
      <c r="AN25" s="123">
        <v>0</v>
      </c>
      <c r="AO25" s="123">
        <v>0</v>
      </c>
      <c r="AP25" s="200">
        <v>0</v>
      </c>
      <c r="AQ25" s="123">
        <v>0</v>
      </c>
      <c r="AR25" s="123">
        <v>0</v>
      </c>
      <c r="AS25" s="200">
        <v>0</v>
      </c>
      <c r="AT25" s="123">
        <v>0</v>
      </c>
      <c r="AU25" s="123">
        <v>0</v>
      </c>
      <c r="AV25" s="200">
        <v>0</v>
      </c>
      <c r="AW25" s="123">
        <v>0</v>
      </c>
      <c r="AX25" s="123">
        <v>0</v>
      </c>
      <c r="AY25" s="126">
        <f t="shared" si="0"/>
        <v>20</v>
      </c>
      <c r="AZ25" s="127">
        <f t="shared" si="1"/>
        <v>40</v>
      </c>
      <c r="BA25" s="127">
        <f t="shared" si="2"/>
        <v>20</v>
      </c>
      <c r="BB25" s="199">
        <f t="shared" si="3"/>
        <v>20</v>
      </c>
      <c r="BC25" s="127">
        <f t="shared" si="4"/>
        <v>40</v>
      </c>
      <c r="BD25" s="127">
        <f t="shared" si="5"/>
        <v>20</v>
      </c>
      <c r="BE25" s="199">
        <f t="shared" si="6"/>
        <v>20</v>
      </c>
      <c r="BF25" s="127">
        <f t="shared" si="7"/>
        <v>40</v>
      </c>
      <c r="BG25" s="127">
        <f t="shared" si="8"/>
        <v>20</v>
      </c>
      <c r="BH25" s="199">
        <f t="shared" si="9"/>
        <v>20</v>
      </c>
      <c r="BI25" s="127">
        <f t="shared" si="10"/>
        <v>40</v>
      </c>
      <c r="BJ25" s="127">
        <f t="shared" si="11"/>
        <v>20</v>
      </c>
      <c r="BK25" s="149">
        <f t="shared" si="12"/>
        <v>320</v>
      </c>
      <c r="BL25" s="199">
        <f t="shared" si="13"/>
        <v>80</v>
      </c>
      <c r="BM25" s="127">
        <f t="shared" si="14"/>
        <v>80</v>
      </c>
      <c r="BN25" s="127">
        <f t="shared" si="15"/>
        <v>80</v>
      </c>
      <c r="BO25" s="127">
        <f t="shared" si="16"/>
        <v>80</v>
      </c>
    </row>
    <row r="26" spans="1:67" ht="13.5" customHeight="1" thickTop="1" thickBot="1" x14ac:dyDescent="0.3">
      <c r="A26" s="36" t="s">
        <v>71</v>
      </c>
      <c r="B26" s="203" t="s">
        <v>21</v>
      </c>
      <c r="C26" s="122">
        <v>0</v>
      </c>
      <c r="D26" s="123">
        <v>0</v>
      </c>
      <c r="E26" s="123">
        <v>10</v>
      </c>
      <c r="F26" s="200">
        <v>0</v>
      </c>
      <c r="G26" s="123">
        <v>0</v>
      </c>
      <c r="H26" s="123">
        <v>10</v>
      </c>
      <c r="I26" s="200">
        <v>15</v>
      </c>
      <c r="J26" s="123">
        <v>0</v>
      </c>
      <c r="K26" s="123">
        <v>0</v>
      </c>
      <c r="L26" s="200">
        <v>15</v>
      </c>
      <c r="M26" s="123">
        <v>0</v>
      </c>
      <c r="N26" s="123">
        <v>0</v>
      </c>
      <c r="O26" s="122">
        <v>0</v>
      </c>
      <c r="P26" s="123">
        <v>20</v>
      </c>
      <c r="Q26" s="123">
        <v>10</v>
      </c>
      <c r="R26" s="200">
        <v>0</v>
      </c>
      <c r="S26" s="123">
        <v>20</v>
      </c>
      <c r="T26" s="123">
        <v>10</v>
      </c>
      <c r="U26" s="200">
        <v>25</v>
      </c>
      <c r="V26" s="123">
        <v>15</v>
      </c>
      <c r="W26" s="123">
        <v>25</v>
      </c>
      <c r="X26" s="200">
        <v>25</v>
      </c>
      <c r="Y26" s="123">
        <v>15</v>
      </c>
      <c r="Z26" s="123">
        <v>25</v>
      </c>
      <c r="AA26" s="122">
        <v>10</v>
      </c>
      <c r="AB26" s="123">
        <v>0</v>
      </c>
      <c r="AC26" s="123">
        <v>30</v>
      </c>
      <c r="AD26" s="200">
        <v>10</v>
      </c>
      <c r="AE26" s="123">
        <v>0</v>
      </c>
      <c r="AF26" s="123">
        <v>30</v>
      </c>
      <c r="AG26" s="200">
        <v>10</v>
      </c>
      <c r="AH26" s="123">
        <v>0</v>
      </c>
      <c r="AI26" s="123">
        <v>0</v>
      </c>
      <c r="AJ26" s="200">
        <v>10</v>
      </c>
      <c r="AK26" s="123">
        <v>0</v>
      </c>
      <c r="AL26" s="123">
        <v>0</v>
      </c>
      <c r="AM26" s="122">
        <v>0</v>
      </c>
      <c r="AN26" s="123">
        <v>0</v>
      </c>
      <c r="AO26" s="123">
        <v>0</v>
      </c>
      <c r="AP26" s="200">
        <v>0</v>
      </c>
      <c r="AQ26" s="123">
        <v>0</v>
      </c>
      <c r="AR26" s="123">
        <v>0</v>
      </c>
      <c r="AS26" s="200">
        <v>0</v>
      </c>
      <c r="AT26" s="123">
        <v>0</v>
      </c>
      <c r="AU26" s="123">
        <v>0</v>
      </c>
      <c r="AV26" s="200">
        <v>0</v>
      </c>
      <c r="AW26" s="123">
        <v>0</v>
      </c>
      <c r="AX26" s="123">
        <v>0</v>
      </c>
      <c r="AY26" s="126">
        <f t="shared" si="0"/>
        <v>10</v>
      </c>
      <c r="AZ26" s="127">
        <f t="shared" si="1"/>
        <v>20</v>
      </c>
      <c r="BA26" s="127">
        <f t="shared" si="2"/>
        <v>40</v>
      </c>
      <c r="BB26" s="199">
        <f t="shared" si="3"/>
        <v>10</v>
      </c>
      <c r="BC26" s="127">
        <f t="shared" si="4"/>
        <v>20</v>
      </c>
      <c r="BD26" s="127">
        <f t="shared" si="5"/>
        <v>40</v>
      </c>
      <c r="BE26" s="199">
        <f t="shared" si="6"/>
        <v>35</v>
      </c>
      <c r="BF26" s="127">
        <f t="shared" si="7"/>
        <v>15</v>
      </c>
      <c r="BG26" s="127">
        <f t="shared" si="8"/>
        <v>25</v>
      </c>
      <c r="BH26" s="199">
        <f t="shared" si="9"/>
        <v>35</v>
      </c>
      <c r="BI26" s="127">
        <f t="shared" si="10"/>
        <v>15</v>
      </c>
      <c r="BJ26" s="127">
        <f t="shared" si="11"/>
        <v>25</v>
      </c>
      <c r="BK26" s="149">
        <f t="shared" si="12"/>
        <v>290</v>
      </c>
      <c r="BL26" s="199">
        <f t="shared" si="13"/>
        <v>70</v>
      </c>
      <c r="BM26" s="127">
        <f t="shared" si="14"/>
        <v>70</v>
      </c>
      <c r="BN26" s="127">
        <f t="shared" si="15"/>
        <v>75</v>
      </c>
      <c r="BO26" s="127">
        <f t="shared" si="16"/>
        <v>75</v>
      </c>
    </row>
    <row r="27" spans="1:67" ht="13.5" customHeight="1" thickTop="1" thickBot="1" x14ac:dyDescent="0.3">
      <c r="A27" s="36" t="s">
        <v>72</v>
      </c>
      <c r="B27" s="202" t="s">
        <v>24</v>
      </c>
      <c r="C27" s="122">
        <v>0</v>
      </c>
      <c r="D27" s="123">
        <v>0</v>
      </c>
      <c r="E27" s="123">
        <v>0</v>
      </c>
      <c r="F27" s="200">
        <v>0</v>
      </c>
      <c r="G27" s="123">
        <v>0</v>
      </c>
      <c r="H27" s="123">
        <v>20</v>
      </c>
      <c r="I27" s="200">
        <v>0</v>
      </c>
      <c r="J27" s="123">
        <v>0</v>
      </c>
      <c r="K27" s="123">
        <v>0</v>
      </c>
      <c r="L27" s="200">
        <v>20</v>
      </c>
      <c r="M27" s="123">
        <v>0</v>
      </c>
      <c r="N27" s="123">
        <v>0</v>
      </c>
      <c r="O27" s="122">
        <v>0</v>
      </c>
      <c r="P27" s="123">
        <v>45</v>
      </c>
      <c r="Q27" s="123">
        <v>55</v>
      </c>
      <c r="R27" s="200">
        <v>0</v>
      </c>
      <c r="S27" s="123">
        <v>0</v>
      </c>
      <c r="T27" s="123">
        <v>0</v>
      </c>
      <c r="U27" s="200">
        <v>30</v>
      </c>
      <c r="V27" s="123">
        <v>0</v>
      </c>
      <c r="W27" s="123">
        <v>0</v>
      </c>
      <c r="X27" s="200">
        <v>50</v>
      </c>
      <c r="Y27" s="123">
        <v>0</v>
      </c>
      <c r="Z27" s="123">
        <v>0</v>
      </c>
      <c r="AA27" s="122">
        <v>10</v>
      </c>
      <c r="AB27" s="123">
        <v>0</v>
      </c>
      <c r="AC27" s="123">
        <v>0</v>
      </c>
      <c r="AD27" s="200">
        <v>36</v>
      </c>
      <c r="AE27" s="123">
        <v>0</v>
      </c>
      <c r="AF27" s="123">
        <v>26</v>
      </c>
      <c r="AG27" s="200">
        <v>10</v>
      </c>
      <c r="AH27" s="123">
        <v>0</v>
      </c>
      <c r="AI27" s="123">
        <v>0</v>
      </c>
      <c r="AJ27" s="200">
        <v>10</v>
      </c>
      <c r="AK27" s="123">
        <v>0</v>
      </c>
      <c r="AL27" s="123">
        <v>0</v>
      </c>
      <c r="AM27" s="122">
        <v>0</v>
      </c>
      <c r="AN27" s="123">
        <v>0</v>
      </c>
      <c r="AO27" s="123">
        <v>0</v>
      </c>
      <c r="AP27" s="200">
        <v>0</v>
      </c>
      <c r="AQ27" s="123">
        <v>0</v>
      </c>
      <c r="AR27" s="123">
        <v>0</v>
      </c>
      <c r="AS27" s="200">
        <v>0</v>
      </c>
      <c r="AT27" s="123">
        <v>0</v>
      </c>
      <c r="AU27" s="123">
        <v>0</v>
      </c>
      <c r="AV27" s="200">
        <v>0</v>
      </c>
      <c r="AW27" s="123">
        <v>0</v>
      </c>
      <c r="AX27" s="123">
        <v>0</v>
      </c>
      <c r="AY27" s="126">
        <f t="shared" si="0"/>
        <v>10</v>
      </c>
      <c r="AZ27" s="127">
        <f t="shared" si="1"/>
        <v>45</v>
      </c>
      <c r="BA27" s="127">
        <f t="shared" si="2"/>
        <v>55</v>
      </c>
      <c r="BB27" s="199">
        <f t="shared" si="3"/>
        <v>36</v>
      </c>
      <c r="BC27" s="127">
        <f t="shared" si="4"/>
        <v>0</v>
      </c>
      <c r="BD27" s="127">
        <f t="shared" si="5"/>
        <v>26</v>
      </c>
      <c r="BE27" s="199">
        <f t="shared" si="6"/>
        <v>40</v>
      </c>
      <c r="BF27" s="127">
        <f t="shared" si="7"/>
        <v>0</v>
      </c>
      <c r="BG27" s="127">
        <f t="shared" si="8"/>
        <v>0</v>
      </c>
      <c r="BH27" s="199">
        <f t="shared" si="9"/>
        <v>60</v>
      </c>
      <c r="BI27" s="127">
        <f t="shared" si="10"/>
        <v>0</v>
      </c>
      <c r="BJ27" s="127">
        <f t="shared" si="11"/>
        <v>0</v>
      </c>
      <c r="BK27" s="149">
        <f t="shared" si="12"/>
        <v>272</v>
      </c>
      <c r="BL27" s="199">
        <f t="shared" si="13"/>
        <v>110</v>
      </c>
      <c r="BM27" s="127">
        <f t="shared" si="14"/>
        <v>62</v>
      </c>
      <c r="BN27" s="127">
        <f t="shared" si="15"/>
        <v>40</v>
      </c>
      <c r="BO27" s="127">
        <f t="shared" si="16"/>
        <v>60</v>
      </c>
    </row>
    <row r="28" spans="1:67" ht="13.5" customHeight="1" thickTop="1" thickBot="1" x14ac:dyDescent="0.3">
      <c r="A28" s="36" t="s">
        <v>73</v>
      </c>
      <c r="B28" s="203" t="s">
        <v>16</v>
      </c>
      <c r="C28" s="122">
        <v>10</v>
      </c>
      <c r="D28" s="123">
        <v>0</v>
      </c>
      <c r="E28" s="123">
        <v>0</v>
      </c>
      <c r="F28" s="200">
        <v>10</v>
      </c>
      <c r="G28" s="123">
        <v>0</v>
      </c>
      <c r="H28" s="123">
        <v>0</v>
      </c>
      <c r="I28" s="200">
        <v>10</v>
      </c>
      <c r="J28" s="123">
        <v>0</v>
      </c>
      <c r="K28" s="123">
        <v>0</v>
      </c>
      <c r="L28" s="200">
        <v>10</v>
      </c>
      <c r="M28" s="123">
        <v>0</v>
      </c>
      <c r="N28" s="123">
        <v>0</v>
      </c>
      <c r="O28" s="122">
        <v>20</v>
      </c>
      <c r="P28" s="123">
        <v>25</v>
      </c>
      <c r="Q28" s="123">
        <v>20</v>
      </c>
      <c r="R28" s="200">
        <v>20</v>
      </c>
      <c r="S28" s="123">
        <v>25</v>
      </c>
      <c r="T28" s="123">
        <v>20</v>
      </c>
      <c r="U28" s="200">
        <v>10</v>
      </c>
      <c r="V28" s="123">
        <v>10</v>
      </c>
      <c r="W28" s="123">
        <v>10</v>
      </c>
      <c r="X28" s="200">
        <v>10</v>
      </c>
      <c r="Y28" s="123">
        <v>10</v>
      </c>
      <c r="Z28" s="123">
        <v>10</v>
      </c>
      <c r="AA28" s="122">
        <v>0</v>
      </c>
      <c r="AB28" s="123">
        <v>10</v>
      </c>
      <c r="AC28" s="123">
        <v>10</v>
      </c>
      <c r="AD28" s="200">
        <v>0</v>
      </c>
      <c r="AE28" s="123">
        <v>10</v>
      </c>
      <c r="AF28" s="123">
        <v>10</v>
      </c>
      <c r="AG28" s="200">
        <v>0</v>
      </c>
      <c r="AH28" s="123">
        <v>10</v>
      </c>
      <c r="AI28" s="123">
        <v>10</v>
      </c>
      <c r="AJ28" s="200">
        <v>0</v>
      </c>
      <c r="AK28" s="123">
        <v>10</v>
      </c>
      <c r="AL28" s="123">
        <v>10</v>
      </c>
      <c r="AM28" s="122">
        <v>0</v>
      </c>
      <c r="AN28" s="123">
        <v>0</v>
      </c>
      <c r="AO28" s="123">
        <v>0</v>
      </c>
      <c r="AP28" s="200">
        <v>0</v>
      </c>
      <c r="AQ28" s="123">
        <v>0</v>
      </c>
      <c r="AR28" s="123">
        <v>0</v>
      </c>
      <c r="AS28" s="200">
        <v>0</v>
      </c>
      <c r="AT28" s="123">
        <v>0</v>
      </c>
      <c r="AU28" s="123">
        <v>0</v>
      </c>
      <c r="AV28" s="200">
        <v>0</v>
      </c>
      <c r="AW28" s="123">
        <v>0</v>
      </c>
      <c r="AX28" s="123">
        <v>0</v>
      </c>
      <c r="AY28" s="126">
        <f t="shared" si="0"/>
        <v>20</v>
      </c>
      <c r="AZ28" s="127">
        <f t="shared" si="1"/>
        <v>35</v>
      </c>
      <c r="BA28" s="127">
        <f t="shared" si="2"/>
        <v>30</v>
      </c>
      <c r="BB28" s="199">
        <f t="shared" si="3"/>
        <v>20</v>
      </c>
      <c r="BC28" s="127">
        <f t="shared" si="4"/>
        <v>35</v>
      </c>
      <c r="BD28" s="127">
        <f t="shared" si="5"/>
        <v>30</v>
      </c>
      <c r="BE28" s="199">
        <f t="shared" si="6"/>
        <v>10</v>
      </c>
      <c r="BF28" s="127">
        <f t="shared" si="7"/>
        <v>20</v>
      </c>
      <c r="BG28" s="127">
        <f t="shared" si="8"/>
        <v>20</v>
      </c>
      <c r="BH28" s="199">
        <f t="shared" si="9"/>
        <v>10</v>
      </c>
      <c r="BI28" s="127">
        <f t="shared" si="10"/>
        <v>20</v>
      </c>
      <c r="BJ28" s="127">
        <f t="shared" si="11"/>
        <v>20</v>
      </c>
      <c r="BK28" s="149">
        <f t="shared" si="12"/>
        <v>270</v>
      </c>
      <c r="BL28" s="199">
        <f t="shared" si="13"/>
        <v>85</v>
      </c>
      <c r="BM28" s="127">
        <f t="shared" si="14"/>
        <v>85</v>
      </c>
      <c r="BN28" s="127">
        <f t="shared" si="15"/>
        <v>50</v>
      </c>
      <c r="BO28" s="127">
        <f t="shared" si="16"/>
        <v>50</v>
      </c>
    </row>
    <row r="29" spans="1:67" ht="13.5" customHeight="1" thickTop="1" thickBot="1" x14ac:dyDescent="0.3">
      <c r="A29" s="36" t="s">
        <v>74</v>
      </c>
      <c r="B29" s="203" t="s">
        <v>513</v>
      </c>
      <c r="C29" s="122">
        <v>30</v>
      </c>
      <c r="D29" s="123">
        <v>0</v>
      </c>
      <c r="E29" s="123">
        <v>0</v>
      </c>
      <c r="F29" s="200">
        <v>10</v>
      </c>
      <c r="G29" s="123">
        <v>0</v>
      </c>
      <c r="H29" s="123">
        <v>0</v>
      </c>
      <c r="I29" s="200">
        <v>10</v>
      </c>
      <c r="J29" s="123">
        <v>0</v>
      </c>
      <c r="K29" s="123">
        <v>0</v>
      </c>
      <c r="L29" s="200">
        <v>10</v>
      </c>
      <c r="M29" s="123">
        <v>0</v>
      </c>
      <c r="N29" s="123">
        <v>0</v>
      </c>
      <c r="O29" s="122">
        <v>50</v>
      </c>
      <c r="P29" s="123">
        <v>30</v>
      </c>
      <c r="Q29" s="123">
        <v>15</v>
      </c>
      <c r="R29" s="200">
        <v>30</v>
      </c>
      <c r="S29" s="123">
        <v>30</v>
      </c>
      <c r="T29" s="123">
        <v>15</v>
      </c>
      <c r="U29" s="200">
        <v>10</v>
      </c>
      <c r="V29" s="123">
        <v>0</v>
      </c>
      <c r="W29" s="123">
        <v>0</v>
      </c>
      <c r="X29" s="200">
        <v>10</v>
      </c>
      <c r="Y29" s="123">
        <v>0</v>
      </c>
      <c r="Z29" s="123">
        <v>0</v>
      </c>
      <c r="AA29" s="122">
        <v>30</v>
      </c>
      <c r="AB29" s="123">
        <v>0</v>
      </c>
      <c r="AC29" s="123">
        <v>30</v>
      </c>
      <c r="AD29" s="200">
        <v>0</v>
      </c>
      <c r="AE29" s="123">
        <v>0</v>
      </c>
      <c r="AF29" s="123">
        <v>0</v>
      </c>
      <c r="AG29" s="200">
        <v>0</v>
      </c>
      <c r="AH29" s="123">
        <v>0</v>
      </c>
      <c r="AI29" s="123">
        <v>0</v>
      </c>
      <c r="AJ29" s="200">
        <v>0</v>
      </c>
      <c r="AK29" s="123">
        <v>0</v>
      </c>
      <c r="AL29" s="123">
        <v>0</v>
      </c>
      <c r="AM29" s="122">
        <v>0</v>
      </c>
      <c r="AN29" s="123">
        <v>0</v>
      </c>
      <c r="AO29" s="123">
        <v>0</v>
      </c>
      <c r="AP29" s="200">
        <v>0</v>
      </c>
      <c r="AQ29" s="123">
        <v>0</v>
      </c>
      <c r="AR29" s="123">
        <v>0</v>
      </c>
      <c r="AS29" s="200">
        <v>0</v>
      </c>
      <c r="AT29" s="123">
        <v>0</v>
      </c>
      <c r="AU29" s="123">
        <v>0</v>
      </c>
      <c r="AV29" s="200">
        <v>0</v>
      </c>
      <c r="AW29" s="123">
        <v>0</v>
      </c>
      <c r="AX29" s="123">
        <v>0</v>
      </c>
      <c r="AY29" s="126">
        <f t="shared" si="0"/>
        <v>80</v>
      </c>
      <c r="AZ29" s="127">
        <f t="shared" si="1"/>
        <v>30</v>
      </c>
      <c r="BA29" s="127">
        <f t="shared" si="2"/>
        <v>45</v>
      </c>
      <c r="BB29" s="199">
        <f t="shared" si="3"/>
        <v>30</v>
      </c>
      <c r="BC29" s="127">
        <f t="shared" si="4"/>
        <v>30</v>
      </c>
      <c r="BD29" s="127">
        <f t="shared" si="5"/>
        <v>15</v>
      </c>
      <c r="BE29" s="199">
        <f t="shared" si="6"/>
        <v>10</v>
      </c>
      <c r="BF29" s="127">
        <f t="shared" si="7"/>
        <v>0</v>
      </c>
      <c r="BG29" s="127">
        <f t="shared" si="8"/>
        <v>0</v>
      </c>
      <c r="BH29" s="199">
        <f t="shared" si="9"/>
        <v>10</v>
      </c>
      <c r="BI29" s="127">
        <f t="shared" si="10"/>
        <v>0</v>
      </c>
      <c r="BJ29" s="127">
        <f t="shared" si="11"/>
        <v>0</v>
      </c>
      <c r="BK29" s="149">
        <f t="shared" si="12"/>
        <v>250</v>
      </c>
      <c r="BL29" s="199">
        <f t="shared" si="13"/>
        <v>155</v>
      </c>
      <c r="BM29" s="127">
        <f t="shared" si="14"/>
        <v>75</v>
      </c>
      <c r="BN29" s="127">
        <f t="shared" si="15"/>
        <v>10</v>
      </c>
      <c r="BO29" s="127">
        <f t="shared" si="16"/>
        <v>10</v>
      </c>
    </row>
    <row r="30" spans="1:67" ht="13.5" customHeight="1" thickTop="1" thickBot="1" x14ac:dyDescent="0.3">
      <c r="A30" s="36" t="s">
        <v>75</v>
      </c>
      <c r="B30" s="203" t="s">
        <v>41</v>
      </c>
      <c r="C30" s="122">
        <v>0</v>
      </c>
      <c r="D30" s="123">
        <v>0</v>
      </c>
      <c r="E30" s="123">
        <v>0</v>
      </c>
      <c r="F30" s="200">
        <v>0</v>
      </c>
      <c r="G30" s="123">
        <v>0</v>
      </c>
      <c r="H30" s="123">
        <v>0</v>
      </c>
      <c r="I30" s="200">
        <v>0</v>
      </c>
      <c r="J30" s="123">
        <v>0</v>
      </c>
      <c r="K30" s="123">
        <v>0</v>
      </c>
      <c r="L30" s="200">
        <v>0</v>
      </c>
      <c r="M30" s="123">
        <v>0</v>
      </c>
      <c r="N30" s="123">
        <v>0</v>
      </c>
      <c r="O30" s="122">
        <v>0</v>
      </c>
      <c r="P30" s="123">
        <v>0</v>
      </c>
      <c r="Q30" s="123">
        <v>0</v>
      </c>
      <c r="R30" s="200">
        <v>0</v>
      </c>
      <c r="S30" s="123">
        <v>0</v>
      </c>
      <c r="T30" s="123">
        <v>0</v>
      </c>
      <c r="U30" s="200">
        <v>35</v>
      </c>
      <c r="V30" s="123">
        <v>45</v>
      </c>
      <c r="W30" s="123">
        <v>45</v>
      </c>
      <c r="X30" s="200">
        <v>35</v>
      </c>
      <c r="Y30" s="123">
        <v>45</v>
      </c>
      <c r="Z30" s="123">
        <v>45</v>
      </c>
      <c r="AA30" s="122">
        <v>0</v>
      </c>
      <c r="AB30" s="123">
        <v>0</v>
      </c>
      <c r="AC30" s="123">
        <v>0</v>
      </c>
      <c r="AD30" s="200">
        <v>0</v>
      </c>
      <c r="AE30" s="123">
        <v>0</v>
      </c>
      <c r="AF30" s="123">
        <v>0</v>
      </c>
      <c r="AG30" s="200">
        <v>0</v>
      </c>
      <c r="AH30" s="123">
        <v>0</v>
      </c>
      <c r="AI30" s="123">
        <v>0</v>
      </c>
      <c r="AJ30" s="200">
        <v>0</v>
      </c>
      <c r="AK30" s="123">
        <v>0</v>
      </c>
      <c r="AL30" s="123">
        <v>0</v>
      </c>
      <c r="AM30" s="122">
        <v>0</v>
      </c>
      <c r="AN30" s="123">
        <v>0</v>
      </c>
      <c r="AO30" s="123">
        <v>0</v>
      </c>
      <c r="AP30" s="200">
        <v>0</v>
      </c>
      <c r="AQ30" s="123">
        <v>0</v>
      </c>
      <c r="AR30" s="123">
        <v>0</v>
      </c>
      <c r="AS30" s="200">
        <v>0</v>
      </c>
      <c r="AT30" s="123">
        <v>0</v>
      </c>
      <c r="AU30" s="123">
        <v>0</v>
      </c>
      <c r="AV30" s="200">
        <v>0</v>
      </c>
      <c r="AW30" s="123">
        <v>0</v>
      </c>
      <c r="AX30" s="123">
        <v>0</v>
      </c>
      <c r="AY30" s="126">
        <f t="shared" si="0"/>
        <v>0</v>
      </c>
      <c r="AZ30" s="127">
        <f t="shared" si="1"/>
        <v>0</v>
      </c>
      <c r="BA30" s="127">
        <f t="shared" si="2"/>
        <v>0</v>
      </c>
      <c r="BB30" s="199">
        <f t="shared" si="3"/>
        <v>0</v>
      </c>
      <c r="BC30" s="127">
        <f t="shared" si="4"/>
        <v>0</v>
      </c>
      <c r="BD30" s="127">
        <f t="shared" si="5"/>
        <v>0</v>
      </c>
      <c r="BE30" s="199">
        <f t="shared" si="6"/>
        <v>35</v>
      </c>
      <c r="BF30" s="127">
        <f t="shared" si="7"/>
        <v>45</v>
      </c>
      <c r="BG30" s="127">
        <f t="shared" si="8"/>
        <v>45</v>
      </c>
      <c r="BH30" s="199">
        <f t="shared" si="9"/>
        <v>35</v>
      </c>
      <c r="BI30" s="127">
        <f t="shared" si="10"/>
        <v>45</v>
      </c>
      <c r="BJ30" s="127">
        <f t="shared" si="11"/>
        <v>45</v>
      </c>
      <c r="BK30" s="149">
        <f t="shared" si="12"/>
        <v>250</v>
      </c>
      <c r="BL30" s="199">
        <f t="shared" si="13"/>
        <v>0</v>
      </c>
      <c r="BM30" s="127">
        <f t="shared" si="14"/>
        <v>0</v>
      </c>
      <c r="BN30" s="127">
        <f t="shared" si="15"/>
        <v>125</v>
      </c>
      <c r="BO30" s="127">
        <f t="shared" si="16"/>
        <v>125</v>
      </c>
    </row>
    <row r="31" spans="1:67" ht="13.5" customHeight="1" thickTop="1" thickBot="1" x14ac:dyDescent="0.3">
      <c r="A31" s="36" t="s">
        <v>76</v>
      </c>
      <c r="B31" s="203" t="s">
        <v>15</v>
      </c>
      <c r="C31" s="122">
        <v>0</v>
      </c>
      <c r="D31" s="123">
        <v>0</v>
      </c>
      <c r="E31" s="123">
        <v>0</v>
      </c>
      <c r="F31" s="200">
        <v>0</v>
      </c>
      <c r="G31" s="123">
        <v>0</v>
      </c>
      <c r="H31" s="123">
        <v>0</v>
      </c>
      <c r="I31" s="200">
        <v>0</v>
      </c>
      <c r="J31" s="123">
        <v>0</v>
      </c>
      <c r="K31" s="123">
        <v>0</v>
      </c>
      <c r="L31" s="200">
        <v>0</v>
      </c>
      <c r="M31" s="123">
        <v>0</v>
      </c>
      <c r="N31" s="123">
        <v>0</v>
      </c>
      <c r="O31" s="122">
        <v>25</v>
      </c>
      <c r="P31" s="123">
        <v>35</v>
      </c>
      <c r="Q31" s="123">
        <v>35</v>
      </c>
      <c r="R31" s="200">
        <v>25</v>
      </c>
      <c r="S31" s="123">
        <v>35</v>
      </c>
      <c r="T31" s="123">
        <v>35</v>
      </c>
      <c r="U31" s="200">
        <v>0</v>
      </c>
      <c r="V31" s="123">
        <v>10</v>
      </c>
      <c r="W31" s="123">
        <v>10</v>
      </c>
      <c r="X31" s="200">
        <v>0</v>
      </c>
      <c r="Y31" s="123">
        <v>10</v>
      </c>
      <c r="Z31" s="123">
        <v>10</v>
      </c>
      <c r="AA31" s="122">
        <v>0</v>
      </c>
      <c r="AB31" s="123">
        <v>0</v>
      </c>
      <c r="AC31" s="123">
        <v>0</v>
      </c>
      <c r="AD31" s="200">
        <v>0</v>
      </c>
      <c r="AE31" s="123">
        <v>0</v>
      </c>
      <c r="AF31" s="123">
        <v>0</v>
      </c>
      <c r="AG31" s="200">
        <v>0</v>
      </c>
      <c r="AH31" s="123">
        <v>0</v>
      </c>
      <c r="AI31" s="123">
        <v>0</v>
      </c>
      <c r="AJ31" s="200">
        <v>0</v>
      </c>
      <c r="AK31" s="123">
        <v>0</v>
      </c>
      <c r="AL31" s="123">
        <v>0</v>
      </c>
      <c r="AM31" s="122">
        <v>0</v>
      </c>
      <c r="AN31" s="123">
        <v>0</v>
      </c>
      <c r="AO31" s="123">
        <v>0</v>
      </c>
      <c r="AP31" s="200">
        <v>0</v>
      </c>
      <c r="AQ31" s="123">
        <v>0</v>
      </c>
      <c r="AR31" s="123">
        <v>0</v>
      </c>
      <c r="AS31" s="200">
        <v>0</v>
      </c>
      <c r="AT31" s="123">
        <v>0</v>
      </c>
      <c r="AU31" s="123">
        <v>0</v>
      </c>
      <c r="AV31" s="200">
        <v>0</v>
      </c>
      <c r="AW31" s="123">
        <v>0</v>
      </c>
      <c r="AX31" s="123">
        <v>0</v>
      </c>
      <c r="AY31" s="126">
        <f t="shared" si="0"/>
        <v>25</v>
      </c>
      <c r="AZ31" s="127">
        <f t="shared" si="1"/>
        <v>35</v>
      </c>
      <c r="BA31" s="127">
        <f t="shared" si="2"/>
        <v>35</v>
      </c>
      <c r="BB31" s="199">
        <f t="shared" si="3"/>
        <v>25</v>
      </c>
      <c r="BC31" s="127">
        <f t="shared" si="4"/>
        <v>35</v>
      </c>
      <c r="BD31" s="127">
        <f t="shared" si="5"/>
        <v>35</v>
      </c>
      <c r="BE31" s="199">
        <f t="shared" si="6"/>
        <v>0</v>
      </c>
      <c r="BF31" s="127">
        <f t="shared" si="7"/>
        <v>10</v>
      </c>
      <c r="BG31" s="127">
        <f t="shared" si="8"/>
        <v>10</v>
      </c>
      <c r="BH31" s="199">
        <f t="shared" si="9"/>
        <v>0</v>
      </c>
      <c r="BI31" s="127">
        <f t="shared" si="10"/>
        <v>10</v>
      </c>
      <c r="BJ31" s="127">
        <f t="shared" si="11"/>
        <v>10</v>
      </c>
      <c r="BK31" s="149">
        <f t="shared" si="12"/>
        <v>230</v>
      </c>
      <c r="BL31" s="199">
        <f t="shared" si="13"/>
        <v>95</v>
      </c>
      <c r="BM31" s="127">
        <f t="shared" si="14"/>
        <v>95</v>
      </c>
      <c r="BN31" s="127">
        <f t="shared" si="15"/>
        <v>20</v>
      </c>
      <c r="BO31" s="127">
        <f t="shared" si="16"/>
        <v>20</v>
      </c>
    </row>
    <row r="32" spans="1:67" ht="13.5" customHeight="1" thickTop="1" thickBot="1" x14ac:dyDescent="0.3">
      <c r="A32" s="36" t="s">
        <v>77</v>
      </c>
      <c r="B32" s="203" t="s">
        <v>28</v>
      </c>
      <c r="C32" s="122">
        <v>0</v>
      </c>
      <c r="D32" s="123">
        <v>0</v>
      </c>
      <c r="E32" s="123">
        <v>20</v>
      </c>
      <c r="F32" s="200">
        <v>0</v>
      </c>
      <c r="G32" s="123">
        <v>0</v>
      </c>
      <c r="H32" s="123">
        <v>0</v>
      </c>
      <c r="I32" s="200">
        <v>20</v>
      </c>
      <c r="J32" s="123">
        <v>0</v>
      </c>
      <c r="K32" s="123">
        <v>0</v>
      </c>
      <c r="L32" s="200">
        <v>0</v>
      </c>
      <c r="M32" s="123">
        <v>0</v>
      </c>
      <c r="N32" s="123">
        <v>0</v>
      </c>
      <c r="O32" s="122">
        <v>0</v>
      </c>
      <c r="P32" s="123">
        <v>20</v>
      </c>
      <c r="Q32" s="123">
        <v>40</v>
      </c>
      <c r="R32" s="200">
        <v>0</v>
      </c>
      <c r="S32" s="123">
        <v>20</v>
      </c>
      <c r="T32" s="123">
        <v>20</v>
      </c>
      <c r="U32" s="200">
        <v>60</v>
      </c>
      <c r="V32" s="123">
        <v>0</v>
      </c>
      <c r="W32" s="123">
        <v>0</v>
      </c>
      <c r="X32" s="200">
        <v>0</v>
      </c>
      <c r="Y32" s="123">
        <v>0</v>
      </c>
      <c r="Z32" s="123">
        <v>0</v>
      </c>
      <c r="AA32" s="122">
        <v>10</v>
      </c>
      <c r="AB32" s="123">
        <v>0</v>
      </c>
      <c r="AC32" s="123">
        <v>0</v>
      </c>
      <c r="AD32" s="200">
        <v>10</v>
      </c>
      <c r="AE32" s="123">
        <v>0</v>
      </c>
      <c r="AF32" s="123">
        <v>0</v>
      </c>
      <c r="AG32" s="200">
        <v>40</v>
      </c>
      <c r="AH32" s="123">
        <v>0</v>
      </c>
      <c r="AI32" s="123">
        <v>0</v>
      </c>
      <c r="AJ32" s="200">
        <v>10</v>
      </c>
      <c r="AK32" s="123">
        <v>0</v>
      </c>
      <c r="AL32" s="123">
        <v>0</v>
      </c>
      <c r="AM32" s="122">
        <v>0</v>
      </c>
      <c r="AN32" s="123">
        <v>0</v>
      </c>
      <c r="AO32" s="123">
        <v>0</v>
      </c>
      <c r="AP32" s="200">
        <v>0</v>
      </c>
      <c r="AQ32" s="123">
        <v>0</v>
      </c>
      <c r="AR32" s="123">
        <v>0</v>
      </c>
      <c r="AS32" s="200">
        <v>0</v>
      </c>
      <c r="AT32" s="123">
        <v>0</v>
      </c>
      <c r="AU32" s="123">
        <v>0</v>
      </c>
      <c r="AV32" s="200">
        <v>0</v>
      </c>
      <c r="AW32" s="123">
        <v>0</v>
      </c>
      <c r="AX32" s="123">
        <v>0</v>
      </c>
      <c r="AY32" s="126">
        <f t="shared" si="0"/>
        <v>10</v>
      </c>
      <c r="AZ32" s="127">
        <f t="shared" si="1"/>
        <v>20</v>
      </c>
      <c r="BA32" s="127">
        <f t="shared" si="2"/>
        <v>40</v>
      </c>
      <c r="BB32" s="199">
        <f t="shared" si="3"/>
        <v>10</v>
      </c>
      <c r="BC32" s="127">
        <f t="shared" si="4"/>
        <v>20</v>
      </c>
      <c r="BD32" s="127">
        <f t="shared" si="5"/>
        <v>20</v>
      </c>
      <c r="BE32" s="199">
        <f t="shared" si="6"/>
        <v>100</v>
      </c>
      <c r="BF32" s="127">
        <f t="shared" si="7"/>
        <v>0</v>
      </c>
      <c r="BG32" s="127">
        <f t="shared" si="8"/>
        <v>0</v>
      </c>
      <c r="BH32" s="199">
        <f t="shared" si="9"/>
        <v>10</v>
      </c>
      <c r="BI32" s="127">
        <f t="shared" si="10"/>
        <v>0</v>
      </c>
      <c r="BJ32" s="127">
        <f t="shared" si="11"/>
        <v>0</v>
      </c>
      <c r="BK32" s="149">
        <f t="shared" si="12"/>
        <v>230</v>
      </c>
      <c r="BL32" s="199">
        <f t="shared" si="13"/>
        <v>70</v>
      </c>
      <c r="BM32" s="127">
        <f t="shared" si="14"/>
        <v>50</v>
      </c>
      <c r="BN32" s="127">
        <f t="shared" si="15"/>
        <v>100</v>
      </c>
      <c r="BO32" s="127">
        <f t="shared" si="16"/>
        <v>10</v>
      </c>
    </row>
    <row r="33" spans="1:67" ht="13.5" customHeight="1" thickTop="1" thickBot="1" x14ac:dyDescent="0.3">
      <c r="A33" s="36" t="s">
        <v>78</v>
      </c>
      <c r="B33" s="203" t="s">
        <v>42</v>
      </c>
      <c r="C33" s="122">
        <v>0</v>
      </c>
      <c r="D33" s="123">
        <v>0</v>
      </c>
      <c r="E33" s="123">
        <v>0</v>
      </c>
      <c r="F33" s="200">
        <v>0</v>
      </c>
      <c r="G33" s="123">
        <v>0</v>
      </c>
      <c r="H33" s="123">
        <v>0</v>
      </c>
      <c r="I33" s="200">
        <v>0</v>
      </c>
      <c r="J33" s="123">
        <v>0</v>
      </c>
      <c r="K33" s="123">
        <v>0</v>
      </c>
      <c r="L33" s="200">
        <v>0</v>
      </c>
      <c r="M33" s="123">
        <v>0</v>
      </c>
      <c r="N33" s="123">
        <v>0</v>
      </c>
      <c r="O33" s="122">
        <v>0</v>
      </c>
      <c r="P33" s="123">
        <v>0</v>
      </c>
      <c r="Q33" s="123">
        <v>0</v>
      </c>
      <c r="R33" s="200">
        <v>0</v>
      </c>
      <c r="S33" s="123">
        <v>0</v>
      </c>
      <c r="T33" s="123">
        <v>0</v>
      </c>
      <c r="U33" s="200">
        <v>30</v>
      </c>
      <c r="V33" s="123">
        <v>30</v>
      </c>
      <c r="W33" s="123">
        <v>40</v>
      </c>
      <c r="X33" s="200">
        <v>30</v>
      </c>
      <c r="Y33" s="123">
        <v>30</v>
      </c>
      <c r="Z33" s="123">
        <v>40</v>
      </c>
      <c r="AA33" s="122">
        <v>0</v>
      </c>
      <c r="AB33" s="123">
        <v>0</v>
      </c>
      <c r="AC33" s="123">
        <v>0</v>
      </c>
      <c r="AD33" s="200">
        <v>0</v>
      </c>
      <c r="AE33" s="123">
        <v>0</v>
      </c>
      <c r="AF33" s="123">
        <v>0</v>
      </c>
      <c r="AG33" s="200">
        <v>0</v>
      </c>
      <c r="AH33" s="123">
        <v>0</v>
      </c>
      <c r="AI33" s="123">
        <v>0</v>
      </c>
      <c r="AJ33" s="200">
        <v>0</v>
      </c>
      <c r="AK33" s="123">
        <v>0</v>
      </c>
      <c r="AL33" s="123">
        <v>0</v>
      </c>
      <c r="AM33" s="122">
        <v>0</v>
      </c>
      <c r="AN33" s="123">
        <v>0</v>
      </c>
      <c r="AO33" s="123">
        <v>0</v>
      </c>
      <c r="AP33" s="200">
        <v>0</v>
      </c>
      <c r="AQ33" s="123">
        <v>0</v>
      </c>
      <c r="AR33" s="123">
        <v>0</v>
      </c>
      <c r="AS33" s="200">
        <v>0</v>
      </c>
      <c r="AT33" s="123">
        <v>0</v>
      </c>
      <c r="AU33" s="123">
        <v>0</v>
      </c>
      <c r="AV33" s="200">
        <v>0</v>
      </c>
      <c r="AW33" s="123">
        <v>0</v>
      </c>
      <c r="AX33" s="123">
        <v>0</v>
      </c>
      <c r="AY33" s="126">
        <f t="shared" si="0"/>
        <v>0</v>
      </c>
      <c r="AZ33" s="127">
        <f t="shared" si="1"/>
        <v>0</v>
      </c>
      <c r="BA33" s="127">
        <f t="shared" si="2"/>
        <v>0</v>
      </c>
      <c r="BB33" s="199">
        <f t="shared" si="3"/>
        <v>0</v>
      </c>
      <c r="BC33" s="127">
        <f t="shared" si="4"/>
        <v>0</v>
      </c>
      <c r="BD33" s="127">
        <f t="shared" si="5"/>
        <v>0</v>
      </c>
      <c r="BE33" s="199">
        <f t="shared" si="6"/>
        <v>30</v>
      </c>
      <c r="BF33" s="127">
        <f t="shared" si="7"/>
        <v>30</v>
      </c>
      <c r="BG33" s="127">
        <f t="shared" si="8"/>
        <v>40</v>
      </c>
      <c r="BH33" s="199">
        <f t="shared" si="9"/>
        <v>30</v>
      </c>
      <c r="BI33" s="127">
        <f t="shared" si="10"/>
        <v>30</v>
      </c>
      <c r="BJ33" s="127">
        <f t="shared" si="11"/>
        <v>40</v>
      </c>
      <c r="BK33" s="149">
        <f t="shared" si="12"/>
        <v>200</v>
      </c>
      <c r="BL33" s="199">
        <f t="shared" si="13"/>
        <v>0</v>
      </c>
      <c r="BM33" s="127">
        <f t="shared" si="14"/>
        <v>0</v>
      </c>
      <c r="BN33" s="127">
        <f t="shared" si="15"/>
        <v>100</v>
      </c>
      <c r="BO33" s="127">
        <f t="shared" si="16"/>
        <v>100</v>
      </c>
    </row>
    <row r="34" spans="1:67" ht="13.5" customHeight="1" thickTop="1" thickBot="1" x14ac:dyDescent="0.3">
      <c r="A34" s="36" t="s">
        <v>79</v>
      </c>
      <c r="B34" s="203" t="s">
        <v>20</v>
      </c>
      <c r="C34" s="122">
        <v>0</v>
      </c>
      <c r="D34" s="123">
        <v>0</v>
      </c>
      <c r="E34" s="123">
        <v>0</v>
      </c>
      <c r="F34" s="200">
        <v>0</v>
      </c>
      <c r="G34" s="123">
        <v>0</v>
      </c>
      <c r="H34" s="123">
        <v>0</v>
      </c>
      <c r="I34" s="200">
        <v>0</v>
      </c>
      <c r="J34" s="123">
        <v>0</v>
      </c>
      <c r="K34" s="123">
        <v>0</v>
      </c>
      <c r="L34" s="200">
        <v>0</v>
      </c>
      <c r="M34" s="123">
        <v>0</v>
      </c>
      <c r="N34" s="123">
        <v>0</v>
      </c>
      <c r="O34" s="122">
        <v>25</v>
      </c>
      <c r="P34" s="123">
        <v>25</v>
      </c>
      <c r="Q34" s="123">
        <v>25</v>
      </c>
      <c r="R34" s="200">
        <v>25</v>
      </c>
      <c r="S34" s="123">
        <v>25</v>
      </c>
      <c r="T34" s="123">
        <v>25</v>
      </c>
      <c r="U34" s="200">
        <v>0</v>
      </c>
      <c r="V34" s="123">
        <v>10</v>
      </c>
      <c r="W34" s="123">
        <v>10</v>
      </c>
      <c r="X34" s="200">
        <v>0</v>
      </c>
      <c r="Y34" s="123">
        <v>10</v>
      </c>
      <c r="Z34" s="123">
        <v>10</v>
      </c>
      <c r="AA34" s="122">
        <v>0</v>
      </c>
      <c r="AB34" s="123">
        <v>0</v>
      </c>
      <c r="AC34" s="123">
        <v>0</v>
      </c>
      <c r="AD34" s="200">
        <v>0</v>
      </c>
      <c r="AE34" s="123">
        <v>0</v>
      </c>
      <c r="AF34" s="123">
        <v>0</v>
      </c>
      <c r="AG34" s="200">
        <v>0</v>
      </c>
      <c r="AH34" s="123">
        <v>0</v>
      </c>
      <c r="AI34" s="123">
        <v>0</v>
      </c>
      <c r="AJ34" s="200">
        <v>0</v>
      </c>
      <c r="AK34" s="123">
        <v>0</v>
      </c>
      <c r="AL34" s="123">
        <v>0</v>
      </c>
      <c r="AM34" s="122">
        <v>0</v>
      </c>
      <c r="AN34" s="123">
        <v>0</v>
      </c>
      <c r="AO34" s="123">
        <v>0</v>
      </c>
      <c r="AP34" s="200">
        <v>0</v>
      </c>
      <c r="AQ34" s="123">
        <v>0</v>
      </c>
      <c r="AR34" s="123">
        <v>0</v>
      </c>
      <c r="AS34" s="200">
        <v>0</v>
      </c>
      <c r="AT34" s="123">
        <v>0</v>
      </c>
      <c r="AU34" s="123">
        <v>0</v>
      </c>
      <c r="AV34" s="200">
        <v>0</v>
      </c>
      <c r="AW34" s="123">
        <v>0</v>
      </c>
      <c r="AX34" s="123">
        <v>0</v>
      </c>
      <c r="AY34" s="126">
        <f t="shared" si="0"/>
        <v>25</v>
      </c>
      <c r="AZ34" s="127">
        <f t="shared" si="1"/>
        <v>25</v>
      </c>
      <c r="BA34" s="127">
        <f t="shared" si="2"/>
        <v>25</v>
      </c>
      <c r="BB34" s="199">
        <f t="shared" si="3"/>
        <v>25</v>
      </c>
      <c r="BC34" s="127">
        <f t="shared" si="4"/>
        <v>25</v>
      </c>
      <c r="BD34" s="127">
        <f t="shared" si="5"/>
        <v>25</v>
      </c>
      <c r="BE34" s="199">
        <f t="shared" si="6"/>
        <v>0</v>
      </c>
      <c r="BF34" s="127">
        <f t="shared" si="7"/>
        <v>10</v>
      </c>
      <c r="BG34" s="127">
        <f t="shared" si="8"/>
        <v>10</v>
      </c>
      <c r="BH34" s="199">
        <f t="shared" si="9"/>
        <v>0</v>
      </c>
      <c r="BI34" s="127">
        <f t="shared" si="10"/>
        <v>10</v>
      </c>
      <c r="BJ34" s="127">
        <f t="shared" si="11"/>
        <v>10</v>
      </c>
      <c r="BK34" s="149">
        <f t="shared" si="12"/>
        <v>190</v>
      </c>
      <c r="BL34" s="199">
        <f t="shared" si="13"/>
        <v>75</v>
      </c>
      <c r="BM34" s="127">
        <f t="shared" si="14"/>
        <v>75</v>
      </c>
      <c r="BN34" s="127">
        <f t="shared" si="15"/>
        <v>20</v>
      </c>
      <c r="BO34" s="127">
        <f t="shared" si="16"/>
        <v>20</v>
      </c>
    </row>
    <row r="35" spans="1:67" ht="13.5" customHeight="1" thickTop="1" thickBot="1" x14ac:dyDescent="0.3">
      <c r="A35" s="36" t="s">
        <v>80</v>
      </c>
      <c r="B35" s="202" t="s">
        <v>30</v>
      </c>
      <c r="C35" s="122">
        <v>0</v>
      </c>
      <c r="D35" s="123">
        <v>10</v>
      </c>
      <c r="E35" s="123">
        <v>0</v>
      </c>
      <c r="F35" s="200">
        <v>0</v>
      </c>
      <c r="G35" s="123">
        <v>10</v>
      </c>
      <c r="H35" s="123">
        <v>0</v>
      </c>
      <c r="I35" s="200">
        <v>0</v>
      </c>
      <c r="J35" s="123">
        <v>10</v>
      </c>
      <c r="K35" s="123">
        <v>0</v>
      </c>
      <c r="L35" s="200">
        <v>0</v>
      </c>
      <c r="M35" s="123">
        <v>10</v>
      </c>
      <c r="N35" s="123">
        <v>0</v>
      </c>
      <c r="O35" s="122">
        <v>0</v>
      </c>
      <c r="P35" s="123">
        <v>20</v>
      </c>
      <c r="Q35" s="123">
        <v>0</v>
      </c>
      <c r="R35" s="200">
        <v>0</v>
      </c>
      <c r="S35" s="123">
        <v>20</v>
      </c>
      <c r="T35" s="123">
        <v>0</v>
      </c>
      <c r="U35" s="200">
        <v>0</v>
      </c>
      <c r="V35" s="123">
        <v>20</v>
      </c>
      <c r="W35" s="123">
        <v>0</v>
      </c>
      <c r="X35" s="200">
        <v>0</v>
      </c>
      <c r="Y35" s="123">
        <v>20</v>
      </c>
      <c r="Z35" s="123">
        <v>0</v>
      </c>
      <c r="AA35" s="122">
        <v>0</v>
      </c>
      <c r="AB35" s="123">
        <v>10</v>
      </c>
      <c r="AC35" s="123">
        <v>10</v>
      </c>
      <c r="AD35" s="200">
        <v>0</v>
      </c>
      <c r="AE35" s="123">
        <v>10</v>
      </c>
      <c r="AF35" s="123">
        <v>10</v>
      </c>
      <c r="AG35" s="200">
        <v>0</v>
      </c>
      <c r="AH35" s="123">
        <v>10</v>
      </c>
      <c r="AI35" s="123">
        <v>10</v>
      </c>
      <c r="AJ35" s="200">
        <v>0</v>
      </c>
      <c r="AK35" s="123">
        <v>10</v>
      </c>
      <c r="AL35" s="123">
        <v>10</v>
      </c>
      <c r="AM35" s="122">
        <v>0</v>
      </c>
      <c r="AN35" s="123">
        <v>0</v>
      </c>
      <c r="AO35" s="123">
        <v>0</v>
      </c>
      <c r="AP35" s="200">
        <v>0</v>
      </c>
      <c r="AQ35" s="123">
        <v>0</v>
      </c>
      <c r="AR35" s="123">
        <v>0</v>
      </c>
      <c r="AS35" s="200">
        <v>0</v>
      </c>
      <c r="AT35" s="123">
        <v>0</v>
      </c>
      <c r="AU35" s="123">
        <v>0</v>
      </c>
      <c r="AV35" s="200">
        <v>0</v>
      </c>
      <c r="AW35" s="123">
        <v>0</v>
      </c>
      <c r="AX35" s="123">
        <v>0</v>
      </c>
      <c r="AY35" s="126">
        <f t="shared" si="0"/>
        <v>0</v>
      </c>
      <c r="AZ35" s="127">
        <f t="shared" si="1"/>
        <v>30</v>
      </c>
      <c r="BA35" s="127">
        <f t="shared" si="2"/>
        <v>10</v>
      </c>
      <c r="BB35" s="199">
        <f t="shared" si="3"/>
        <v>0</v>
      </c>
      <c r="BC35" s="127">
        <f t="shared" si="4"/>
        <v>30</v>
      </c>
      <c r="BD35" s="127">
        <f t="shared" si="5"/>
        <v>10</v>
      </c>
      <c r="BE35" s="199">
        <f t="shared" si="6"/>
        <v>0</v>
      </c>
      <c r="BF35" s="127">
        <f t="shared" si="7"/>
        <v>30</v>
      </c>
      <c r="BG35" s="127">
        <f t="shared" si="8"/>
        <v>10</v>
      </c>
      <c r="BH35" s="199">
        <f t="shared" si="9"/>
        <v>0</v>
      </c>
      <c r="BI35" s="127">
        <f t="shared" si="10"/>
        <v>30</v>
      </c>
      <c r="BJ35" s="127">
        <f t="shared" si="11"/>
        <v>10</v>
      </c>
      <c r="BK35" s="149">
        <f t="shared" si="12"/>
        <v>160</v>
      </c>
      <c r="BL35" s="199">
        <f t="shared" si="13"/>
        <v>40</v>
      </c>
      <c r="BM35" s="127">
        <f t="shared" si="14"/>
        <v>40</v>
      </c>
      <c r="BN35" s="127">
        <f t="shared" si="15"/>
        <v>40</v>
      </c>
      <c r="BO35" s="127">
        <f t="shared" si="16"/>
        <v>40</v>
      </c>
    </row>
    <row r="36" spans="1:67" ht="13.5" customHeight="1" thickTop="1" thickBot="1" x14ac:dyDescent="0.3">
      <c r="A36" s="36" t="s">
        <v>81</v>
      </c>
      <c r="B36" s="203" t="s">
        <v>31</v>
      </c>
      <c r="C36" s="122">
        <v>0</v>
      </c>
      <c r="D36" s="123">
        <v>0</v>
      </c>
      <c r="E36" s="123">
        <v>0</v>
      </c>
      <c r="F36" s="200">
        <v>0</v>
      </c>
      <c r="G36" s="123">
        <v>0</v>
      </c>
      <c r="H36" s="123">
        <v>0</v>
      </c>
      <c r="I36" s="200">
        <v>0</v>
      </c>
      <c r="J36" s="123">
        <v>0</v>
      </c>
      <c r="K36" s="123">
        <v>0</v>
      </c>
      <c r="L36" s="200">
        <v>0</v>
      </c>
      <c r="M36" s="123">
        <v>0</v>
      </c>
      <c r="N36" s="123">
        <v>0</v>
      </c>
      <c r="O36" s="122">
        <v>45</v>
      </c>
      <c r="P36" s="123">
        <v>25</v>
      </c>
      <c r="Q36" s="123">
        <v>25</v>
      </c>
      <c r="R36" s="200">
        <v>25</v>
      </c>
      <c r="S36" s="123">
        <v>5</v>
      </c>
      <c r="T36" s="123">
        <v>5</v>
      </c>
      <c r="U36" s="200">
        <v>10</v>
      </c>
      <c r="V36" s="123">
        <v>0</v>
      </c>
      <c r="W36" s="123">
        <v>0</v>
      </c>
      <c r="X36" s="200">
        <v>10</v>
      </c>
      <c r="Y36" s="123">
        <v>0</v>
      </c>
      <c r="Z36" s="123">
        <v>0</v>
      </c>
      <c r="AA36" s="122">
        <v>0</v>
      </c>
      <c r="AB36" s="123">
        <v>0</v>
      </c>
      <c r="AC36" s="123">
        <v>0</v>
      </c>
      <c r="AD36" s="200">
        <v>0</v>
      </c>
      <c r="AE36" s="123">
        <v>0</v>
      </c>
      <c r="AF36" s="123">
        <v>0</v>
      </c>
      <c r="AG36" s="200">
        <v>0</v>
      </c>
      <c r="AH36" s="123">
        <v>0</v>
      </c>
      <c r="AI36" s="123">
        <v>0</v>
      </c>
      <c r="AJ36" s="200">
        <v>0</v>
      </c>
      <c r="AK36" s="123">
        <v>0</v>
      </c>
      <c r="AL36" s="123">
        <v>0</v>
      </c>
      <c r="AM36" s="122">
        <v>0</v>
      </c>
      <c r="AN36" s="123">
        <v>0</v>
      </c>
      <c r="AO36" s="123">
        <v>0</v>
      </c>
      <c r="AP36" s="200">
        <v>0</v>
      </c>
      <c r="AQ36" s="123">
        <v>0</v>
      </c>
      <c r="AR36" s="123">
        <v>0</v>
      </c>
      <c r="AS36" s="200">
        <v>0</v>
      </c>
      <c r="AT36" s="123">
        <v>0</v>
      </c>
      <c r="AU36" s="123">
        <v>0</v>
      </c>
      <c r="AV36" s="200">
        <v>0</v>
      </c>
      <c r="AW36" s="123">
        <v>0</v>
      </c>
      <c r="AX36" s="123">
        <v>0</v>
      </c>
      <c r="AY36" s="126">
        <f t="shared" ref="AY36:AY52" si="17">O36+AA36+AM36</f>
        <v>45</v>
      </c>
      <c r="AZ36" s="127">
        <f t="shared" ref="AZ36:AZ52" si="18">P36+AB36+AN36</f>
        <v>25</v>
      </c>
      <c r="BA36" s="127">
        <f t="shared" ref="BA36:BA52" si="19">Q36+AC36+AO36</f>
        <v>25</v>
      </c>
      <c r="BB36" s="199">
        <f t="shared" ref="BB36:BB52" si="20">R36+AD36+AP36</f>
        <v>25</v>
      </c>
      <c r="BC36" s="127">
        <f t="shared" ref="BC36:BC52" si="21">S36+AE36+AQ36</f>
        <v>5</v>
      </c>
      <c r="BD36" s="127">
        <f t="shared" ref="BD36:BD52" si="22">T36+AF36+AR36</f>
        <v>5</v>
      </c>
      <c r="BE36" s="199">
        <f t="shared" ref="BE36:BE52" si="23">U36+AG36+AS36</f>
        <v>10</v>
      </c>
      <c r="BF36" s="127">
        <f t="shared" ref="BF36:BF52" si="24">V36+AH36+AT36</f>
        <v>0</v>
      </c>
      <c r="BG36" s="127">
        <f t="shared" ref="BG36:BG52" si="25">W36+AI36+AU36</f>
        <v>0</v>
      </c>
      <c r="BH36" s="199">
        <f t="shared" ref="BH36:BH52" si="26">X36+AJ36+AV36</f>
        <v>10</v>
      </c>
      <c r="BI36" s="127">
        <f t="shared" ref="BI36:BI52" si="27">Y36+AK36+AW36</f>
        <v>0</v>
      </c>
      <c r="BJ36" s="127">
        <f t="shared" ref="BJ36:BJ52" si="28">Z36+AL36+AX36</f>
        <v>0</v>
      </c>
      <c r="BK36" s="149">
        <f t="shared" ref="BK36:BK52" si="29">BL36+BM36+BN36+BO36</f>
        <v>150</v>
      </c>
      <c r="BL36" s="199">
        <f t="shared" ref="BL36:BL52" si="30">AY36+AZ36+BA36</f>
        <v>95</v>
      </c>
      <c r="BM36" s="127">
        <f t="shared" ref="BM36:BM52" si="31">BB36+BC36+BD36</f>
        <v>35</v>
      </c>
      <c r="BN36" s="127">
        <f t="shared" ref="BN36:BN52" si="32">BE36+BF36+BG36</f>
        <v>10</v>
      </c>
      <c r="BO36" s="127">
        <f t="shared" ref="BO36:BO52" si="33">BH36+BI36+BJ36</f>
        <v>10</v>
      </c>
    </row>
    <row r="37" spans="1:67" ht="13.5" customHeight="1" thickTop="1" thickBot="1" x14ac:dyDescent="0.3">
      <c r="A37" s="36" t="s">
        <v>207</v>
      </c>
      <c r="B37" s="203" t="s">
        <v>22</v>
      </c>
      <c r="C37" s="122">
        <v>0</v>
      </c>
      <c r="D37" s="123">
        <v>0</v>
      </c>
      <c r="E37" s="123">
        <v>0</v>
      </c>
      <c r="F37" s="200">
        <v>0</v>
      </c>
      <c r="G37" s="123">
        <v>0</v>
      </c>
      <c r="H37" s="123">
        <v>0</v>
      </c>
      <c r="I37" s="200">
        <v>0</v>
      </c>
      <c r="J37" s="123">
        <v>0</v>
      </c>
      <c r="K37" s="123">
        <v>0</v>
      </c>
      <c r="L37" s="200">
        <v>0</v>
      </c>
      <c r="M37" s="123">
        <v>0</v>
      </c>
      <c r="N37" s="123">
        <v>0</v>
      </c>
      <c r="O37" s="122">
        <v>20</v>
      </c>
      <c r="P37" s="123">
        <v>30</v>
      </c>
      <c r="Q37" s="123">
        <v>20</v>
      </c>
      <c r="R37" s="200">
        <v>20</v>
      </c>
      <c r="S37" s="123">
        <v>30</v>
      </c>
      <c r="T37" s="123">
        <v>20</v>
      </c>
      <c r="U37" s="200">
        <v>0</v>
      </c>
      <c r="V37" s="123">
        <v>0</v>
      </c>
      <c r="W37" s="123">
        <v>0</v>
      </c>
      <c r="X37" s="200">
        <v>0</v>
      </c>
      <c r="Y37" s="123">
        <v>0</v>
      </c>
      <c r="Z37" s="123">
        <v>0</v>
      </c>
      <c r="AA37" s="122">
        <v>0</v>
      </c>
      <c r="AB37" s="123">
        <v>0</v>
      </c>
      <c r="AC37" s="123">
        <v>0</v>
      </c>
      <c r="AD37" s="200">
        <v>0</v>
      </c>
      <c r="AE37" s="123">
        <v>0</v>
      </c>
      <c r="AF37" s="123">
        <v>0</v>
      </c>
      <c r="AG37" s="200">
        <v>0</v>
      </c>
      <c r="AH37" s="123">
        <v>0</v>
      </c>
      <c r="AI37" s="123">
        <v>0</v>
      </c>
      <c r="AJ37" s="200">
        <v>0</v>
      </c>
      <c r="AK37" s="123">
        <v>0</v>
      </c>
      <c r="AL37" s="123">
        <v>0</v>
      </c>
      <c r="AM37" s="122">
        <v>0</v>
      </c>
      <c r="AN37" s="123">
        <v>0</v>
      </c>
      <c r="AO37" s="123">
        <v>0</v>
      </c>
      <c r="AP37" s="200">
        <v>0</v>
      </c>
      <c r="AQ37" s="123">
        <v>0</v>
      </c>
      <c r="AR37" s="123">
        <v>0</v>
      </c>
      <c r="AS37" s="200">
        <v>0</v>
      </c>
      <c r="AT37" s="123">
        <v>0</v>
      </c>
      <c r="AU37" s="123">
        <v>0</v>
      </c>
      <c r="AV37" s="200">
        <v>0</v>
      </c>
      <c r="AW37" s="123">
        <v>0</v>
      </c>
      <c r="AX37" s="123">
        <v>0</v>
      </c>
      <c r="AY37" s="126">
        <f t="shared" si="17"/>
        <v>20</v>
      </c>
      <c r="AZ37" s="127">
        <f t="shared" si="18"/>
        <v>30</v>
      </c>
      <c r="BA37" s="127">
        <f t="shared" si="19"/>
        <v>20</v>
      </c>
      <c r="BB37" s="199">
        <f t="shared" si="20"/>
        <v>20</v>
      </c>
      <c r="BC37" s="127">
        <f t="shared" si="21"/>
        <v>30</v>
      </c>
      <c r="BD37" s="127">
        <f t="shared" si="22"/>
        <v>20</v>
      </c>
      <c r="BE37" s="199">
        <f t="shared" si="23"/>
        <v>0</v>
      </c>
      <c r="BF37" s="127">
        <f t="shared" si="24"/>
        <v>0</v>
      </c>
      <c r="BG37" s="127">
        <f t="shared" si="25"/>
        <v>0</v>
      </c>
      <c r="BH37" s="199">
        <f t="shared" si="26"/>
        <v>0</v>
      </c>
      <c r="BI37" s="127">
        <f t="shared" si="27"/>
        <v>0</v>
      </c>
      <c r="BJ37" s="127">
        <f t="shared" si="28"/>
        <v>0</v>
      </c>
      <c r="BK37" s="149">
        <f t="shared" si="29"/>
        <v>140</v>
      </c>
      <c r="BL37" s="199">
        <f t="shared" si="30"/>
        <v>70</v>
      </c>
      <c r="BM37" s="127">
        <f t="shared" si="31"/>
        <v>70</v>
      </c>
      <c r="BN37" s="127">
        <f t="shared" si="32"/>
        <v>0</v>
      </c>
      <c r="BO37" s="127">
        <f t="shared" si="33"/>
        <v>0</v>
      </c>
    </row>
    <row r="38" spans="1:67" ht="13.5" customHeight="1" thickTop="1" thickBot="1" x14ac:dyDescent="0.3">
      <c r="A38" s="36" t="s">
        <v>210</v>
      </c>
      <c r="B38" s="203" t="s">
        <v>39</v>
      </c>
      <c r="C38" s="122">
        <v>0</v>
      </c>
      <c r="D38" s="123">
        <v>0</v>
      </c>
      <c r="E38" s="123">
        <v>0</v>
      </c>
      <c r="F38" s="200">
        <v>0</v>
      </c>
      <c r="G38" s="123">
        <v>0</v>
      </c>
      <c r="H38" s="123">
        <v>0</v>
      </c>
      <c r="I38" s="200">
        <v>0</v>
      </c>
      <c r="J38" s="123">
        <v>0</v>
      </c>
      <c r="K38" s="123">
        <v>0</v>
      </c>
      <c r="L38" s="200">
        <v>0</v>
      </c>
      <c r="M38" s="123">
        <v>0</v>
      </c>
      <c r="N38" s="123">
        <v>0</v>
      </c>
      <c r="O38" s="122">
        <v>10</v>
      </c>
      <c r="P38" s="123">
        <v>0</v>
      </c>
      <c r="Q38" s="123">
        <v>0</v>
      </c>
      <c r="R38" s="200">
        <v>10</v>
      </c>
      <c r="S38" s="123">
        <v>0</v>
      </c>
      <c r="T38" s="123">
        <v>0</v>
      </c>
      <c r="U38" s="200">
        <v>45</v>
      </c>
      <c r="V38" s="123">
        <v>20</v>
      </c>
      <c r="W38" s="123">
        <v>20</v>
      </c>
      <c r="X38" s="200">
        <v>25</v>
      </c>
      <c r="Y38" s="123">
        <v>5</v>
      </c>
      <c r="Z38" s="123">
        <v>5</v>
      </c>
      <c r="AA38" s="122">
        <v>0</v>
      </c>
      <c r="AB38" s="123">
        <v>0</v>
      </c>
      <c r="AC38" s="123">
        <v>0</v>
      </c>
      <c r="AD38" s="200">
        <v>0</v>
      </c>
      <c r="AE38" s="123">
        <v>0</v>
      </c>
      <c r="AF38" s="123">
        <v>0</v>
      </c>
      <c r="AG38" s="200">
        <v>0</v>
      </c>
      <c r="AH38" s="123">
        <v>0</v>
      </c>
      <c r="AI38" s="123">
        <v>0</v>
      </c>
      <c r="AJ38" s="200">
        <v>0</v>
      </c>
      <c r="AK38" s="123">
        <v>0</v>
      </c>
      <c r="AL38" s="123">
        <v>0</v>
      </c>
      <c r="AM38" s="122">
        <v>0</v>
      </c>
      <c r="AN38" s="123">
        <v>0</v>
      </c>
      <c r="AO38" s="123">
        <v>0</v>
      </c>
      <c r="AP38" s="200">
        <v>0</v>
      </c>
      <c r="AQ38" s="123">
        <v>0</v>
      </c>
      <c r="AR38" s="123">
        <v>0</v>
      </c>
      <c r="AS38" s="200">
        <v>0</v>
      </c>
      <c r="AT38" s="123">
        <v>0</v>
      </c>
      <c r="AU38" s="123">
        <v>0</v>
      </c>
      <c r="AV38" s="200">
        <v>0</v>
      </c>
      <c r="AW38" s="123">
        <v>0</v>
      </c>
      <c r="AX38" s="123">
        <v>0</v>
      </c>
      <c r="AY38" s="126">
        <f t="shared" si="17"/>
        <v>10</v>
      </c>
      <c r="AZ38" s="127">
        <f t="shared" si="18"/>
        <v>0</v>
      </c>
      <c r="BA38" s="127">
        <f t="shared" si="19"/>
        <v>0</v>
      </c>
      <c r="BB38" s="199">
        <f t="shared" si="20"/>
        <v>10</v>
      </c>
      <c r="BC38" s="127">
        <f t="shared" si="21"/>
        <v>0</v>
      </c>
      <c r="BD38" s="127">
        <f t="shared" si="22"/>
        <v>0</v>
      </c>
      <c r="BE38" s="199">
        <f t="shared" si="23"/>
        <v>45</v>
      </c>
      <c r="BF38" s="127">
        <f t="shared" si="24"/>
        <v>20</v>
      </c>
      <c r="BG38" s="127">
        <f t="shared" si="25"/>
        <v>20</v>
      </c>
      <c r="BH38" s="199">
        <f t="shared" si="26"/>
        <v>25</v>
      </c>
      <c r="BI38" s="127">
        <f t="shared" si="27"/>
        <v>5</v>
      </c>
      <c r="BJ38" s="127">
        <f t="shared" si="28"/>
        <v>5</v>
      </c>
      <c r="BK38" s="149">
        <f t="shared" si="29"/>
        <v>140</v>
      </c>
      <c r="BL38" s="199">
        <f t="shared" si="30"/>
        <v>10</v>
      </c>
      <c r="BM38" s="127">
        <f t="shared" si="31"/>
        <v>10</v>
      </c>
      <c r="BN38" s="127">
        <f t="shared" si="32"/>
        <v>85</v>
      </c>
      <c r="BO38" s="127">
        <f t="shared" si="33"/>
        <v>35</v>
      </c>
    </row>
    <row r="39" spans="1:67" ht="13.5" customHeight="1" thickTop="1" thickBot="1" x14ac:dyDescent="0.3">
      <c r="A39" s="36" t="s">
        <v>211</v>
      </c>
      <c r="B39" s="203" t="s">
        <v>645</v>
      </c>
      <c r="C39" s="122">
        <v>0</v>
      </c>
      <c r="D39" s="123">
        <v>0</v>
      </c>
      <c r="E39" s="123">
        <v>0</v>
      </c>
      <c r="F39" s="200">
        <v>0</v>
      </c>
      <c r="G39" s="123">
        <v>0</v>
      </c>
      <c r="H39" s="123">
        <v>0</v>
      </c>
      <c r="I39" s="200">
        <v>0</v>
      </c>
      <c r="J39" s="123">
        <v>0</v>
      </c>
      <c r="K39" s="123">
        <v>0</v>
      </c>
      <c r="L39" s="200">
        <v>0</v>
      </c>
      <c r="M39" s="123">
        <v>0</v>
      </c>
      <c r="N39" s="123">
        <v>0</v>
      </c>
      <c r="O39" s="122">
        <v>20</v>
      </c>
      <c r="P39" s="123">
        <v>0</v>
      </c>
      <c r="Q39" s="123">
        <v>20</v>
      </c>
      <c r="R39" s="200">
        <v>0</v>
      </c>
      <c r="S39" s="123">
        <v>0</v>
      </c>
      <c r="T39" s="123">
        <v>0</v>
      </c>
      <c r="U39" s="200">
        <v>40</v>
      </c>
      <c r="V39" s="123">
        <v>5</v>
      </c>
      <c r="W39" s="123">
        <v>5</v>
      </c>
      <c r="X39" s="200">
        <v>20</v>
      </c>
      <c r="Y39" s="123">
        <v>5</v>
      </c>
      <c r="Z39" s="123">
        <v>5</v>
      </c>
      <c r="AA39" s="122">
        <v>0</v>
      </c>
      <c r="AB39" s="123">
        <v>0</v>
      </c>
      <c r="AC39" s="123">
        <v>0</v>
      </c>
      <c r="AD39" s="200">
        <v>0</v>
      </c>
      <c r="AE39" s="123">
        <v>0</v>
      </c>
      <c r="AF39" s="123">
        <v>0</v>
      </c>
      <c r="AG39" s="200">
        <v>0</v>
      </c>
      <c r="AH39" s="123">
        <v>0</v>
      </c>
      <c r="AI39" s="123">
        <v>0</v>
      </c>
      <c r="AJ39" s="200">
        <v>0</v>
      </c>
      <c r="AK39" s="123">
        <v>0</v>
      </c>
      <c r="AL39" s="123">
        <v>0</v>
      </c>
      <c r="AM39" s="122">
        <v>0</v>
      </c>
      <c r="AN39" s="123">
        <v>0</v>
      </c>
      <c r="AO39" s="123">
        <v>0</v>
      </c>
      <c r="AP39" s="200">
        <v>0</v>
      </c>
      <c r="AQ39" s="123">
        <v>0</v>
      </c>
      <c r="AR39" s="123">
        <v>0</v>
      </c>
      <c r="AS39" s="200">
        <v>0</v>
      </c>
      <c r="AT39" s="123">
        <v>0</v>
      </c>
      <c r="AU39" s="123">
        <v>0</v>
      </c>
      <c r="AV39" s="200">
        <v>0</v>
      </c>
      <c r="AW39" s="123">
        <v>0</v>
      </c>
      <c r="AX39" s="123">
        <v>0</v>
      </c>
      <c r="AY39" s="126">
        <f t="shared" si="17"/>
        <v>20</v>
      </c>
      <c r="AZ39" s="127">
        <f t="shared" si="18"/>
        <v>0</v>
      </c>
      <c r="BA39" s="127">
        <f t="shared" si="19"/>
        <v>20</v>
      </c>
      <c r="BB39" s="199">
        <f t="shared" si="20"/>
        <v>0</v>
      </c>
      <c r="BC39" s="127">
        <f t="shared" si="21"/>
        <v>0</v>
      </c>
      <c r="BD39" s="127">
        <f t="shared" si="22"/>
        <v>0</v>
      </c>
      <c r="BE39" s="199">
        <f t="shared" si="23"/>
        <v>40</v>
      </c>
      <c r="BF39" s="127">
        <f t="shared" si="24"/>
        <v>5</v>
      </c>
      <c r="BG39" s="127">
        <f t="shared" si="25"/>
        <v>5</v>
      </c>
      <c r="BH39" s="199">
        <f t="shared" si="26"/>
        <v>20</v>
      </c>
      <c r="BI39" s="127">
        <f t="shared" si="27"/>
        <v>5</v>
      </c>
      <c r="BJ39" s="127">
        <f t="shared" si="28"/>
        <v>5</v>
      </c>
      <c r="BK39" s="149">
        <f t="shared" si="29"/>
        <v>120</v>
      </c>
      <c r="BL39" s="199">
        <f t="shared" si="30"/>
        <v>40</v>
      </c>
      <c r="BM39" s="127">
        <f t="shared" si="31"/>
        <v>0</v>
      </c>
      <c r="BN39" s="127">
        <f t="shared" si="32"/>
        <v>50</v>
      </c>
      <c r="BO39" s="127">
        <f t="shared" si="33"/>
        <v>30</v>
      </c>
    </row>
    <row r="40" spans="1:67" ht="13.5" customHeight="1" thickTop="1" thickBot="1" x14ac:dyDescent="0.3">
      <c r="A40" s="36" t="s">
        <v>212</v>
      </c>
      <c r="B40" s="202" t="s">
        <v>32</v>
      </c>
      <c r="C40" s="122">
        <v>10</v>
      </c>
      <c r="D40" s="123">
        <v>0</v>
      </c>
      <c r="E40" s="123">
        <v>0</v>
      </c>
      <c r="F40" s="200">
        <v>10</v>
      </c>
      <c r="G40" s="123">
        <v>0</v>
      </c>
      <c r="H40" s="123">
        <v>0</v>
      </c>
      <c r="I40" s="200">
        <v>10</v>
      </c>
      <c r="J40" s="123">
        <v>0</v>
      </c>
      <c r="K40" s="123">
        <v>0</v>
      </c>
      <c r="L40" s="200">
        <v>10</v>
      </c>
      <c r="M40" s="123">
        <v>0</v>
      </c>
      <c r="N40" s="123">
        <v>0</v>
      </c>
      <c r="O40" s="122">
        <v>15</v>
      </c>
      <c r="P40" s="123">
        <v>0</v>
      </c>
      <c r="Q40" s="123">
        <v>0</v>
      </c>
      <c r="R40" s="200">
        <v>15</v>
      </c>
      <c r="S40" s="123">
        <v>0</v>
      </c>
      <c r="T40" s="123">
        <v>0</v>
      </c>
      <c r="U40" s="200">
        <v>15</v>
      </c>
      <c r="V40" s="123">
        <v>0</v>
      </c>
      <c r="W40" s="123">
        <v>0</v>
      </c>
      <c r="X40" s="200">
        <v>15</v>
      </c>
      <c r="Y40" s="123">
        <v>0</v>
      </c>
      <c r="Z40" s="123">
        <v>0</v>
      </c>
      <c r="AA40" s="122">
        <v>10</v>
      </c>
      <c r="AB40" s="123">
        <v>0</v>
      </c>
      <c r="AC40" s="123">
        <v>10</v>
      </c>
      <c r="AD40" s="200">
        <v>10</v>
      </c>
      <c r="AE40" s="123">
        <v>0</v>
      </c>
      <c r="AF40" s="123">
        <v>10</v>
      </c>
      <c r="AG40" s="200">
        <v>10</v>
      </c>
      <c r="AH40" s="123">
        <v>0</v>
      </c>
      <c r="AI40" s="123">
        <v>0</v>
      </c>
      <c r="AJ40" s="200">
        <v>10</v>
      </c>
      <c r="AK40" s="123">
        <v>0</v>
      </c>
      <c r="AL40" s="123">
        <v>0</v>
      </c>
      <c r="AM40" s="122">
        <v>0</v>
      </c>
      <c r="AN40" s="123">
        <v>0</v>
      </c>
      <c r="AO40" s="123">
        <v>0</v>
      </c>
      <c r="AP40" s="200">
        <v>0</v>
      </c>
      <c r="AQ40" s="123">
        <v>0</v>
      </c>
      <c r="AR40" s="123">
        <v>0</v>
      </c>
      <c r="AS40" s="200">
        <v>0</v>
      </c>
      <c r="AT40" s="123">
        <v>0</v>
      </c>
      <c r="AU40" s="123">
        <v>0</v>
      </c>
      <c r="AV40" s="200">
        <v>0</v>
      </c>
      <c r="AW40" s="123">
        <v>0</v>
      </c>
      <c r="AX40" s="123">
        <v>0</v>
      </c>
      <c r="AY40" s="126">
        <f t="shared" si="17"/>
        <v>25</v>
      </c>
      <c r="AZ40" s="127">
        <f t="shared" si="18"/>
        <v>0</v>
      </c>
      <c r="BA40" s="127">
        <f t="shared" si="19"/>
        <v>10</v>
      </c>
      <c r="BB40" s="199">
        <f t="shared" si="20"/>
        <v>25</v>
      </c>
      <c r="BC40" s="127">
        <f t="shared" si="21"/>
        <v>0</v>
      </c>
      <c r="BD40" s="127">
        <f t="shared" si="22"/>
        <v>10</v>
      </c>
      <c r="BE40" s="199">
        <f t="shared" si="23"/>
        <v>25</v>
      </c>
      <c r="BF40" s="127">
        <f t="shared" si="24"/>
        <v>0</v>
      </c>
      <c r="BG40" s="127">
        <f t="shared" si="25"/>
        <v>0</v>
      </c>
      <c r="BH40" s="199">
        <f t="shared" si="26"/>
        <v>25</v>
      </c>
      <c r="BI40" s="127">
        <f t="shared" si="27"/>
        <v>0</v>
      </c>
      <c r="BJ40" s="127">
        <f t="shared" si="28"/>
        <v>0</v>
      </c>
      <c r="BK40" s="149">
        <f t="shared" si="29"/>
        <v>120</v>
      </c>
      <c r="BL40" s="199">
        <f t="shared" si="30"/>
        <v>35</v>
      </c>
      <c r="BM40" s="127">
        <f t="shared" si="31"/>
        <v>35</v>
      </c>
      <c r="BN40" s="127">
        <f t="shared" si="32"/>
        <v>25</v>
      </c>
      <c r="BO40" s="127">
        <f t="shared" si="33"/>
        <v>25</v>
      </c>
    </row>
    <row r="41" spans="1:67" ht="13.5" customHeight="1" thickTop="1" thickBot="1" x14ac:dyDescent="0.3">
      <c r="A41" s="36" t="s">
        <v>213</v>
      </c>
      <c r="B41" s="202" t="s">
        <v>33</v>
      </c>
      <c r="C41" s="122">
        <v>0</v>
      </c>
      <c r="D41" s="123">
        <v>30</v>
      </c>
      <c r="E41" s="123">
        <v>0</v>
      </c>
      <c r="F41" s="200">
        <v>0</v>
      </c>
      <c r="G41" s="123">
        <v>30</v>
      </c>
      <c r="H41" s="123">
        <v>0</v>
      </c>
      <c r="I41" s="200">
        <v>0</v>
      </c>
      <c r="J41" s="123">
        <v>30</v>
      </c>
      <c r="K41" s="123">
        <v>0</v>
      </c>
      <c r="L41" s="200">
        <v>0</v>
      </c>
      <c r="M41" s="123">
        <v>30</v>
      </c>
      <c r="N41" s="123">
        <v>0</v>
      </c>
      <c r="O41" s="122">
        <v>0</v>
      </c>
      <c r="P41" s="123">
        <v>30</v>
      </c>
      <c r="Q41" s="123">
        <v>0</v>
      </c>
      <c r="R41" s="200">
        <v>0</v>
      </c>
      <c r="S41" s="123">
        <v>30</v>
      </c>
      <c r="T41" s="123">
        <v>0</v>
      </c>
      <c r="U41" s="200">
        <v>0</v>
      </c>
      <c r="V41" s="123">
        <v>30</v>
      </c>
      <c r="W41" s="123">
        <v>0</v>
      </c>
      <c r="X41" s="200">
        <v>0</v>
      </c>
      <c r="Y41" s="123">
        <v>30</v>
      </c>
      <c r="Z41" s="123">
        <v>0</v>
      </c>
      <c r="AA41" s="122">
        <v>0</v>
      </c>
      <c r="AB41" s="123">
        <v>0</v>
      </c>
      <c r="AC41" s="123">
        <v>0</v>
      </c>
      <c r="AD41" s="200">
        <v>0</v>
      </c>
      <c r="AE41" s="123">
        <v>0</v>
      </c>
      <c r="AF41" s="123">
        <v>0</v>
      </c>
      <c r="AG41" s="200">
        <v>0</v>
      </c>
      <c r="AH41" s="123">
        <v>0</v>
      </c>
      <c r="AI41" s="123">
        <v>0</v>
      </c>
      <c r="AJ41" s="200">
        <v>0</v>
      </c>
      <c r="AK41" s="123">
        <v>0</v>
      </c>
      <c r="AL41" s="123">
        <v>0</v>
      </c>
      <c r="AM41" s="122">
        <v>0</v>
      </c>
      <c r="AN41" s="123">
        <v>0</v>
      </c>
      <c r="AO41" s="123">
        <v>0</v>
      </c>
      <c r="AP41" s="200">
        <v>0</v>
      </c>
      <c r="AQ41" s="123">
        <v>0</v>
      </c>
      <c r="AR41" s="123">
        <v>0</v>
      </c>
      <c r="AS41" s="200">
        <v>0</v>
      </c>
      <c r="AT41" s="123">
        <v>0</v>
      </c>
      <c r="AU41" s="123">
        <v>0</v>
      </c>
      <c r="AV41" s="200">
        <v>0</v>
      </c>
      <c r="AW41" s="123">
        <v>0</v>
      </c>
      <c r="AX41" s="123">
        <v>0</v>
      </c>
      <c r="AY41" s="126">
        <f t="shared" si="17"/>
        <v>0</v>
      </c>
      <c r="AZ41" s="127">
        <f t="shared" si="18"/>
        <v>30</v>
      </c>
      <c r="BA41" s="127">
        <f t="shared" si="19"/>
        <v>0</v>
      </c>
      <c r="BB41" s="199">
        <f t="shared" si="20"/>
        <v>0</v>
      </c>
      <c r="BC41" s="127">
        <f t="shared" si="21"/>
        <v>30</v>
      </c>
      <c r="BD41" s="127">
        <f t="shared" si="22"/>
        <v>0</v>
      </c>
      <c r="BE41" s="199">
        <f t="shared" si="23"/>
        <v>0</v>
      </c>
      <c r="BF41" s="127">
        <f t="shared" si="24"/>
        <v>30</v>
      </c>
      <c r="BG41" s="127">
        <f t="shared" si="25"/>
        <v>0</v>
      </c>
      <c r="BH41" s="199">
        <f t="shared" si="26"/>
        <v>0</v>
      </c>
      <c r="BI41" s="127">
        <f t="shared" si="27"/>
        <v>30</v>
      </c>
      <c r="BJ41" s="127">
        <f t="shared" si="28"/>
        <v>0</v>
      </c>
      <c r="BK41" s="149">
        <f t="shared" si="29"/>
        <v>120</v>
      </c>
      <c r="BL41" s="199">
        <f t="shared" si="30"/>
        <v>30</v>
      </c>
      <c r="BM41" s="127">
        <f t="shared" si="31"/>
        <v>30</v>
      </c>
      <c r="BN41" s="127">
        <f t="shared" si="32"/>
        <v>30</v>
      </c>
      <c r="BO41" s="127">
        <f t="shared" si="33"/>
        <v>30</v>
      </c>
    </row>
    <row r="42" spans="1:67" ht="13.5" customHeight="1" thickTop="1" thickBot="1" x14ac:dyDescent="0.3">
      <c r="A42" s="36" t="s">
        <v>214</v>
      </c>
      <c r="B42" s="202" t="s">
        <v>37</v>
      </c>
      <c r="C42" s="122">
        <v>25</v>
      </c>
      <c r="D42" s="123">
        <v>0</v>
      </c>
      <c r="E42" s="123">
        <v>0</v>
      </c>
      <c r="F42" s="200">
        <v>0</v>
      </c>
      <c r="G42" s="123">
        <v>0</v>
      </c>
      <c r="H42" s="123">
        <v>0</v>
      </c>
      <c r="I42" s="200">
        <v>0</v>
      </c>
      <c r="J42" s="123">
        <v>0</v>
      </c>
      <c r="K42" s="123">
        <v>0</v>
      </c>
      <c r="L42" s="200">
        <v>0</v>
      </c>
      <c r="M42" s="123">
        <v>0</v>
      </c>
      <c r="N42" s="123">
        <v>0</v>
      </c>
      <c r="O42" s="122">
        <v>25</v>
      </c>
      <c r="P42" s="123">
        <v>0</v>
      </c>
      <c r="Q42" s="123">
        <v>0</v>
      </c>
      <c r="R42" s="200">
        <v>0</v>
      </c>
      <c r="S42" s="123">
        <v>0</v>
      </c>
      <c r="T42" s="123">
        <v>0</v>
      </c>
      <c r="U42" s="200">
        <v>0</v>
      </c>
      <c r="V42" s="123">
        <v>0</v>
      </c>
      <c r="W42" s="123">
        <v>0</v>
      </c>
      <c r="X42" s="200">
        <v>0</v>
      </c>
      <c r="Y42" s="123">
        <v>0</v>
      </c>
      <c r="Z42" s="123">
        <v>0</v>
      </c>
      <c r="AA42" s="122">
        <v>36</v>
      </c>
      <c r="AB42" s="123">
        <v>0</v>
      </c>
      <c r="AC42" s="123">
        <v>0</v>
      </c>
      <c r="AD42" s="200">
        <v>10</v>
      </c>
      <c r="AE42" s="123">
        <v>0</v>
      </c>
      <c r="AF42" s="123">
        <v>0</v>
      </c>
      <c r="AG42" s="200">
        <v>36</v>
      </c>
      <c r="AH42" s="123">
        <v>0</v>
      </c>
      <c r="AI42" s="123">
        <v>0</v>
      </c>
      <c r="AJ42" s="200">
        <v>10</v>
      </c>
      <c r="AK42" s="123">
        <v>0</v>
      </c>
      <c r="AL42" s="123">
        <v>0</v>
      </c>
      <c r="AM42" s="122">
        <v>0</v>
      </c>
      <c r="AN42" s="123">
        <v>0</v>
      </c>
      <c r="AO42" s="123">
        <v>0</v>
      </c>
      <c r="AP42" s="200">
        <v>0</v>
      </c>
      <c r="AQ42" s="123">
        <v>0</v>
      </c>
      <c r="AR42" s="123">
        <v>0</v>
      </c>
      <c r="AS42" s="200">
        <v>0</v>
      </c>
      <c r="AT42" s="123">
        <v>0</v>
      </c>
      <c r="AU42" s="123">
        <v>0</v>
      </c>
      <c r="AV42" s="200">
        <v>0</v>
      </c>
      <c r="AW42" s="123">
        <v>0</v>
      </c>
      <c r="AX42" s="123">
        <v>0</v>
      </c>
      <c r="AY42" s="126">
        <f t="shared" si="17"/>
        <v>61</v>
      </c>
      <c r="AZ42" s="127">
        <f t="shared" si="18"/>
        <v>0</v>
      </c>
      <c r="BA42" s="127">
        <f t="shared" si="19"/>
        <v>0</v>
      </c>
      <c r="BB42" s="199">
        <f t="shared" si="20"/>
        <v>10</v>
      </c>
      <c r="BC42" s="127">
        <f t="shared" si="21"/>
        <v>0</v>
      </c>
      <c r="BD42" s="127">
        <f t="shared" si="22"/>
        <v>0</v>
      </c>
      <c r="BE42" s="199">
        <f t="shared" si="23"/>
        <v>36</v>
      </c>
      <c r="BF42" s="127">
        <f t="shared" si="24"/>
        <v>0</v>
      </c>
      <c r="BG42" s="127">
        <f t="shared" si="25"/>
        <v>0</v>
      </c>
      <c r="BH42" s="199">
        <f t="shared" si="26"/>
        <v>10</v>
      </c>
      <c r="BI42" s="127">
        <f t="shared" si="27"/>
        <v>0</v>
      </c>
      <c r="BJ42" s="127">
        <f t="shared" si="28"/>
        <v>0</v>
      </c>
      <c r="BK42" s="149">
        <f t="shared" si="29"/>
        <v>117</v>
      </c>
      <c r="BL42" s="199">
        <f t="shared" si="30"/>
        <v>61</v>
      </c>
      <c r="BM42" s="127">
        <f t="shared" si="31"/>
        <v>10</v>
      </c>
      <c r="BN42" s="127">
        <f t="shared" si="32"/>
        <v>36</v>
      </c>
      <c r="BO42" s="127">
        <f t="shared" si="33"/>
        <v>10</v>
      </c>
    </row>
    <row r="43" spans="1:67" ht="13.5" customHeight="1" thickTop="1" thickBot="1" x14ac:dyDescent="0.3">
      <c r="A43" s="36" t="s">
        <v>215</v>
      </c>
      <c r="B43" s="202" t="s">
        <v>34</v>
      </c>
      <c r="C43" s="122">
        <v>0</v>
      </c>
      <c r="D43" s="123">
        <v>0</v>
      </c>
      <c r="E43" s="123">
        <v>15</v>
      </c>
      <c r="F43" s="200">
        <v>0</v>
      </c>
      <c r="G43" s="123">
        <v>0</v>
      </c>
      <c r="H43" s="123">
        <v>15</v>
      </c>
      <c r="I43" s="200">
        <v>0</v>
      </c>
      <c r="J43" s="123">
        <v>0</v>
      </c>
      <c r="K43" s="123">
        <v>0</v>
      </c>
      <c r="L43" s="200">
        <v>0</v>
      </c>
      <c r="M43" s="123">
        <v>0</v>
      </c>
      <c r="N43" s="123">
        <v>0</v>
      </c>
      <c r="O43" s="122">
        <v>0</v>
      </c>
      <c r="P43" s="123">
        <v>15</v>
      </c>
      <c r="Q43" s="123">
        <v>30</v>
      </c>
      <c r="R43" s="200">
        <v>0</v>
      </c>
      <c r="S43" s="123">
        <v>15</v>
      </c>
      <c r="T43" s="123">
        <v>0</v>
      </c>
      <c r="U43" s="200">
        <v>0</v>
      </c>
      <c r="V43" s="123">
        <v>0</v>
      </c>
      <c r="W43" s="123">
        <v>0</v>
      </c>
      <c r="X43" s="200">
        <v>0</v>
      </c>
      <c r="Y43" s="123">
        <v>0</v>
      </c>
      <c r="Z43" s="123">
        <v>0</v>
      </c>
      <c r="AA43" s="122">
        <v>0</v>
      </c>
      <c r="AB43" s="123">
        <v>10</v>
      </c>
      <c r="AC43" s="123">
        <v>0</v>
      </c>
      <c r="AD43" s="200">
        <v>0</v>
      </c>
      <c r="AE43" s="123">
        <v>10</v>
      </c>
      <c r="AF43" s="123">
        <v>0</v>
      </c>
      <c r="AG43" s="200">
        <v>0</v>
      </c>
      <c r="AH43" s="123">
        <v>10</v>
      </c>
      <c r="AI43" s="123">
        <v>0</v>
      </c>
      <c r="AJ43" s="200">
        <v>0</v>
      </c>
      <c r="AK43" s="123">
        <v>10</v>
      </c>
      <c r="AL43" s="123">
        <v>0</v>
      </c>
      <c r="AM43" s="122">
        <v>0</v>
      </c>
      <c r="AN43" s="123">
        <v>0</v>
      </c>
      <c r="AO43" s="123">
        <v>0</v>
      </c>
      <c r="AP43" s="200">
        <v>0</v>
      </c>
      <c r="AQ43" s="123">
        <v>0</v>
      </c>
      <c r="AR43" s="123">
        <v>0</v>
      </c>
      <c r="AS43" s="200">
        <v>0</v>
      </c>
      <c r="AT43" s="123">
        <v>0</v>
      </c>
      <c r="AU43" s="123">
        <v>0</v>
      </c>
      <c r="AV43" s="200">
        <v>0</v>
      </c>
      <c r="AW43" s="123">
        <v>0</v>
      </c>
      <c r="AX43" s="123">
        <v>0</v>
      </c>
      <c r="AY43" s="126">
        <f t="shared" si="17"/>
        <v>0</v>
      </c>
      <c r="AZ43" s="127">
        <f t="shared" si="18"/>
        <v>25</v>
      </c>
      <c r="BA43" s="127">
        <f t="shared" si="19"/>
        <v>30</v>
      </c>
      <c r="BB43" s="199">
        <f t="shared" si="20"/>
        <v>0</v>
      </c>
      <c r="BC43" s="127">
        <f t="shared" si="21"/>
        <v>25</v>
      </c>
      <c r="BD43" s="127">
        <f t="shared" si="22"/>
        <v>0</v>
      </c>
      <c r="BE43" s="199">
        <f t="shared" si="23"/>
        <v>0</v>
      </c>
      <c r="BF43" s="127">
        <f t="shared" si="24"/>
        <v>10</v>
      </c>
      <c r="BG43" s="127">
        <f t="shared" si="25"/>
        <v>0</v>
      </c>
      <c r="BH43" s="199">
        <f t="shared" si="26"/>
        <v>0</v>
      </c>
      <c r="BI43" s="127">
        <f t="shared" si="27"/>
        <v>10</v>
      </c>
      <c r="BJ43" s="127">
        <f t="shared" si="28"/>
        <v>0</v>
      </c>
      <c r="BK43" s="149">
        <f t="shared" si="29"/>
        <v>100</v>
      </c>
      <c r="BL43" s="199">
        <f t="shared" si="30"/>
        <v>55</v>
      </c>
      <c r="BM43" s="127">
        <f t="shared" si="31"/>
        <v>25</v>
      </c>
      <c r="BN43" s="127">
        <f t="shared" si="32"/>
        <v>10</v>
      </c>
      <c r="BO43" s="127">
        <f t="shared" si="33"/>
        <v>10</v>
      </c>
    </row>
    <row r="44" spans="1:67" ht="13.5" customHeight="1" thickTop="1" thickBot="1" x14ac:dyDescent="0.3">
      <c r="A44" s="36" t="s">
        <v>216</v>
      </c>
      <c r="B44" s="202" t="s">
        <v>40</v>
      </c>
      <c r="C44" s="122">
        <v>0</v>
      </c>
      <c r="D44" s="123">
        <v>0</v>
      </c>
      <c r="E44" s="123">
        <v>0</v>
      </c>
      <c r="F44" s="200">
        <v>0</v>
      </c>
      <c r="G44" s="123">
        <v>0</v>
      </c>
      <c r="H44" s="123">
        <v>0</v>
      </c>
      <c r="I44" s="200">
        <v>10</v>
      </c>
      <c r="J44" s="123">
        <v>0</v>
      </c>
      <c r="K44" s="123">
        <v>0</v>
      </c>
      <c r="L44" s="200">
        <v>10</v>
      </c>
      <c r="M44" s="123">
        <v>0</v>
      </c>
      <c r="N44" s="123">
        <v>0</v>
      </c>
      <c r="O44" s="122">
        <v>0</v>
      </c>
      <c r="P44" s="123">
        <v>0</v>
      </c>
      <c r="Q44" s="123">
        <v>0</v>
      </c>
      <c r="R44" s="200">
        <v>0</v>
      </c>
      <c r="S44" s="123">
        <v>0</v>
      </c>
      <c r="T44" s="123">
        <v>0</v>
      </c>
      <c r="U44" s="200">
        <v>10</v>
      </c>
      <c r="V44" s="123">
        <v>10</v>
      </c>
      <c r="W44" s="123">
        <v>10</v>
      </c>
      <c r="X44" s="200">
        <v>10</v>
      </c>
      <c r="Y44" s="123">
        <v>10</v>
      </c>
      <c r="Z44" s="123">
        <v>10</v>
      </c>
      <c r="AA44" s="122">
        <v>10</v>
      </c>
      <c r="AB44" s="123">
        <v>0</v>
      </c>
      <c r="AC44" s="123">
        <v>0</v>
      </c>
      <c r="AD44" s="200">
        <v>10</v>
      </c>
      <c r="AE44" s="123">
        <v>0</v>
      </c>
      <c r="AF44" s="123">
        <v>0</v>
      </c>
      <c r="AG44" s="200">
        <v>10</v>
      </c>
      <c r="AH44" s="123">
        <v>0</v>
      </c>
      <c r="AI44" s="123">
        <v>0</v>
      </c>
      <c r="AJ44" s="200">
        <v>10</v>
      </c>
      <c r="AK44" s="123">
        <v>0</v>
      </c>
      <c r="AL44" s="123">
        <v>0</v>
      </c>
      <c r="AM44" s="122">
        <v>0</v>
      </c>
      <c r="AN44" s="123">
        <v>0</v>
      </c>
      <c r="AO44" s="123">
        <v>0</v>
      </c>
      <c r="AP44" s="200">
        <v>0</v>
      </c>
      <c r="AQ44" s="123">
        <v>0</v>
      </c>
      <c r="AR44" s="123">
        <v>0</v>
      </c>
      <c r="AS44" s="200">
        <v>0</v>
      </c>
      <c r="AT44" s="123">
        <v>0</v>
      </c>
      <c r="AU44" s="123">
        <v>0</v>
      </c>
      <c r="AV44" s="200">
        <v>0</v>
      </c>
      <c r="AW44" s="123">
        <v>0</v>
      </c>
      <c r="AX44" s="123">
        <v>0</v>
      </c>
      <c r="AY44" s="126">
        <f t="shared" si="17"/>
        <v>10</v>
      </c>
      <c r="AZ44" s="127">
        <f t="shared" si="18"/>
        <v>0</v>
      </c>
      <c r="BA44" s="127">
        <f t="shared" si="19"/>
        <v>0</v>
      </c>
      <c r="BB44" s="199">
        <f t="shared" si="20"/>
        <v>10</v>
      </c>
      <c r="BC44" s="127">
        <f t="shared" si="21"/>
        <v>0</v>
      </c>
      <c r="BD44" s="127">
        <f t="shared" si="22"/>
        <v>0</v>
      </c>
      <c r="BE44" s="199">
        <f t="shared" si="23"/>
        <v>20</v>
      </c>
      <c r="BF44" s="127">
        <f t="shared" si="24"/>
        <v>10</v>
      </c>
      <c r="BG44" s="127">
        <f t="shared" si="25"/>
        <v>10</v>
      </c>
      <c r="BH44" s="199">
        <f t="shared" si="26"/>
        <v>20</v>
      </c>
      <c r="BI44" s="127">
        <f t="shared" si="27"/>
        <v>10</v>
      </c>
      <c r="BJ44" s="127">
        <f t="shared" si="28"/>
        <v>10</v>
      </c>
      <c r="BK44" s="149">
        <f t="shared" si="29"/>
        <v>100</v>
      </c>
      <c r="BL44" s="199">
        <f t="shared" si="30"/>
        <v>10</v>
      </c>
      <c r="BM44" s="127">
        <f t="shared" si="31"/>
        <v>10</v>
      </c>
      <c r="BN44" s="127">
        <f t="shared" si="32"/>
        <v>40</v>
      </c>
      <c r="BO44" s="127">
        <f t="shared" si="33"/>
        <v>40</v>
      </c>
    </row>
    <row r="45" spans="1:67" ht="13.5" customHeight="1" thickTop="1" thickBot="1" x14ac:dyDescent="0.3">
      <c r="A45" s="36" t="s">
        <v>217</v>
      </c>
      <c r="B45" s="202" t="s">
        <v>36</v>
      </c>
      <c r="C45" s="122">
        <v>15</v>
      </c>
      <c r="D45" s="123">
        <v>0</v>
      </c>
      <c r="E45" s="123">
        <v>0</v>
      </c>
      <c r="F45" s="200">
        <v>0</v>
      </c>
      <c r="G45" s="123">
        <v>0</v>
      </c>
      <c r="H45" s="123">
        <v>0</v>
      </c>
      <c r="I45" s="200">
        <v>0</v>
      </c>
      <c r="J45" s="123">
        <v>0</v>
      </c>
      <c r="K45" s="123">
        <v>0</v>
      </c>
      <c r="L45" s="200">
        <v>0</v>
      </c>
      <c r="M45" s="123">
        <v>0</v>
      </c>
      <c r="N45" s="123">
        <v>0</v>
      </c>
      <c r="O45" s="122">
        <v>20</v>
      </c>
      <c r="P45" s="123">
        <v>15</v>
      </c>
      <c r="Q45" s="123">
        <v>20</v>
      </c>
      <c r="R45" s="200">
        <v>0</v>
      </c>
      <c r="S45" s="123">
        <v>0</v>
      </c>
      <c r="T45" s="123">
        <v>0</v>
      </c>
      <c r="U45" s="200">
        <v>0</v>
      </c>
      <c r="V45" s="123">
        <v>0</v>
      </c>
      <c r="W45" s="123">
        <v>0</v>
      </c>
      <c r="X45" s="200">
        <v>0</v>
      </c>
      <c r="Y45" s="123">
        <v>0</v>
      </c>
      <c r="Z45" s="123">
        <v>0</v>
      </c>
      <c r="AA45" s="122">
        <v>0</v>
      </c>
      <c r="AB45" s="123">
        <v>0</v>
      </c>
      <c r="AC45" s="123">
        <v>10</v>
      </c>
      <c r="AD45" s="200">
        <v>0</v>
      </c>
      <c r="AE45" s="123">
        <v>0</v>
      </c>
      <c r="AF45" s="123">
        <v>10</v>
      </c>
      <c r="AG45" s="200">
        <v>0</v>
      </c>
      <c r="AH45" s="123">
        <v>0</v>
      </c>
      <c r="AI45" s="123">
        <v>10</v>
      </c>
      <c r="AJ45" s="200">
        <v>0</v>
      </c>
      <c r="AK45" s="123">
        <v>0</v>
      </c>
      <c r="AL45" s="123">
        <v>10</v>
      </c>
      <c r="AM45" s="122">
        <v>0</v>
      </c>
      <c r="AN45" s="123">
        <v>0</v>
      </c>
      <c r="AO45" s="123">
        <v>0</v>
      </c>
      <c r="AP45" s="200">
        <v>0</v>
      </c>
      <c r="AQ45" s="123">
        <v>0</v>
      </c>
      <c r="AR45" s="123">
        <v>0</v>
      </c>
      <c r="AS45" s="200">
        <v>0</v>
      </c>
      <c r="AT45" s="123">
        <v>0</v>
      </c>
      <c r="AU45" s="123">
        <v>0</v>
      </c>
      <c r="AV45" s="200">
        <v>0</v>
      </c>
      <c r="AW45" s="123">
        <v>0</v>
      </c>
      <c r="AX45" s="123">
        <v>0</v>
      </c>
      <c r="AY45" s="126">
        <f t="shared" si="17"/>
        <v>20</v>
      </c>
      <c r="AZ45" s="127">
        <f t="shared" si="18"/>
        <v>15</v>
      </c>
      <c r="BA45" s="127">
        <f t="shared" si="19"/>
        <v>30</v>
      </c>
      <c r="BB45" s="199">
        <f t="shared" si="20"/>
        <v>0</v>
      </c>
      <c r="BC45" s="127">
        <f t="shared" si="21"/>
        <v>0</v>
      </c>
      <c r="BD45" s="127">
        <f t="shared" si="22"/>
        <v>10</v>
      </c>
      <c r="BE45" s="199">
        <f t="shared" si="23"/>
        <v>0</v>
      </c>
      <c r="BF45" s="127">
        <f t="shared" si="24"/>
        <v>0</v>
      </c>
      <c r="BG45" s="127">
        <f t="shared" si="25"/>
        <v>10</v>
      </c>
      <c r="BH45" s="199">
        <f t="shared" si="26"/>
        <v>0</v>
      </c>
      <c r="BI45" s="127">
        <f t="shared" si="27"/>
        <v>0</v>
      </c>
      <c r="BJ45" s="127">
        <f t="shared" si="28"/>
        <v>10</v>
      </c>
      <c r="BK45" s="149">
        <f t="shared" si="29"/>
        <v>95</v>
      </c>
      <c r="BL45" s="199">
        <f t="shared" si="30"/>
        <v>65</v>
      </c>
      <c r="BM45" s="127">
        <f t="shared" si="31"/>
        <v>10</v>
      </c>
      <c r="BN45" s="127">
        <f t="shared" si="32"/>
        <v>10</v>
      </c>
      <c r="BO45" s="127">
        <f t="shared" si="33"/>
        <v>10</v>
      </c>
    </row>
    <row r="46" spans="1:67" ht="13.5" customHeight="1" thickTop="1" thickBot="1" x14ac:dyDescent="0.3">
      <c r="A46" s="36" t="s">
        <v>218</v>
      </c>
      <c r="B46" s="202" t="s">
        <v>29</v>
      </c>
      <c r="C46" s="122">
        <v>0</v>
      </c>
      <c r="D46" s="123">
        <v>15</v>
      </c>
      <c r="E46" s="123">
        <v>0</v>
      </c>
      <c r="F46" s="200">
        <v>0</v>
      </c>
      <c r="G46" s="123">
        <v>15</v>
      </c>
      <c r="H46" s="123">
        <v>0</v>
      </c>
      <c r="I46" s="200">
        <v>0</v>
      </c>
      <c r="J46" s="123">
        <v>0</v>
      </c>
      <c r="K46" s="123">
        <v>0</v>
      </c>
      <c r="L46" s="200">
        <v>0</v>
      </c>
      <c r="M46" s="123">
        <v>0</v>
      </c>
      <c r="N46" s="123">
        <v>0</v>
      </c>
      <c r="O46" s="122">
        <v>0</v>
      </c>
      <c r="P46" s="123">
        <v>25</v>
      </c>
      <c r="Q46" s="123">
        <v>20</v>
      </c>
      <c r="R46" s="200">
        <v>0</v>
      </c>
      <c r="S46" s="123">
        <v>25</v>
      </c>
      <c r="T46" s="123">
        <v>20</v>
      </c>
      <c r="U46" s="200">
        <v>0</v>
      </c>
      <c r="V46" s="123">
        <v>0</v>
      </c>
      <c r="W46" s="123">
        <v>0</v>
      </c>
      <c r="X46" s="200">
        <v>0</v>
      </c>
      <c r="Y46" s="123">
        <v>0</v>
      </c>
      <c r="Z46" s="123">
        <v>0</v>
      </c>
      <c r="AA46" s="122">
        <v>0</v>
      </c>
      <c r="AB46" s="123">
        <v>0</v>
      </c>
      <c r="AC46" s="123">
        <v>0</v>
      </c>
      <c r="AD46" s="200">
        <v>0</v>
      </c>
      <c r="AE46" s="123">
        <v>0</v>
      </c>
      <c r="AF46" s="123">
        <v>0</v>
      </c>
      <c r="AG46" s="200">
        <v>0</v>
      </c>
      <c r="AH46" s="123">
        <v>0</v>
      </c>
      <c r="AI46" s="123">
        <v>0</v>
      </c>
      <c r="AJ46" s="200">
        <v>0</v>
      </c>
      <c r="AK46" s="123">
        <v>0</v>
      </c>
      <c r="AL46" s="123">
        <v>0</v>
      </c>
      <c r="AM46" s="122">
        <v>0</v>
      </c>
      <c r="AN46" s="123">
        <v>0</v>
      </c>
      <c r="AO46" s="123">
        <v>0</v>
      </c>
      <c r="AP46" s="200">
        <v>0</v>
      </c>
      <c r="AQ46" s="123">
        <v>0</v>
      </c>
      <c r="AR46" s="123">
        <v>0</v>
      </c>
      <c r="AS46" s="200">
        <v>0</v>
      </c>
      <c r="AT46" s="123">
        <v>0</v>
      </c>
      <c r="AU46" s="123">
        <v>0</v>
      </c>
      <c r="AV46" s="200">
        <v>0</v>
      </c>
      <c r="AW46" s="123">
        <v>0</v>
      </c>
      <c r="AX46" s="123">
        <v>0</v>
      </c>
      <c r="AY46" s="126">
        <f t="shared" si="17"/>
        <v>0</v>
      </c>
      <c r="AZ46" s="127">
        <f t="shared" si="18"/>
        <v>25</v>
      </c>
      <c r="BA46" s="127">
        <f t="shared" si="19"/>
        <v>20</v>
      </c>
      <c r="BB46" s="199">
        <f t="shared" si="20"/>
        <v>0</v>
      </c>
      <c r="BC46" s="127">
        <f t="shared" si="21"/>
        <v>25</v>
      </c>
      <c r="BD46" s="127">
        <f t="shared" si="22"/>
        <v>20</v>
      </c>
      <c r="BE46" s="199">
        <f t="shared" si="23"/>
        <v>0</v>
      </c>
      <c r="BF46" s="127">
        <f t="shared" si="24"/>
        <v>0</v>
      </c>
      <c r="BG46" s="127">
        <f t="shared" si="25"/>
        <v>0</v>
      </c>
      <c r="BH46" s="199">
        <f t="shared" si="26"/>
        <v>0</v>
      </c>
      <c r="BI46" s="127">
        <f t="shared" si="27"/>
        <v>0</v>
      </c>
      <c r="BJ46" s="127">
        <f t="shared" si="28"/>
        <v>0</v>
      </c>
      <c r="BK46" s="149">
        <f t="shared" si="29"/>
        <v>90</v>
      </c>
      <c r="BL46" s="199">
        <f t="shared" si="30"/>
        <v>45</v>
      </c>
      <c r="BM46" s="127">
        <f t="shared" si="31"/>
        <v>45</v>
      </c>
      <c r="BN46" s="127">
        <f t="shared" si="32"/>
        <v>0</v>
      </c>
      <c r="BO46" s="127">
        <f t="shared" si="33"/>
        <v>0</v>
      </c>
    </row>
    <row r="47" spans="1:67" ht="13.5" customHeight="1" thickTop="1" thickBot="1" x14ac:dyDescent="0.3">
      <c r="A47" s="36" t="s">
        <v>434</v>
      </c>
      <c r="B47" s="203" t="s">
        <v>26</v>
      </c>
      <c r="C47" s="122">
        <v>0</v>
      </c>
      <c r="D47" s="123">
        <v>0</v>
      </c>
      <c r="E47" s="123">
        <v>0</v>
      </c>
      <c r="F47" s="200">
        <v>0</v>
      </c>
      <c r="G47" s="123">
        <v>20</v>
      </c>
      <c r="H47" s="123">
        <v>0</v>
      </c>
      <c r="I47" s="200">
        <v>0</v>
      </c>
      <c r="J47" s="123">
        <v>0</v>
      </c>
      <c r="K47" s="123">
        <v>0</v>
      </c>
      <c r="L47" s="200">
        <v>0</v>
      </c>
      <c r="M47" s="123">
        <v>0</v>
      </c>
      <c r="N47" s="123">
        <v>0</v>
      </c>
      <c r="O47" s="122">
        <v>0</v>
      </c>
      <c r="P47" s="123">
        <v>0</v>
      </c>
      <c r="Q47" s="123">
        <v>0</v>
      </c>
      <c r="R47" s="200">
        <v>0</v>
      </c>
      <c r="S47" s="123">
        <v>40</v>
      </c>
      <c r="T47" s="123">
        <v>20</v>
      </c>
      <c r="U47" s="200">
        <v>0</v>
      </c>
      <c r="V47" s="123">
        <v>0</v>
      </c>
      <c r="W47" s="123">
        <v>0</v>
      </c>
      <c r="X47" s="200">
        <v>0</v>
      </c>
      <c r="Y47" s="123">
        <v>0</v>
      </c>
      <c r="Z47" s="123">
        <v>0</v>
      </c>
      <c r="AA47" s="122">
        <v>0</v>
      </c>
      <c r="AB47" s="123">
        <v>0</v>
      </c>
      <c r="AC47" s="123">
        <v>0</v>
      </c>
      <c r="AD47" s="200">
        <v>0</v>
      </c>
      <c r="AE47" s="123">
        <v>0</v>
      </c>
      <c r="AF47" s="123">
        <v>0</v>
      </c>
      <c r="AG47" s="200">
        <v>0</v>
      </c>
      <c r="AH47" s="123">
        <v>0</v>
      </c>
      <c r="AI47" s="123">
        <v>0</v>
      </c>
      <c r="AJ47" s="200">
        <v>0</v>
      </c>
      <c r="AK47" s="123">
        <v>0</v>
      </c>
      <c r="AL47" s="123">
        <v>0</v>
      </c>
      <c r="AM47" s="122">
        <v>0</v>
      </c>
      <c r="AN47" s="123">
        <v>0</v>
      </c>
      <c r="AO47" s="123">
        <v>0</v>
      </c>
      <c r="AP47" s="200">
        <v>0</v>
      </c>
      <c r="AQ47" s="123">
        <v>0</v>
      </c>
      <c r="AR47" s="123">
        <v>0</v>
      </c>
      <c r="AS47" s="200">
        <v>0</v>
      </c>
      <c r="AT47" s="123">
        <v>0</v>
      </c>
      <c r="AU47" s="123">
        <v>0</v>
      </c>
      <c r="AV47" s="200">
        <v>0</v>
      </c>
      <c r="AW47" s="123">
        <v>0</v>
      </c>
      <c r="AX47" s="123">
        <v>0</v>
      </c>
      <c r="AY47" s="126">
        <f t="shared" si="17"/>
        <v>0</v>
      </c>
      <c r="AZ47" s="127">
        <f t="shared" si="18"/>
        <v>0</v>
      </c>
      <c r="BA47" s="127">
        <f t="shared" si="19"/>
        <v>0</v>
      </c>
      <c r="BB47" s="199">
        <f t="shared" si="20"/>
        <v>0</v>
      </c>
      <c r="BC47" s="127">
        <f t="shared" si="21"/>
        <v>40</v>
      </c>
      <c r="BD47" s="127">
        <f t="shared" si="22"/>
        <v>20</v>
      </c>
      <c r="BE47" s="199">
        <f t="shared" si="23"/>
        <v>0</v>
      </c>
      <c r="BF47" s="127">
        <f t="shared" si="24"/>
        <v>0</v>
      </c>
      <c r="BG47" s="127">
        <f t="shared" si="25"/>
        <v>0</v>
      </c>
      <c r="BH47" s="199">
        <f t="shared" si="26"/>
        <v>0</v>
      </c>
      <c r="BI47" s="127">
        <f t="shared" si="27"/>
        <v>0</v>
      </c>
      <c r="BJ47" s="127">
        <f t="shared" si="28"/>
        <v>0</v>
      </c>
      <c r="BK47" s="149">
        <f t="shared" si="29"/>
        <v>60</v>
      </c>
      <c r="BL47" s="199">
        <f t="shared" si="30"/>
        <v>0</v>
      </c>
      <c r="BM47" s="127">
        <f t="shared" si="31"/>
        <v>60</v>
      </c>
      <c r="BN47" s="127">
        <f t="shared" si="32"/>
        <v>0</v>
      </c>
      <c r="BO47" s="127">
        <f t="shared" si="33"/>
        <v>0</v>
      </c>
    </row>
    <row r="48" spans="1:67" ht="13.5" customHeight="1" thickTop="1" thickBot="1" x14ac:dyDescent="0.3">
      <c r="A48" s="36" t="s">
        <v>435</v>
      </c>
      <c r="B48" s="203" t="s">
        <v>35</v>
      </c>
      <c r="C48" s="122">
        <v>15</v>
      </c>
      <c r="D48" s="123">
        <v>0</v>
      </c>
      <c r="E48" s="123">
        <v>0</v>
      </c>
      <c r="F48" s="200">
        <v>15</v>
      </c>
      <c r="G48" s="123">
        <v>0</v>
      </c>
      <c r="H48" s="123">
        <v>0</v>
      </c>
      <c r="I48" s="200">
        <v>0</v>
      </c>
      <c r="J48" s="123">
        <v>0</v>
      </c>
      <c r="K48" s="123">
        <v>0</v>
      </c>
      <c r="L48" s="200">
        <v>0</v>
      </c>
      <c r="M48" s="123">
        <v>0</v>
      </c>
      <c r="N48" s="123">
        <v>0</v>
      </c>
      <c r="O48" s="122">
        <v>25</v>
      </c>
      <c r="P48" s="123">
        <v>0</v>
      </c>
      <c r="Q48" s="123">
        <v>0</v>
      </c>
      <c r="R48" s="200">
        <v>25</v>
      </c>
      <c r="S48" s="123">
        <v>0</v>
      </c>
      <c r="T48" s="123">
        <v>0</v>
      </c>
      <c r="U48" s="200">
        <v>0</v>
      </c>
      <c r="V48" s="123">
        <v>0</v>
      </c>
      <c r="W48" s="123">
        <v>0</v>
      </c>
      <c r="X48" s="200">
        <v>0</v>
      </c>
      <c r="Y48" s="123">
        <v>0</v>
      </c>
      <c r="Z48" s="123">
        <v>0</v>
      </c>
      <c r="AA48" s="122">
        <v>0</v>
      </c>
      <c r="AB48" s="123">
        <v>0</v>
      </c>
      <c r="AC48" s="123">
        <v>0</v>
      </c>
      <c r="AD48" s="200">
        <v>0</v>
      </c>
      <c r="AE48" s="123">
        <v>0</v>
      </c>
      <c r="AF48" s="123">
        <v>0</v>
      </c>
      <c r="AG48" s="200">
        <v>0</v>
      </c>
      <c r="AH48" s="123">
        <v>0</v>
      </c>
      <c r="AI48" s="123">
        <v>0</v>
      </c>
      <c r="AJ48" s="200">
        <v>0</v>
      </c>
      <c r="AK48" s="123">
        <v>0</v>
      </c>
      <c r="AL48" s="123">
        <v>0</v>
      </c>
      <c r="AM48" s="122">
        <v>0</v>
      </c>
      <c r="AN48" s="123">
        <v>0</v>
      </c>
      <c r="AO48" s="123">
        <v>0</v>
      </c>
      <c r="AP48" s="200">
        <v>0</v>
      </c>
      <c r="AQ48" s="123">
        <v>0</v>
      </c>
      <c r="AR48" s="123">
        <v>0</v>
      </c>
      <c r="AS48" s="200">
        <v>0</v>
      </c>
      <c r="AT48" s="123">
        <v>0</v>
      </c>
      <c r="AU48" s="123">
        <v>0</v>
      </c>
      <c r="AV48" s="200">
        <v>0</v>
      </c>
      <c r="AW48" s="123">
        <v>0</v>
      </c>
      <c r="AX48" s="123">
        <v>0</v>
      </c>
      <c r="AY48" s="126">
        <f t="shared" si="17"/>
        <v>25</v>
      </c>
      <c r="AZ48" s="127">
        <f t="shared" si="18"/>
        <v>0</v>
      </c>
      <c r="BA48" s="127">
        <f t="shared" si="19"/>
        <v>0</v>
      </c>
      <c r="BB48" s="199">
        <f t="shared" si="20"/>
        <v>25</v>
      </c>
      <c r="BC48" s="127">
        <f t="shared" si="21"/>
        <v>0</v>
      </c>
      <c r="BD48" s="127">
        <f t="shared" si="22"/>
        <v>0</v>
      </c>
      <c r="BE48" s="199">
        <f t="shared" si="23"/>
        <v>0</v>
      </c>
      <c r="BF48" s="127">
        <f t="shared" si="24"/>
        <v>0</v>
      </c>
      <c r="BG48" s="127">
        <f t="shared" si="25"/>
        <v>0</v>
      </c>
      <c r="BH48" s="199">
        <f t="shared" si="26"/>
        <v>0</v>
      </c>
      <c r="BI48" s="127">
        <f t="shared" si="27"/>
        <v>0</v>
      </c>
      <c r="BJ48" s="127">
        <f t="shared" si="28"/>
        <v>0</v>
      </c>
      <c r="BK48" s="149">
        <f t="shared" si="29"/>
        <v>50</v>
      </c>
      <c r="BL48" s="199">
        <f t="shared" si="30"/>
        <v>25</v>
      </c>
      <c r="BM48" s="127">
        <f t="shared" si="31"/>
        <v>25</v>
      </c>
      <c r="BN48" s="127">
        <f t="shared" si="32"/>
        <v>0</v>
      </c>
      <c r="BO48" s="127">
        <f t="shared" si="33"/>
        <v>0</v>
      </c>
    </row>
    <row r="49" spans="1:67" ht="13.5" customHeight="1" thickTop="1" thickBot="1" x14ac:dyDescent="0.3">
      <c r="A49" s="36" t="s">
        <v>436</v>
      </c>
      <c r="B49" s="202"/>
      <c r="C49" s="122">
        <v>0</v>
      </c>
      <c r="D49" s="123">
        <v>0</v>
      </c>
      <c r="E49" s="123">
        <v>0</v>
      </c>
      <c r="F49" s="200">
        <v>0</v>
      </c>
      <c r="G49" s="123">
        <v>0</v>
      </c>
      <c r="H49" s="123">
        <v>0</v>
      </c>
      <c r="I49" s="200">
        <v>0</v>
      </c>
      <c r="J49" s="123">
        <v>0</v>
      </c>
      <c r="K49" s="123">
        <v>0</v>
      </c>
      <c r="L49" s="200">
        <v>0</v>
      </c>
      <c r="M49" s="123">
        <v>0</v>
      </c>
      <c r="N49" s="123">
        <v>0</v>
      </c>
      <c r="O49" s="122">
        <v>0</v>
      </c>
      <c r="P49" s="123">
        <v>0</v>
      </c>
      <c r="Q49" s="123">
        <v>0</v>
      </c>
      <c r="R49" s="200">
        <v>0</v>
      </c>
      <c r="S49" s="123">
        <v>0</v>
      </c>
      <c r="T49" s="123">
        <v>0</v>
      </c>
      <c r="U49" s="200">
        <v>0</v>
      </c>
      <c r="V49" s="123">
        <v>0</v>
      </c>
      <c r="W49" s="123">
        <v>0</v>
      </c>
      <c r="X49" s="200">
        <v>0</v>
      </c>
      <c r="Y49" s="123">
        <v>0</v>
      </c>
      <c r="Z49" s="123">
        <v>0</v>
      </c>
      <c r="AA49" s="122">
        <v>0</v>
      </c>
      <c r="AB49" s="123">
        <v>0</v>
      </c>
      <c r="AC49" s="123">
        <v>0</v>
      </c>
      <c r="AD49" s="200">
        <v>0</v>
      </c>
      <c r="AE49" s="123">
        <v>0</v>
      </c>
      <c r="AF49" s="123">
        <v>0</v>
      </c>
      <c r="AG49" s="200">
        <v>0</v>
      </c>
      <c r="AH49" s="123">
        <v>0</v>
      </c>
      <c r="AI49" s="123">
        <v>0</v>
      </c>
      <c r="AJ49" s="200">
        <v>0</v>
      </c>
      <c r="AK49" s="123">
        <v>0</v>
      </c>
      <c r="AL49" s="123">
        <v>0</v>
      </c>
      <c r="AM49" s="122">
        <v>0</v>
      </c>
      <c r="AN49" s="123">
        <v>0</v>
      </c>
      <c r="AO49" s="123">
        <v>0</v>
      </c>
      <c r="AP49" s="200">
        <v>0</v>
      </c>
      <c r="AQ49" s="123">
        <v>0</v>
      </c>
      <c r="AR49" s="123">
        <v>0</v>
      </c>
      <c r="AS49" s="200">
        <v>0</v>
      </c>
      <c r="AT49" s="123">
        <v>0</v>
      </c>
      <c r="AU49" s="123">
        <v>0</v>
      </c>
      <c r="AV49" s="200">
        <v>0</v>
      </c>
      <c r="AW49" s="123">
        <v>0</v>
      </c>
      <c r="AX49" s="123">
        <v>0</v>
      </c>
      <c r="AY49" s="126">
        <f t="shared" si="17"/>
        <v>0</v>
      </c>
      <c r="AZ49" s="127">
        <f t="shared" si="18"/>
        <v>0</v>
      </c>
      <c r="BA49" s="127">
        <f t="shared" si="19"/>
        <v>0</v>
      </c>
      <c r="BB49" s="199">
        <f t="shared" si="20"/>
        <v>0</v>
      </c>
      <c r="BC49" s="127">
        <f t="shared" si="21"/>
        <v>0</v>
      </c>
      <c r="BD49" s="127">
        <f t="shared" si="22"/>
        <v>0</v>
      </c>
      <c r="BE49" s="199">
        <f t="shared" si="23"/>
        <v>0</v>
      </c>
      <c r="BF49" s="127">
        <f t="shared" si="24"/>
        <v>0</v>
      </c>
      <c r="BG49" s="127">
        <f t="shared" si="25"/>
        <v>0</v>
      </c>
      <c r="BH49" s="199">
        <f t="shared" si="26"/>
        <v>0</v>
      </c>
      <c r="BI49" s="127">
        <f t="shared" si="27"/>
        <v>0</v>
      </c>
      <c r="BJ49" s="127">
        <f t="shared" si="28"/>
        <v>0</v>
      </c>
      <c r="BK49" s="149">
        <f t="shared" si="29"/>
        <v>0</v>
      </c>
      <c r="BL49" s="199">
        <f t="shared" si="30"/>
        <v>0</v>
      </c>
      <c r="BM49" s="127">
        <f t="shared" si="31"/>
        <v>0</v>
      </c>
      <c r="BN49" s="127">
        <f t="shared" si="32"/>
        <v>0</v>
      </c>
      <c r="BO49" s="127">
        <f t="shared" si="33"/>
        <v>0</v>
      </c>
    </row>
    <row r="50" spans="1:67" ht="13.5" customHeight="1" thickTop="1" thickBot="1" x14ac:dyDescent="0.3">
      <c r="A50" s="36" t="s">
        <v>437</v>
      </c>
      <c r="B50" s="202"/>
      <c r="C50" s="122">
        <v>0</v>
      </c>
      <c r="D50" s="123">
        <v>0</v>
      </c>
      <c r="E50" s="123">
        <v>0</v>
      </c>
      <c r="F50" s="200">
        <v>0</v>
      </c>
      <c r="G50" s="123">
        <v>0</v>
      </c>
      <c r="H50" s="123">
        <v>0</v>
      </c>
      <c r="I50" s="200">
        <v>0</v>
      </c>
      <c r="J50" s="123">
        <v>0</v>
      </c>
      <c r="K50" s="123">
        <v>0</v>
      </c>
      <c r="L50" s="200">
        <v>0</v>
      </c>
      <c r="M50" s="123">
        <v>0</v>
      </c>
      <c r="N50" s="123">
        <v>0</v>
      </c>
      <c r="O50" s="122">
        <v>0</v>
      </c>
      <c r="P50" s="123">
        <v>0</v>
      </c>
      <c r="Q50" s="123">
        <v>0</v>
      </c>
      <c r="R50" s="200">
        <v>0</v>
      </c>
      <c r="S50" s="123">
        <v>0</v>
      </c>
      <c r="T50" s="123">
        <v>0</v>
      </c>
      <c r="U50" s="200">
        <v>0</v>
      </c>
      <c r="V50" s="123">
        <v>0</v>
      </c>
      <c r="W50" s="123">
        <v>0</v>
      </c>
      <c r="X50" s="200">
        <v>0</v>
      </c>
      <c r="Y50" s="123">
        <v>0</v>
      </c>
      <c r="Z50" s="123">
        <v>0</v>
      </c>
      <c r="AA50" s="122">
        <v>0</v>
      </c>
      <c r="AB50" s="123">
        <v>0</v>
      </c>
      <c r="AC50" s="123">
        <v>0</v>
      </c>
      <c r="AD50" s="200">
        <v>0</v>
      </c>
      <c r="AE50" s="123">
        <v>0</v>
      </c>
      <c r="AF50" s="123">
        <v>0</v>
      </c>
      <c r="AG50" s="200">
        <v>0</v>
      </c>
      <c r="AH50" s="123">
        <v>0</v>
      </c>
      <c r="AI50" s="123">
        <v>0</v>
      </c>
      <c r="AJ50" s="200">
        <v>0</v>
      </c>
      <c r="AK50" s="123">
        <v>0</v>
      </c>
      <c r="AL50" s="123">
        <v>0</v>
      </c>
      <c r="AM50" s="122">
        <v>0</v>
      </c>
      <c r="AN50" s="123">
        <v>0</v>
      </c>
      <c r="AO50" s="123">
        <v>0</v>
      </c>
      <c r="AP50" s="200">
        <v>0</v>
      </c>
      <c r="AQ50" s="123">
        <v>0</v>
      </c>
      <c r="AR50" s="123">
        <v>0</v>
      </c>
      <c r="AS50" s="200">
        <v>0</v>
      </c>
      <c r="AT50" s="123">
        <v>0</v>
      </c>
      <c r="AU50" s="123">
        <v>0</v>
      </c>
      <c r="AV50" s="200">
        <v>0</v>
      </c>
      <c r="AW50" s="123">
        <v>0</v>
      </c>
      <c r="AX50" s="123">
        <v>0</v>
      </c>
      <c r="AY50" s="126">
        <f t="shared" si="17"/>
        <v>0</v>
      </c>
      <c r="AZ50" s="127">
        <f t="shared" si="18"/>
        <v>0</v>
      </c>
      <c r="BA50" s="127">
        <f t="shared" si="19"/>
        <v>0</v>
      </c>
      <c r="BB50" s="199">
        <f t="shared" si="20"/>
        <v>0</v>
      </c>
      <c r="BC50" s="127">
        <f t="shared" si="21"/>
        <v>0</v>
      </c>
      <c r="BD50" s="127">
        <f t="shared" si="22"/>
        <v>0</v>
      </c>
      <c r="BE50" s="199">
        <f t="shared" si="23"/>
        <v>0</v>
      </c>
      <c r="BF50" s="127">
        <f t="shared" si="24"/>
        <v>0</v>
      </c>
      <c r="BG50" s="127">
        <f t="shared" si="25"/>
        <v>0</v>
      </c>
      <c r="BH50" s="199">
        <f t="shared" si="26"/>
        <v>0</v>
      </c>
      <c r="BI50" s="127">
        <f t="shared" si="27"/>
        <v>0</v>
      </c>
      <c r="BJ50" s="127">
        <f t="shared" si="28"/>
        <v>0</v>
      </c>
      <c r="BK50" s="149">
        <f t="shared" si="29"/>
        <v>0</v>
      </c>
      <c r="BL50" s="199">
        <f t="shared" si="30"/>
        <v>0</v>
      </c>
      <c r="BM50" s="127">
        <f t="shared" si="31"/>
        <v>0</v>
      </c>
      <c r="BN50" s="127">
        <f t="shared" si="32"/>
        <v>0</v>
      </c>
      <c r="BO50" s="127">
        <f t="shared" si="33"/>
        <v>0</v>
      </c>
    </row>
    <row r="51" spans="1:67" ht="13.5" customHeight="1" thickTop="1" thickBot="1" x14ac:dyDescent="0.3">
      <c r="A51" s="36" t="s">
        <v>438</v>
      </c>
      <c r="B51" s="202"/>
      <c r="C51" s="122">
        <v>0</v>
      </c>
      <c r="D51" s="123">
        <v>0</v>
      </c>
      <c r="E51" s="123">
        <v>0</v>
      </c>
      <c r="F51" s="200">
        <v>0</v>
      </c>
      <c r="G51" s="123">
        <v>0</v>
      </c>
      <c r="H51" s="123">
        <v>0</v>
      </c>
      <c r="I51" s="200">
        <v>0</v>
      </c>
      <c r="J51" s="123">
        <v>0</v>
      </c>
      <c r="K51" s="123">
        <v>0</v>
      </c>
      <c r="L51" s="200">
        <v>0</v>
      </c>
      <c r="M51" s="123">
        <v>0</v>
      </c>
      <c r="N51" s="123">
        <v>0</v>
      </c>
      <c r="O51" s="122">
        <v>0</v>
      </c>
      <c r="P51" s="123">
        <v>0</v>
      </c>
      <c r="Q51" s="123">
        <v>0</v>
      </c>
      <c r="R51" s="200">
        <v>0</v>
      </c>
      <c r="S51" s="123">
        <v>0</v>
      </c>
      <c r="T51" s="123">
        <v>0</v>
      </c>
      <c r="U51" s="200">
        <v>0</v>
      </c>
      <c r="V51" s="123">
        <v>0</v>
      </c>
      <c r="W51" s="123">
        <v>0</v>
      </c>
      <c r="X51" s="200">
        <v>0</v>
      </c>
      <c r="Y51" s="123">
        <v>0</v>
      </c>
      <c r="Z51" s="123">
        <v>0</v>
      </c>
      <c r="AA51" s="122">
        <v>0</v>
      </c>
      <c r="AB51" s="123">
        <v>0</v>
      </c>
      <c r="AC51" s="123">
        <v>0</v>
      </c>
      <c r="AD51" s="200">
        <v>0</v>
      </c>
      <c r="AE51" s="123">
        <v>0</v>
      </c>
      <c r="AF51" s="123">
        <v>0</v>
      </c>
      <c r="AG51" s="200">
        <v>0</v>
      </c>
      <c r="AH51" s="123">
        <v>0</v>
      </c>
      <c r="AI51" s="123">
        <v>0</v>
      </c>
      <c r="AJ51" s="200">
        <v>0</v>
      </c>
      <c r="AK51" s="123">
        <v>0</v>
      </c>
      <c r="AL51" s="123">
        <v>0</v>
      </c>
      <c r="AM51" s="122">
        <v>0</v>
      </c>
      <c r="AN51" s="123">
        <v>0</v>
      </c>
      <c r="AO51" s="123">
        <v>0</v>
      </c>
      <c r="AP51" s="200">
        <v>0</v>
      </c>
      <c r="AQ51" s="123">
        <v>0</v>
      </c>
      <c r="AR51" s="123">
        <v>0</v>
      </c>
      <c r="AS51" s="200">
        <v>0</v>
      </c>
      <c r="AT51" s="123">
        <v>0</v>
      </c>
      <c r="AU51" s="123">
        <v>0</v>
      </c>
      <c r="AV51" s="200">
        <v>0</v>
      </c>
      <c r="AW51" s="123">
        <v>0</v>
      </c>
      <c r="AX51" s="123">
        <v>0</v>
      </c>
      <c r="AY51" s="126">
        <f t="shared" si="17"/>
        <v>0</v>
      </c>
      <c r="AZ51" s="127">
        <f t="shared" si="18"/>
        <v>0</v>
      </c>
      <c r="BA51" s="127">
        <f t="shared" si="19"/>
        <v>0</v>
      </c>
      <c r="BB51" s="199">
        <f t="shared" si="20"/>
        <v>0</v>
      </c>
      <c r="BC51" s="127">
        <f t="shared" si="21"/>
        <v>0</v>
      </c>
      <c r="BD51" s="127">
        <f t="shared" si="22"/>
        <v>0</v>
      </c>
      <c r="BE51" s="199">
        <f t="shared" si="23"/>
        <v>0</v>
      </c>
      <c r="BF51" s="127">
        <f t="shared" si="24"/>
        <v>0</v>
      </c>
      <c r="BG51" s="127">
        <f t="shared" si="25"/>
        <v>0</v>
      </c>
      <c r="BH51" s="199">
        <f t="shared" si="26"/>
        <v>0</v>
      </c>
      <c r="BI51" s="127">
        <f t="shared" si="27"/>
        <v>0</v>
      </c>
      <c r="BJ51" s="127">
        <f t="shared" si="28"/>
        <v>0</v>
      </c>
      <c r="BK51" s="149">
        <f t="shared" si="29"/>
        <v>0</v>
      </c>
      <c r="BL51" s="199">
        <f t="shared" si="30"/>
        <v>0</v>
      </c>
      <c r="BM51" s="127">
        <f t="shared" si="31"/>
        <v>0</v>
      </c>
      <c r="BN51" s="127">
        <f t="shared" si="32"/>
        <v>0</v>
      </c>
      <c r="BO51" s="127">
        <f t="shared" si="33"/>
        <v>0</v>
      </c>
    </row>
    <row r="52" spans="1:67" ht="13.5" customHeight="1" thickTop="1" thickBot="1" x14ac:dyDescent="0.3">
      <c r="A52" s="36" t="s">
        <v>439</v>
      </c>
      <c r="B52" s="202"/>
      <c r="C52" s="122">
        <v>0</v>
      </c>
      <c r="D52" s="123">
        <v>0</v>
      </c>
      <c r="E52" s="123">
        <v>0</v>
      </c>
      <c r="F52" s="200">
        <v>0</v>
      </c>
      <c r="G52" s="123">
        <v>0</v>
      </c>
      <c r="H52" s="123">
        <v>0</v>
      </c>
      <c r="I52" s="200">
        <v>0</v>
      </c>
      <c r="J52" s="123">
        <v>0</v>
      </c>
      <c r="K52" s="123">
        <v>0</v>
      </c>
      <c r="L52" s="200">
        <v>0</v>
      </c>
      <c r="M52" s="123">
        <v>0</v>
      </c>
      <c r="N52" s="123">
        <v>0</v>
      </c>
      <c r="O52" s="122">
        <v>0</v>
      </c>
      <c r="P52" s="123">
        <v>0</v>
      </c>
      <c r="Q52" s="123">
        <v>0</v>
      </c>
      <c r="R52" s="200">
        <v>0</v>
      </c>
      <c r="S52" s="123">
        <v>0</v>
      </c>
      <c r="T52" s="123">
        <v>0</v>
      </c>
      <c r="U52" s="200">
        <v>0</v>
      </c>
      <c r="V52" s="123">
        <v>0</v>
      </c>
      <c r="W52" s="123">
        <v>0</v>
      </c>
      <c r="X52" s="200">
        <v>0</v>
      </c>
      <c r="Y52" s="123">
        <v>0</v>
      </c>
      <c r="Z52" s="123">
        <v>0</v>
      </c>
      <c r="AA52" s="122">
        <v>0</v>
      </c>
      <c r="AB52" s="123">
        <v>0</v>
      </c>
      <c r="AC52" s="123">
        <v>0</v>
      </c>
      <c r="AD52" s="200">
        <v>0</v>
      </c>
      <c r="AE52" s="123">
        <v>0</v>
      </c>
      <c r="AF52" s="123">
        <v>0</v>
      </c>
      <c r="AG52" s="200">
        <v>0</v>
      </c>
      <c r="AH52" s="123">
        <v>0</v>
      </c>
      <c r="AI52" s="123">
        <v>0</v>
      </c>
      <c r="AJ52" s="200">
        <v>0</v>
      </c>
      <c r="AK52" s="123">
        <v>0</v>
      </c>
      <c r="AL52" s="123">
        <v>0</v>
      </c>
      <c r="AM52" s="122">
        <v>0</v>
      </c>
      <c r="AN52" s="123">
        <v>0</v>
      </c>
      <c r="AO52" s="123">
        <v>0</v>
      </c>
      <c r="AP52" s="200">
        <v>0</v>
      </c>
      <c r="AQ52" s="123">
        <v>0</v>
      </c>
      <c r="AR52" s="123">
        <v>0</v>
      </c>
      <c r="AS52" s="200">
        <v>0</v>
      </c>
      <c r="AT52" s="123">
        <v>0</v>
      </c>
      <c r="AU52" s="123">
        <v>0</v>
      </c>
      <c r="AV52" s="200">
        <v>0</v>
      </c>
      <c r="AW52" s="123">
        <v>0</v>
      </c>
      <c r="AX52" s="123">
        <v>0</v>
      </c>
      <c r="AY52" s="126">
        <f t="shared" si="17"/>
        <v>0</v>
      </c>
      <c r="AZ52" s="127">
        <f t="shared" si="18"/>
        <v>0</v>
      </c>
      <c r="BA52" s="127">
        <f t="shared" si="19"/>
        <v>0</v>
      </c>
      <c r="BB52" s="199">
        <f t="shared" si="20"/>
        <v>0</v>
      </c>
      <c r="BC52" s="127">
        <f t="shared" si="21"/>
        <v>0</v>
      </c>
      <c r="BD52" s="127">
        <f t="shared" si="22"/>
        <v>0</v>
      </c>
      <c r="BE52" s="199">
        <f t="shared" si="23"/>
        <v>0</v>
      </c>
      <c r="BF52" s="127">
        <f t="shared" si="24"/>
        <v>0</v>
      </c>
      <c r="BG52" s="127">
        <f t="shared" si="25"/>
        <v>0</v>
      </c>
      <c r="BH52" s="199">
        <f t="shared" si="26"/>
        <v>0</v>
      </c>
      <c r="BI52" s="127">
        <f t="shared" si="27"/>
        <v>0</v>
      </c>
      <c r="BJ52" s="127">
        <f t="shared" si="28"/>
        <v>0</v>
      </c>
      <c r="BK52" s="149">
        <f t="shared" si="29"/>
        <v>0</v>
      </c>
      <c r="BL52" s="199">
        <f t="shared" si="30"/>
        <v>0</v>
      </c>
      <c r="BM52" s="127">
        <f t="shared" si="31"/>
        <v>0</v>
      </c>
      <c r="BN52" s="127">
        <f t="shared" si="32"/>
        <v>0</v>
      </c>
      <c r="BO52" s="127">
        <f t="shared" si="33"/>
        <v>0</v>
      </c>
    </row>
    <row r="53" spans="1:67" ht="13.5" customHeight="1" thickTop="1" thickBot="1" x14ac:dyDescent="0.3">
      <c r="A53" s="36" t="s">
        <v>440</v>
      </c>
      <c r="B53" s="202"/>
      <c r="C53" s="122">
        <v>0</v>
      </c>
      <c r="D53" s="123">
        <v>0</v>
      </c>
      <c r="E53" s="123">
        <v>0</v>
      </c>
      <c r="F53" s="200">
        <v>0</v>
      </c>
      <c r="G53" s="123">
        <v>0</v>
      </c>
      <c r="H53" s="123">
        <v>0</v>
      </c>
      <c r="I53" s="200">
        <v>0</v>
      </c>
      <c r="J53" s="123">
        <v>0</v>
      </c>
      <c r="K53" s="123">
        <v>0</v>
      </c>
      <c r="L53" s="200">
        <v>0</v>
      </c>
      <c r="M53" s="123">
        <v>0</v>
      </c>
      <c r="N53" s="123">
        <v>0</v>
      </c>
      <c r="O53" s="122">
        <v>0</v>
      </c>
      <c r="P53" s="123">
        <v>0</v>
      </c>
      <c r="Q53" s="123">
        <v>0</v>
      </c>
      <c r="R53" s="200">
        <v>0</v>
      </c>
      <c r="S53" s="123">
        <v>0</v>
      </c>
      <c r="T53" s="123">
        <v>0</v>
      </c>
      <c r="U53" s="200">
        <v>0</v>
      </c>
      <c r="V53" s="123">
        <v>0</v>
      </c>
      <c r="W53" s="123">
        <v>0</v>
      </c>
      <c r="X53" s="200">
        <v>0</v>
      </c>
      <c r="Y53" s="123">
        <v>0</v>
      </c>
      <c r="Z53" s="123">
        <v>0</v>
      </c>
      <c r="AA53" s="122">
        <v>0</v>
      </c>
      <c r="AB53" s="123">
        <v>0</v>
      </c>
      <c r="AC53" s="123">
        <v>0</v>
      </c>
      <c r="AD53" s="200">
        <v>0</v>
      </c>
      <c r="AE53" s="123">
        <v>0</v>
      </c>
      <c r="AF53" s="123">
        <v>0</v>
      </c>
      <c r="AG53" s="200">
        <v>0</v>
      </c>
      <c r="AH53" s="123">
        <v>0</v>
      </c>
      <c r="AI53" s="123">
        <v>0</v>
      </c>
      <c r="AJ53" s="200">
        <v>0</v>
      </c>
      <c r="AK53" s="123">
        <v>0</v>
      </c>
      <c r="AL53" s="123">
        <v>0</v>
      </c>
      <c r="AM53" s="122">
        <v>0</v>
      </c>
      <c r="AN53" s="123">
        <v>0</v>
      </c>
      <c r="AO53" s="123">
        <v>0</v>
      </c>
      <c r="AP53" s="200">
        <v>0</v>
      </c>
      <c r="AQ53" s="123">
        <v>0</v>
      </c>
      <c r="AR53" s="123">
        <v>0</v>
      </c>
      <c r="AS53" s="200">
        <v>0</v>
      </c>
      <c r="AT53" s="123">
        <v>0</v>
      </c>
      <c r="AU53" s="123">
        <v>0</v>
      </c>
      <c r="AV53" s="200">
        <v>0</v>
      </c>
      <c r="AW53" s="123">
        <v>0</v>
      </c>
      <c r="AX53" s="123">
        <v>0</v>
      </c>
      <c r="AY53" s="126">
        <f t="shared" ref="AY53:AY60" si="34">O53+AA53+AM53</f>
        <v>0</v>
      </c>
      <c r="AZ53" s="127">
        <f t="shared" ref="AZ53:AZ60" si="35">P53+AB53+AN53</f>
        <v>0</v>
      </c>
      <c r="BA53" s="127">
        <f t="shared" ref="BA53:BA60" si="36">Q53+AC53+AO53</f>
        <v>0</v>
      </c>
      <c r="BB53" s="199">
        <f t="shared" ref="BB53:BB60" si="37">R53+AD53+AP53</f>
        <v>0</v>
      </c>
      <c r="BC53" s="127">
        <f t="shared" ref="BC53:BC60" si="38">S53+AE53+AQ53</f>
        <v>0</v>
      </c>
      <c r="BD53" s="127">
        <f t="shared" ref="BD53:BD60" si="39">T53+AF53+AR53</f>
        <v>0</v>
      </c>
      <c r="BE53" s="199">
        <f t="shared" ref="BE53:BE60" si="40">U53+AG53+AS53</f>
        <v>0</v>
      </c>
      <c r="BF53" s="127">
        <f t="shared" ref="BF53:BF60" si="41">V53+AH53+AT53</f>
        <v>0</v>
      </c>
      <c r="BG53" s="127">
        <f t="shared" ref="BG53:BG60" si="42">W53+AI53+AU53</f>
        <v>0</v>
      </c>
      <c r="BH53" s="199">
        <f t="shared" ref="BH53:BH60" si="43">X53+AJ53+AV53</f>
        <v>0</v>
      </c>
      <c r="BI53" s="127">
        <f t="shared" ref="BI53:BI60" si="44">Y53+AK53+AW53</f>
        <v>0</v>
      </c>
      <c r="BJ53" s="127">
        <f t="shared" ref="BJ53:BJ60" si="45">Z53+AL53+AX53</f>
        <v>0</v>
      </c>
      <c r="BK53" s="149">
        <f t="shared" ref="BK53:BK60" si="46">BL53+BM53+BN53+BO53</f>
        <v>0</v>
      </c>
      <c r="BL53" s="199">
        <f t="shared" ref="BL53:BL60" si="47">AY53+AZ53+BA53</f>
        <v>0</v>
      </c>
      <c r="BM53" s="127">
        <f t="shared" ref="BM53:BM60" si="48">BB53+BC53+BD53</f>
        <v>0</v>
      </c>
      <c r="BN53" s="127">
        <f t="shared" ref="BN53:BN60" si="49">BE53+BF53+BG53</f>
        <v>0</v>
      </c>
      <c r="BO53" s="127">
        <f t="shared" ref="BO53:BO60" si="50">BH53+BI53+BJ53</f>
        <v>0</v>
      </c>
    </row>
    <row r="54" spans="1:67" ht="13.5" customHeight="1" thickTop="1" thickBot="1" x14ac:dyDescent="0.3">
      <c r="A54" s="36" t="s">
        <v>441</v>
      </c>
      <c r="B54" s="202"/>
      <c r="C54" s="122">
        <v>0</v>
      </c>
      <c r="D54" s="123">
        <v>0</v>
      </c>
      <c r="E54" s="123">
        <v>0</v>
      </c>
      <c r="F54" s="200">
        <v>0</v>
      </c>
      <c r="G54" s="123">
        <v>0</v>
      </c>
      <c r="H54" s="123">
        <v>0</v>
      </c>
      <c r="I54" s="200">
        <v>0</v>
      </c>
      <c r="J54" s="123">
        <v>0</v>
      </c>
      <c r="K54" s="123">
        <v>0</v>
      </c>
      <c r="L54" s="200">
        <v>0</v>
      </c>
      <c r="M54" s="123">
        <v>0</v>
      </c>
      <c r="N54" s="123">
        <v>0</v>
      </c>
      <c r="O54" s="122">
        <v>0</v>
      </c>
      <c r="P54" s="123">
        <v>0</v>
      </c>
      <c r="Q54" s="123">
        <v>0</v>
      </c>
      <c r="R54" s="200">
        <v>0</v>
      </c>
      <c r="S54" s="123">
        <v>0</v>
      </c>
      <c r="T54" s="123">
        <v>0</v>
      </c>
      <c r="U54" s="200">
        <v>0</v>
      </c>
      <c r="V54" s="123">
        <v>0</v>
      </c>
      <c r="W54" s="123">
        <v>0</v>
      </c>
      <c r="X54" s="200">
        <v>0</v>
      </c>
      <c r="Y54" s="123">
        <v>0</v>
      </c>
      <c r="Z54" s="123">
        <v>0</v>
      </c>
      <c r="AA54" s="122">
        <v>0</v>
      </c>
      <c r="AB54" s="123">
        <v>0</v>
      </c>
      <c r="AC54" s="123">
        <v>0</v>
      </c>
      <c r="AD54" s="200">
        <v>0</v>
      </c>
      <c r="AE54" s="123">
        <v>0</v>
      </c>
      <c r="AF54" s="123">
        <v>0</v>
      </c>
      <c r="AG54" s="200">
        <v>0</v>
      </c>
      <c r="AH54" s="123">
        <v>0</v>
      </c>
      <c r="AI54" s="123">
        <v>0</v>
      </c>
      <c r="AJ54" s="200">
        <v>0</v>
      </c>
      <c r="AK54" s="123">
        <v>0</v>
      </c>
      <c r="AL54" s="123">
        <v>0</v>
      </c>
      <c r="AM54" s="122">
        <v>0</v>
      </c>
      <c r="AN54" s="123">
        <v>0</v>
      </c>
      <c r="AO54" s="123">
        <v>0</v>
      </c>
      <c r="AP54" s="200">
        <v>0</v>
      </c>
      <c r="AQ54" s="123">
        <v>0</v>
      </c>
      <c r="AR54" s="123">
        <v>0</v>
      </c>
      <c r="AS54" s="200">
        <v>0</v>
      </c>
      <c r="AT54" s="123">
        <v>0</v>
      </c>
      <c r="AU54" s="123">
        <v>0</v>
      </c>
      <c r="AV54" s="200">
        <v>0</v>
      </c>
      <c r="AW54" s="123">
        <v>0</v>
      </c>
      <c r="AX54" s="123">
        <v>0</v>
      </c>
      <c r="AY54" s="126">
        <f t="shared" si="34"/>
        <v>0</v>
      </c>
      <c r="AZ54" s="127">
        <f t="shared" si="35"/>
        <v>0</v>
      </c>
      <c r="BA54" s="127">
        <f t="shared" si="36"/>
        <v>0</v>
      </c>
      <c r="BB54" s="199">
        <f t="shared" si="37"/>
        <v>0</v>
      </c>
      <c r="BC54" s="127">
        <f t="shared" si="38"/>
        <v>0</v>
      </c>
      <c r="BD54" s="127">
        <f t="shared" si="39"/>
        <v>0</v>
      </c>
      <c r="BE54" s="199">
        <f t="shared" si="40"/>
        <v>0</v>
      </c>
      <c r="BF54" s="127">
        <f t="shared" si="41"/>
        <v>0</v>
      </c>
      <c r="BG54" s="127">
        <f t="shared" si="42"/>
        <v>0</v>
      </c>
      <c r="BH54" s="199">
        <f t="shared" si="43"/>
        <v>0</v>
      </c>
      <c r="BI54" s="127">
        <f t="shared" si="44"/>
        <v>0</v>
      </c>
      <c r="BJ54" s="127">
        <f t="shared" si="45"/>
        <v>0</v>
      </c>
      <c r="BK54" s="149">
        <f t="shared" si="46"/>
        <v>0</v>
      </c>
      <c r="BL54" s="199">
        <f t="shared" si="47"/>
        <v>0</v>
      </c>
      <c r="BM54" s="127">
        <f t="shared" si="48"/>
        <v>0</v>
      </c>
      <c r="BN54" s="127">
        <f t="shared" si="49"/>
        <v>0</v>
      </c>
      <c r="BO54" s="127">
        <f t="shared" si="50"/>
        <v>0</v>
      </c>
    </row>
    <row r="55" spans="1:67" ht="13.5" customHeight="1" thickTop="1" thickBot="1" x14ac:dyDescent="0.3">
      <c r="A55" s="36" t="s">
        <v>442</v>
      </c>
      <c r="B55" s="202"/>
      <c r="C55" s="122">
        <v>0</v>
      </c>
      <c r="D55" s="123">
        <v>0</v>
      </c>
      <c r="E55" s="123">
        <v>0</v>
      </c>
      <c r="F55" s="200">
        <v>0</v>
      </c>
      <c r="G55" s="123">
        <v>0</v>
      </c>
      <c r="H55" s="123">
        <v>0</v>
      </c>
      <c r="I55" s="200">
        <v>0</v>
      </c>
      <c r="J55" s="123">
        <v>0</v>
      </c>
      <c r="K55" s="123">
        <v>0</v>
      </c>
      <c r="L55" s="200">
        <v>0</v>
      </c>
      <c r="M55" s="123">
        <v>0</v>
      </c>
      <c r="N55" s="123">
        <v>0</v>
      </c>
      <c r="O55" s="122">
        <v>0</v>
      </c>
      <c r="P55" s="123">
        <v>0</v>
      </c>
      <c r="Q55" s="123">
        <v>0</v>
      </c>
      <c r="R55" s="200">
        <v>0</v>
      </c>
      <c r="S55" s="123">
        <v>0</v>
      </c>
      <c r="T55" s="123">
        <v>0</v>
      </c>
      <c r="U55" s="200">
        <v>0</v>
      </c>
      <c r="V55" s="123">
        <v>0</v>
      </c>
      <c r="W55" s="123">
        <v>0</v>
      </c>
      <c r="X55" s="200">
        <v>0</v>
      </c>
      <c r="Y55" s="123">
        <v>0</v>
      </c>
      <c r="Z55" s="123">
        <v>0</v>
      </c>
      <c r="AA55" s="122">
        <v>0</v>
      </c>
      <c r="AB55" s="123">
        <v>0</v>
      </c>
      <c r="AC55" s="123">
        <v>0</v>
      </c>
      <c r="AD55" s="200">
        <v>0</v>
      </c>
      <c r="AE55" s="123">
        <v>0</v>
      </c>
      <c r="AF55" s="123">
        <v>0</v>
      </c>
      <c r="AG55" s="200">
        <v>0</v>
      </c>
      <c r="AH55" s="123">
        <v>0</v>
      </c>
      <c r="AI55" s="123">
        <v>0</v>
      </c>
      <c r="AJ55" s="200">
        <v>0</v>
      </c>
      <c r="AK55" s="123">
        <v>0</v>
      </c>
      <c r="AL55" s="123">
        <v>0</v>
      </c>
      <c r="AM55" s="122">
        <v>0</v>
      </c>
      <c r="AN55" s="123">
        <v>0</v>
      </c>
      <c r="AO55" s="123">
        <v>0</v>
      </c>
      <c r="AP55" s="200">
        <v>0</v>
      </c>
      <c r="AQ55" s="123">
        <v>0</v>
      </c>
      <c r="AR55" s="123">
        <v>0</v>
      </c>
      <c r="AS55" s="200">
        <v>0</v>
      </c>
      <c r="AT55" s="123">
        <v>0</v>
      </c>
      <c r="AU55" s="123">
        <v>0</v>
      </c>
      <c r="AV55" s="200">
        <v>0</v>
      </c>
      <c r="AW55" s="123">
        <v>0</v>
      </c>
      <c r="AX55" s="123">
        <v>0</v>
      </c>
      <c r="AY55" s="126">
        <f t="shared" si="34"/>
        <v>0</v>
      </c>
      <c r="AZ55" s="127">
        <f t="shared" si="35"/>
        <v>0</v>
      </c>
      <c r="BA55" s="127">
        <f t="shared" si="36"/>
        <v>0</v>
      </c>
      <c r="BB55" s="199">
        <f t="shared" si="37"/>
        <v>0</v>
      </c>
      <c r="BC55" s="127">
        <f t="shared" si="38"/>
        <v>0</v>
      </c>
      <c r="BD55" s="127">
        <f t="shared" si="39"/>
        <v>0</v>
      </c>
      <c r="BE55" s="199">
        <f t="shared" si="40"/>
        <v>0</v>
      </c>
      <c r="BF55" s="127">
        <f t="shared" si="41"/>
        <v>0</v>
      </c>
      <c r="BG55" s="127">
        <f t="shared" si="42"/>
        <v>0</v>
      </c>
      <c r="BH55" s="199">
        <f t="shared" si="43"/>
        <v>0</v>
      </c>
      <c r="BI55" s="127">
        <f t="shared" si="44"/>
        <v>0</v>
      </c>
      <c r="BJ55" s="127">
        <f t="shared" si="45"/>
        <v>0</v>
      </c>
      <c r="BK55" s="149">
        <f t="shared" si="46"/>
        <v>0</v>
      </c>
      <c r="BL55" s="199">
        <f t="shared" si="47"/>
        <v>0</v>
      </c>
      <c r="BM55" s="127">
        <f t="shared" si="48"/>
        <v>0</v>
      </c>
      <c r="BN55" s="127">
        <f t="shared" si="49"/>
        <v>0</v>
      </c>
      <c r="BO55" s="127">
        <f t="shared" si="50"/>
        <v>0</v>
      </c>
    </row>
    <row r="56" spans="1:67" ht="13.5" customHeight="1" thickTop="1" thickBot="1" x14ac:dyDescent="0.3">
      <c r="A56" s="36" t="s">
        <v>443</v>
      </c>
      <c r="B56" s="202"/>
      <c r="C56" s="122">
        <v>0</v>
      </c>
      <c r="D56" s="123">
        <v>0</v>
      </c>
      <c r="E56" s="123">
        <v>0</v>
      </c>
      <c r="F56" s="200">
        <v>0</v>
      </c>
      <c r="G56" s="123">
        <v>0</v>
      </c>
      <c r="H56" s="123">
        <v>0</v>
      </c>
      <c r="I56" s="200">
        <v>0</v>
      </c>
      <c r="J56" s="123">
        <v>0</v>
      </c>
      <c r="K56" s="123">
        <v>0</v>
      </c>
      <c r="L56" s="200">
        <v>0</v>
      </c>
      <c r="M56" s="123">
        <v>0</v>
      </c>
      <c r="N56" s="123">
        <v>0</v>
      </c>
      <c r="O56" s="122">
        <v>0</v>
      </c>
      <c r="P56" s="123">
        <v>0</v>
      </c>
      <c r="Q56" s="123">
        <v>0</v>
      </c>
      <c r="R56" s="200">
        <v>0</v>
      </c>
      <c r="S56" s="123">
        <v>0</v>
      </c>
      <c r="T56" s="123">
        <v>0</v>
      </c>
      <c r="U56" s="200">
        <v>0</v>
      </c>
      <c r="V56" s="123">
        <v>0</v>
      </c>
      <c r="W56" s="123">
        <v>0</v>
      </c>
      <c r="X56" s="200">
        <v>0</v>
      </c>
      <c r="Y56" s="123">
        <v>0</v>
      </c>
      <c r="Z56" s="123">
        <v>0</v>
      </c>
      <c r="AA56" s="122">
        <v>0</v>
      </c>
      <c r="AB56" s="123">
        <v>0</v>
      </c>
      <c r="AC56" s="123">
        <v>0</v>
      </c>
      <c r="AD56" s="200">
        <v>0</v>
      </c>
      <c r="AE56" s="123">
        <v>0</v>
      </c>
      <c r="AF56" s="123">
        <v>0</v>
      </c>
      <c r="AG56" s="200">
        <v>0</v>
      </c>
      <c r="AH56" s="123">
        <v>0</v>
      </c>
      <c r="AI56" s="123">
        <v>0</v>
      </c>
      <c r="AJ56" s="200">
        <v>0</v>
      </c>
      <c r="AK56" s="123">
        <v>0</v>
      </c>
      <c r="AL56" s="123">
        <v>0</v>
      </c>
      <c r="AM56" s="122">
        <v>0</v>
      </c>
      <c r="AN56" s="123">
        <v>0</v>
      </c>
      <c r="AO56" s="123">
        <v>0</v>
      </c>
      <c r="AP56" s="200">
        <v>0</v>
      </c>
      <c r="AQ56" s="123">
        <v>0</v>
      </c>
      <c r="AR56" s="123">
        <v>0</v>
      </c>
      <c r="AS56" s="200">
        <v>0</v>
      </c>
      <c r="AT56" s="123">
        <v>0</v>
      </c>
      <c r="AU56" s="123">
        <v>0</v>
      </c>
      <c r="AV56" s="200">
        <v>0</v>
      </c>
      <c r="AW56" s="123">
        <v>0</v>
      </c>
      <c r="AX56" s="123">
        <v>0</v>
      </c>
      <c r="AY56" s="126">
        <f t="shared" si="34"/>
        <v>0</v>
      </c>
      <c r="AZ56" s="127">
        <f t="shared" si="35"/>
        <v>0</v>
      </c>
      <c r="BA56" s="127">
        <f t="shared" si="36"/>
        <v>0</v>
      </c>
      <c r="BB56" s="199">
        <f t="shared" si="37"/>
        <v>0</v>
      </c>
      <c r="BC56" s="127">
        <f t="shared" si="38"/>
        <v>0</v>
      </c>
      <c r="BD56" s="127">
        <f t="shared" si="39"/>
        <v>0</v>
      </c>
      <c r="BE56" s="199">
        <f t="shared" si="40"/>
        <v>0</v>
      </c>
      <c r="BF56" s="127">
        <f t="shared" si="41"/>
        <v>0</v>
      </c>
      <c r="BG56" s="127">
        <f t="shared" si="42"/>
        <v>0</v>
      </c>
      <c r="BH56" s="199">
        <f t="shared" si="43"/>
        <v>0</v>
      </c>
      <c r="BI56" s="127">
        <f t="shared" si="44"/>
        <v>0</v>
      </c>
      <c r="BJ56" s="127">
        <f t="shared" si="45"/>
        <v>0</v>
      </c>
      <c r="BK56" s="149">
        <f t="shared" si="46"/>
        <v>0</v>
      </c>
      <c r="BL56" s="199">
        <f t="shared" si="47"/>
        <v>0</v>
      </c>
      <c r="BM56" s="127">
        <f t="shared" si="48"/>
        <v>0</v>
      </c>
      <c r="BN56" s="127">
        <f t="shared" si="49"/>
        <v>0</v>
      </c>
      <c r="BO56" s="127">
        <f t="shared" si="50"/>
        <v>0</v>
      </c>
    </row>
    <row r="57" spans="1:67" ht="13.5" customHeight="1" thickTop="1" thickBot="1" x14ac:dyDescent="0.3">
      <c r="A57" s="36" t="s">
        <v>444</v>
      </c>
      <c r="B57" s="202"/>
      <c r="C57" s="122">
        <v>0</v>
      </c>
      <c r="D57" s="123">
        <v>0</v>
      </c>
      <c r="E57" s="123">
        <v>0</v>
      </c>
      <c r="F57" s="200">
        <v>0</v>
      </c>
      <c r="G57" s="123">
        <v>0</v>
      </c>
      <c r="H57" s="123">
        <v>0</v>
      </c>
      <c r="I57" s="200">
        <v>0</v>
      </c>
      <c r="J57" s="123">
        <v>0</v>
      </c>
      <c r="K57" s="123">
        <v>0</v>
      </c>
      <c r="L57" s="200">
        <v>0</v>
      </c>
      <c r="M57" s="123">
        <v>0</v>
      </c>
      <c r="N57" s="123">
        <v>0</v>
      </c>
      <c r="O57" s="122">
        <v>0</v>
      </c>
      <c r="P57" s="123">
        <v>0</v>
      </c>
      <c r="Q57" s="123">
        <v>0</v>
      </c>
      <c r="R57" s="200">
        <v>0</v>
      </c>
      <c r="S57" s="123">
        <v>0</v>
      </c>
      <c r="T57" s="123">
        <v>0</v>
      </c>
      <c r="U57" s="200">
        <v>0</v>
      </c>
      <c r="V57" s="123">
        <v>0</v>
      </c>
      <c r="W57" s="123">
        <v>0</v>
      </c>
      <c r="X57" s="200">
        <v>0</v>
      </c>
      <c r="Y57" s="123">
        <v>0</v>
      </c>
      <c r="Z57" s="123">
        <v>0</v>
      </c>
      <c r="AA57" s="122">
        <v>0</v>
      </c>
      <c r="AB57" s="123">
        <v>0</v>
      </c>
      <c r="AC57" s="123">
        <v>0</v>
      </c>
      <c r="AD57" s="200">
        <v>0</v>
      </c>
      <c r="AE57" s="123">
        <v>0</v>
      </c>
      <c r="AF57" s="123">
        <v>0</v>
      </c>
      <c r="AG57" s="200">
        <v>0</v>
      </c>
      <c r="AH57" s="123">
        <v>0</v>
      </c>
      <c r="AI57" s="123">
        <v>0</v>
      </c>
      <c r="AJ57" s="200">
        <v>0</v>
      </c>
      <c r="AK57" s="123">
        <v>0</v>
      </c>
      <c r="AL57" s="123">
        <v>0</v>
      </c>
      <c r="AM57" s="122">
        <v>0</v>
      </c>
      <c r="AN57" s="123">
        <v>0</v>
      </c>
      <c r="AO57" s="123">
        <v>0</v>
      </c>
      <c r="AP57" s="200">
        <v>0</v>
      </c>
      <c r="AQ57" s="123">
        <v>0</v>
      </c>
      <c r="AR57" s="123">
        <v>0</v>
      </c>
      <c r="AS57" s="200">
        <v>0</v>
      </c>
      <c r="AT57" s="123">
        <v>0</v>
      </c>
      <c r="AU57" s="123">
        <v>0</v>
      </c>
      <c r="AV57" s="200">
        <v>0</v>
      </c>
      <c r="AW57" s="123">
        <v>0</v>
      </c>
      <c r="AX57" s="123">
        <v>0</v>
      </c>
      <c r="AY57" s="126">
        <f t="shared" si="34"/>
        <v>0</v>
      </c>
      <c r="AZ57" s="127">
        <f t="shared" si="35"/>
        <v>0</v>
      </c>
      <c r="BA57" s="127">
        <f t="shared" si="36"/>
        <v>0</v>
      </c>
      <c r="BB57" s="199">
        <f t="shared" si="37"/>
        <v>0</v>
      </c>
      <c r="BC57" s="127">
        <f t="shared" si="38"/>
        <v>0</v>
      </c>
      <c r="BD57" s="127">
        <f t="shared" si="39"/>
        <v>0</v>
      </c>
      <c r="BE57" s="199">
        <f t="shared" si="40"/>
        <v>0</v>
      </c>
      <c r="BF57" s="127">
        <f t="shared" si="41"/>
        <v>0</v>
      </c>
      <c r="BG57" s="127">
        <f t="shared" si="42"/>
        <v>0</v>
      </c>
      <c r="BH57" s="199">
        <f t="shared" si="43"/>
        <v>0</v>
      </c>
      <c r="BI57" s="127">
        <f t="shared" si="44"/>
        <v>0</v>
      </c>
      <c r="BJ57" s="127">
        <f t="shared" si="45"/>
        <v>0</v>
      </c>
      <c r="BK57" s="149">
        <f t="shared" si="46"/>
        <v>0</v>
      </c>
      <c r="BL57" s="199">
        <f t="shared" si="47"/>
        <v>0</v>
      </c>
      <c r="BM57" s="127">
        <f t="shared" si="48"/>
        <v>0</v>
      </c>
      <c r="BN57" s="127">
        <f t="shared" si="49"/>
        <v>0</v>
      </c>
      <c r="BO57" s="127">
        <f t="shared" si="50"/>
        <v>0</v>
      </c>
    </row>
    <row r="58" spans="1:67" ht="13.5" customHeight="1" thickTop="1" thickBot="1" x14ac:dyDescent="0.3">
      <c r="A58" s="36" t="s">
        <v>445</v>
      </c>
      <c r="B58" s="202"/>
      <c r="C58" s="122">
        <v>0</v>
      </c>
      <c r="D58" s="123">
        <v>0</v>
      </c>
      <c r="E58" s="123">
        <v>0</v>
      </c>
      <c r="F58" s="200">
        <v>0</v>
      </c>
      <c r="G58" s="123">
        <v>0</v>
      </c>
      <c r="H58" s="123">
        <v>0</v>
      </c>
      <c r="I58" s="200">
        <v>0</v>
      </c>
      <c r="J58" s="123">
        <v>0</v>
      </c>
      <c r="K58" s="123">
        <v>0</v>
      </c>
      <c r="L58" s="200">
        <v>0</v>
      </c>
      <c r="M58" s="123">
        <v>0</v>
      </c>
      <c r="N58" s="123">
        <v>0</v>
      </c>
      <c r="O58" s="122">
        <v>0</v>
      </c>
      <c r="P58" s="123">
        <v>0</v>
      </c>
      <c r="Q58" s="123">
        <v>0</v>
      </c>
      <c r="R58" s="200">
        <v>0</v>
      </c>
      <c r="S58" s="123">
        <v>0</v>
      </c>
      <c r="T58" s="123">
        <v>0</v>
      </c>
      <c r="U58" s="200">
        <v>0</v>
      </c>
      <c r="V58" s="123">
        <v>0</v>
      </c>
      <c r="W58" s="123">
        <v>0</v>
      </c>
      <c r="X58" s="200">
        <v>0</v>
      </c>
      <c r="Y58" s="123">
        <v>0</v>
      </c>
      <c r="Z58" s="123">
        <v>0</v>
      </c>
      <c r="AA58" s="122">
        <v>0</v>
      </c>
      <c r="AB58" s="123">
        <v>0</v>
      </c>
      <c r="AC58" s="123">
        <v>0</v>
      </c>
      <c r="AD58" s="200">
        <v>0</v>
      </c>
      <c r="AE58" s="123">
        <v>0</v>
      </c>
      <c r="AF58" s="123">
        <v>0</v>
      </c>
      <c r="AG58" s="200">
        <v>0</v>
      </c>
      <c r="AH58" s="123">
        <v>0</v>
      </c>
      <c r="AI58" s="123">
        <v>0</v>
      </c>
      <c r="AJ58" s="200">
        <v>0</v>
      </c>
      <c r="AK58" s="123">
        <v>0</v>
      </c>
      <c r="AL58" s="123">
        <v>0</v>
      </c>
      <c r="AM58" s="122">
        <v>0</v>
      </c>
      <c r="AN58" s="123">
        <v>0</v>
      </c>
      <c r="AO58" s="123">
        <v>0</v>
      </c>
      <c r="AP58" s="200">
        <v>0</v>
      </c>
      <c r="AQ58" s="123">
        <v>0</v>
      </c>
      <c r="AR58" s="123">
        <v>0</v>
      </c>
      <c r="AS58" s="200">
        <v>0</v>
      </c>
      <c r="AT58" s="123">
        <v>0</v>
      </c>
      <c r="AU58" s="123">
        <v>0</v>
      </c>
      <c r="AV58" s="200">
        <v>0</v>
      </c>
      <c r="AW58" s="123">
        <v>0</v>
      </c>
      <c r="AX58" s="123">
        <v>0</v>
      </c>
      <c r="AY58" s="126">
        <f t="shared" si="34"/>
        <v>0</v>
      </c>
      <c r="AZ58" s="127">
        <f t="shared" si="35"/>
        <v>0</v>
      </c>
      <c r="BA58" s="127">
        <f t="shared" si="36"/>
        <v>0</v>
      </c>
      <c r="BB58" s="199">
        <f t="shared" si="37"/>
        <v>0</v>
      </c>
      <c r="BC58" s="127">
        <f t="shared" si="38"/>
        <v>0</v>
      </c>
      <c r="BD58" s="127">
        <f t="shared" si="39"/>
        <v>0</v>
      </c>
      <c r="BE58" s="199">
        <f t="shared" si="40"/>
        <v>0</v>
      </c>
      <c r="BF58" s="127">
        <f t="shared" si="41"/>
        <v>0</v>
      </c>
      <c r="BG58" s="127">
        <f t="shared" si="42"/>
        <v>0</v>
      </c>
      <c r="BH58" s="199">
        <f t="shared" si="43"/>
        <v>0</v>
      </c>
      <c r="BI58" s="127">
        <f t="shared" si="44"/>
        <v>0</v>
      </c>
      <c r="BJ58" s="127">
        <f t="shared" si="45"/>
        <v>0</v>
      </c>
      <c r="BK58" s="149">
        <f t="shared" si="46"/>
        <v>0</v>
      </c>
      <c r="BL58" s="199">
        <f t="shared" si="47"/>
        <v>0</v>
      </c>
      <c r="BM58" s="127">
        <f t="shared" si="48"/>
        <v>0</v>
      </c>
      <c r="BN58" s="127">
        <f t="shared" si="49"/>
        <v>0</v>
      </c>
      <c r="BO58" s="127">
        <f t="shared" si="50"/>
        <v>0</v>
      </c>
    </row>
    <row r="59" spans="1:67" ht="13.5" customHeight="1" thickTop="1" thickBot="1" x14ac:dyDescent="0.3">
      <c r="A59" s="36" t="s">
        <v>446</v>
      </c>
      <c r="B59" s="202"/>
      <c r="C59" s="122">
        <v>0</v>
      </c>
      <c r="D59" s="123">
        <v>0</v>
      </c>
      <c r="E59" s="123">
        <v>0</v>
      </c>
      <c r="F59" s="200">
        <v>0</v>
      </c>
      <c r="G59" s="123">
        <v>0</v>
      </c>
      <c r="H59" s="123">
        <v>0</v>
      </c>
      <c r="I59" s="200">
        <v>0</v>
      </c>
      <c r="J59" s="123">
        <v>0</v>
      </c>
      <c r="K59" s="123">
        <v>0</v>
      </c>
      <c r="L59" s="200">
        <v>0</v>
      </c>
      <c r="M59" s="123">
        <v>0</v>
      </c>
      <c r="N59" s="123">
        <v>0</v>
      </c>
      <c r="O59" s="122">
        <v>0</v>
      </c>
      <c r="P59" s="123">
        <v>0</v>
      </c>
      <c r="Q59" s="123">
        <v>0</v>
      </c>
      <c r="R59" s="200">
        <v>0</v>
      </c>
      <c r="S59" s="123">
        <v>0</v>
      </c>
      <c r="T59" s="123">
        <v>0</v>
      </c>
      <c r="U59" s="200">
        <v>0</v>
      </c>
      <c r="V59" s="123">
        <v>0</v>
      </c>
      <c r="W59" s="123">
        <v>0</v>
      </c>
      <c r="X59" s="200">
        <v>0</v>
      </c>
      <c r="Y59" s="123">
        <v>0</v>
      </c>
      <c r="Z59" s="123">
        <v>0</v>
      </c>
      <c r="AA59" s="122">
        <v>0</v>
      </c>
      <c r="AB59" s="123">
        <v>0</v>
      </c>
      <c r="AC59" s="123">
        <v>0</v>
      </c>
      <c r="AD59" s="200">
        <v>0</v>
      </c>
      <c r="AE59" s="123">
        <v>0</v>
      </c>
      <c r="AF59" s="123">
        <v>0</v>
      </c>
      <c r="AG59" s="200">
        <v>0</v>
      </c>
      <c r="AH59" s="123">
        <v>0</v>
      </c>
      <c r="AI59" s="123">
        <v>0</v>
      </c>
      <c r="AJ59" s="200">
        <v>0</v>
      </c>
      <c r="AK59" s="123">
        <v>0</v>
      </c>
      <c r="AL59" s="123">
        <v>0</v>
      </c>
      <c r="AM59" s="122">
        <v>0</v>
      </c>
      <c r="AN59" s="123">
        <v>0</v>
      </c>
      <c r="AO59" s="123">
        <v>0</v>
      </c>
      <c r="AP59" s="200">
        <v>0</v>
      </c>
      <c r="AQ59" s="123">
        <v>0</v>
      </c>
      <c r="AR59" s="123">
        <v>0</v>
      </c>
      <c r="AS59" s="200">
        <v>0</v>
      </c>
      <c r="AT59" s="123">
        <v>0</v>
      </c>
      <c r="AU59" s="123">
        <v>0</v>
      </c>
      <c r="AV59" s="200">
        <v>0</v>
      </c>
      <c r="AW59" s="123">
        <v>0</v>
      </c>
      <c r="AX59" s="123">
        <v>0</v>
      </c>
      <c r="AY59" s="126">
        <f t="shared" si="34"/>
        <v>0</v>
      </c>
      <c r="AZ59" s="127">
        <f t="shared" si="35"/>
        <v>0</v>
      </c>
      <c r="BA59" s="127">
        <f t="shared" si="36"/>
        <v>0</v>
      </c>
      <c r="BB59" s="199">
        <f t="shared" si="37"/>
        <v>0</v>
      </c>
      <c r="BC59" s="127">
        <f t="shared" si="38"/>
        <v>0</v>
      </c>
      <c r="BD59" s="127">
        <f t="shared" si="39"/>
        <v>0</v>
      </c>
      <c r="BE59" s="199">
        <f t="shared" si="40"/>
        <v>0</v>
      </c>
      <c r="BF59" s="127">
        <f t="shared" si="41"/>
        <v>0</v>
      </c>
      <c r="BG59" s="127">
        <f t="shared" si="42"/>
        <v>0</v>
      </c>
      <c r="BH59" s="199">
        <f t="shared" si="43"/>
        <v>0</v>
      </c>
      <c r="BI59" s="127">
        <f t="shared" si="44"/>
        <v>0</v>
      </c>
      <c r="BJ59" s="127">
        <f t="shared" si="45"/>
        <v>0</v>
      </c>
      <c r="BK59" s="149">
        <f t="shared" si="46"/>
        <v>0</v>
      </c>
      <c r="BL59" s="199">
        <f t="shared" si="47"/>
        <v>0</v>
      </c>
      <c r="BM59" s="127">
        <f t="shared" si="48"/>
        <v>0</v>
      </c>
      <c r="BN59" s="127">
        <f t="shared" si="49"/>
        <v>0</v>
      </c>
      <c r="BO59" s="127">
        <f t="shared" si="50"/>
        <v>0</v>
      </c>
    </row>
    <row r="60" spans="1:67" ht="13.5" customHeight="1" thickTop="1" x14ac:dyDescent="0.25">
      <c r="A60" s="36" t="s">
        <v>447</v>
      </c>
      <c r="B60" s="202"/>
      <c r="C60" s="122">
        <v>0</v>
      </c>
      <c r="D60" s="123">
        <v>0</v>
      </c>
      <c r="E60" s="123">
        <v>0</v>
      </c>
      <c r="F60" s="200">
        <v>0</v>
      </c>
      <c r="G60" s="123">
        <v>0</v>
      </c>
      <c r="H60" s="123">
        <v>0</v>
      </c>
      <c r="I60" s="200">
        <v>0</v>
      </c>
      <c r="J60" s="123">
        <v>0</v>
      </c>
      <c r="K60" s="123">
        <v>0</v>
      </c>
      <c r="L60" s="200">
        <v>0</v>
      </c>
      <c r="M60" s="123">
        <v>0</v>
      </c>
      <c r="N60" s="123">
        <v>0</v>
      </c>
      <c r="O60" s="122">
        <v>0</v>
      </c>
      <c r="P60" s="123">
        <v>0</v>
      </c>
      <c r="Q60" s="123">
        <v>0</v>
      </c>
      <c r="R60" s="200">
        <v>0</v>
      </c>
      <c r="S60" s="123">
        <v>0</v>
      </c>
      <c r="T60" s="123">
        <v>0</v>
      </c>
      <c r="U60" s="200">
        <v>0</v>
      </c>
      <c r="V60" s="123">
        <v>0</v>
      </c>
      <c r="W60" s="123">
        <v>0</v>
      </c>
      <c r="X60" s="200">
        <v>0</v>
      </c>
      <c r="Y60" s="123">
        <v>0</v>
      </c>
      <c r="Z60" s="123">
        <v>0</v>
      </c>
      <c r="AA60" s="122">
        <v>0</v>
      </c>
      <c r="AB60" s="123">
        <v>0</v>
      </c>
      <c r="AC60" s="123">
        <v>0</v>
      </c>
      <c r="AD60" s="200">
        <v>0</v>
      </c>
      <c r="AE60" s="123">
        <v>0</v>
      </c>
      <c r="AF60" s="123">
        <v>0</v>
      </c>
      <c r="AG60" s="200">
        <v>0</v>
      </c>
      <c r="AH60" s="123">
        <v>0</v>
      </c>
      <c r="AI60" s="123">
        <v>0</v>
      </c>
      <c r="AJ60" s="200">
        <v>0</v>
      </c>
      <c r="AK60" s="123">
        <v>0</v>
      </c>
      <c r="AL60" s="123">
        <v>0</v>
      </c>
      <c r="AM60" s="122">
        <v>0</v>
      </c>
      <c r="AN60" s="123">
        <v>0</v>
      </c>
      <c r="AO60" s="123">
        <v>0</v>
      </c>
      <c r="AP60" s="200">
        <v>0</v>
      </c>
      <c r="AQ60" s="123">
        <v>0</v>
      </c>
      <c r="AR60" s="123">
        <v>0</v>
      </c>
      <c r="AS60" s="200">
        <v>0</v>
      </c>
      <c r="AT60" s="123">
        <v>0</v>
      </c>
      <c r="AU60" s="123">
        <v>0</v>
      </c>
      <c r="AV60" s="200">
        <v>0</v>
      </c>
      <c r="AW60" s="123">
        <v>0</v>
      </c>
      <c r="AX60" s="123">
        <v>0</v>
      </c>
      <c r="AY60" s="126">
        <f t="shared" si="34"/>
        <v>0</v>
      </c>
      <c r="AZ60" s="127">
        <f t="shared" si="35"/>
        <v>0</v>
      </c>
      <c r="BA60" s="127">
        <f t="shared" si="36"/>
        <v>0</v>
      </c>
      <c r="BB60" s="199">
        <f t="shared" si="37"/>
        <v>0</v>
      </c>
      <c r="BC60" s="127">
        <f t="shared" si="38"/>
        <v>0</v>
      </c>
      <c r="BD60" s="127">
        <f t="shared" si="39"/>
        <v>0</v>
      </c>
      <c r="BE60" s="199">
        <f t="shared" si="40"/>
        <v>0</v>
      </c>
      <c r="BF60" s="127">
        <f t="shared" si="41"/>
        <v>0</v>
      </c>
      <c r="BG60" s="127">
        <f t="shared" si="42"/>
        <v>0</v>
      </c>
      <c r="BH60" s="199">
        <f t="shared" si="43"/>
        <v>0</v>
      </c>
      <c r="BI60" s="127">
        <f t="shared" si="44"/>
        <v>0</v>
      </c>
      <c r="BJ60" s="127">
        <f t="shared" si="45"/>
        <v>0</v>
      </c>
      <c r="BK60" s="149">
        <f t="shared" si="46"/>
        <v>0</v>
      </c>
      <c r="BL60" s="199">
        <f t="shared" si="47"/>
        <v>0</v>
      </c>
      <c r="BM60" s="127">
        <f t="shared" si="48"/>
        <v>0</v>
      </c>
      <c r="BN60" s="127">
        <f t="shared" si="49"/>
        <v>0</v>
      </c>
      <c r="BO60" s="127">
        <f t="shared" si="50"/>
        <v>0</v>
      </c>
    </row>
  </sheetData>
  <sheetProtection autoFilter="0"/>
  <mergeCells count="27">
    <mergeCell ref="AG2:AI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M1:AX1"/>
    <mergeCell ref="AY1:BJ1"/>
    <mergeCell ref="BK1:BK2"/>
    <mergeCell ref="BL1:BO2"/>
    <mergeCell ref="C1:N1"/>
    <mergeCell ref="O1:Z1"/>
    <mergeCell ref="AA1:AL1"/>
    <mergeCell ref="AJ2:AL2"/>
    <mergeCell ref="AY2:BA2"/>
    <mergeCell ref="BB2:BD2"/>
    <mergeCell ref="BE2:BG2"/>
    <mergeCell ref="BH2:BJ2"/>
    <mergeCell ref="AM2:AO2"/>
    <mergeCell ref="AP2:AR2"/>
    <mergeCell ref="AS2:AU2"/>
    <mergeCell ref="AV2:AX2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6B93-EE5D-4FFB-A63E-BDDEB6F73D57}">
  <dimension ref="A1:JF48"/>
  <sheetViews>
    <sheetView zoomScale="70" zoomScaleNormal="70" workbookViewId="0">
      <selection sqref="A1:XFD1048576"/>
    </sheetView>
  </sheetViews>
  <sheetFormatPr defaultRowHeight="15" x14ac:dyDescent="0.25"/>
  <cols>
    <col min="1" max="1" width="15.85546875" style="318" bestFit="1" customWidth="1"/>
    <col min="2" max="2" width="24" style="318" bestFit="1" customWidth="1"/>
    <col min="3" max="3" width="20.5703125" customWidth="1"/>
    <col min="4" max="4" width="16.28515625" customWidth="1"/>
    <col min="5" max="5" width="10.85546875" style="317" customWidth="1"/>
    <col min="6" max="6" width="14.85546875" style="317" bestFit="1" customWidth="1"/>
    <col min="7" max="7" width="13.42578125" style="317" customWidth="1"/>
    <col min="8" max="8" width="13.85546875" style="317" bestFit="1" customWidth="1"/>
    <col min="9" max="9" width="11.5703125" style="317" bestFit="1" customWidth="1"/>
    <col min="10" max="10" width="10.85546875" style="317" customWidth="1"/>
    <col min="11" max="11" width="14.85546875" style="317" bestFit="1" customWidth="1"/>
    <col min="12" max="12" width="13.42578125" style="317" customWidth="1"/>
    <col min="13" max="13" width="13.85546875" style="317" bestFit="1" customWidth="1"/>
    <col min="14" max="14" width="11.5703125" style="317" bestFit="1" customWidth="1"/>
    <col min="15" max="15" width="20.5703125" customWidth="1"/>
    <col min="16" max="16" width="16.28515625" customWidth="1"/>
    <col min="17" max="17" width="10.85546875" style="317" customWidth="1"/>
    <col min="18" max="18" width="14.85546875" style="317" bestFit="1" customWidth="1"/>
    <col min="19" max="19" width="13.42578125" style="317" customWidth="1"/>
    <col min="20" max="20" width="13.85546875" style="317" bestFit="1" customWidth="1"/>
    <col min="21" max="21" width="11.5703125" style="317" bestFit="1" customWidth="1"/>
    <col min="22" max="22" width="10.85546875" style="317" customWidth="1"/>
    <col min="23" max="23" width="14.85546875" style="317" bestFit="1" customWidth="1"/>
    <col min="24" max="24" width="13.42578125" style="317" customWidth="1"/>
    <col min="25" max="25" width="13.85546875" style="317" bestFit="1" customWidth="1"/>
    <col min="26" max="26" width="11.5703125" style="317" bestFit="1" customWidth="1"/>
    <col min="27" max="86" width="9.85546875" style="317" customWidth="1"/>
    <col min="87" max="16384" width="9.140625" style="317"/>
  </cols>
  <sheetData>
    <row r="1" spans="1:266" ht="16.5" thickTop="1" thickBot="1" x14ac:dyDescent="0.3">
      <c r="B1" s="348"/>
      <c r="C1" s="588" t="s">
        <v>1101</v>
      </c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9" t="s">
        <v>1100</v>
      </c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88" t="s">
        <v>1101</v>
      </c>
      <c r="AB1" s="588"/>
      <c r="AC1" s="588"/>
      <c r="AD1" s="588"/>
      <c r="AE1" s="588"/>
      <c r="AF1" s="588"/>
      <c r="AG1" s="588"/>
      <c r="AH1" s="588"/>
      <c r="AI1" s="588"/>
      <c r="AJ1" s="588"/>
      <c r="AK1" s="588"/>
      <c r="AL1" s="588"/>
      <c r="AM1" s="588"/>
      <c r="AN1" s="588"/>
      <c r="AO1" s="588"/>
      <c r="AP1" s="588"/>
      <c r="AQ1" s="588"/>
      <c r="AR1" s="588"/>
      <c r="AS1" s="588"/>
      <c r="AT1" s="588"/>
      <c r="AU1" s="588"/>
      <c r="AV1" s="588"/>
      <c r="AW1" s="588"/>
      <c r="AX1" s="588"/>
      <c r="AY1" s="588"/>
      <c r="AZ1" s="588"/>
      <c r="BA1" s="588"/>
      <c r="BB1" s="588"/>
      <c r="BC1" s="588"/>
      <c r="BD1" s="588"/>
      <c r="BE1" s="588"/>
      <c r="BF1" s="588"/>
      <c r="BG1" s="588"/>
      <c r="BH1" s="588"/>
      <c r="BI1" s="588"/>
      <c r="BJ1" s="588"/>
      <c r="BK1" s="588"/>
      <c r="BL1" s="588"/>
      <c r="BM1" s="588"/>
      <c r="BN1" s="588"/>
      <c r="BO1" s="588"/>
      <c r="BP1" s="588"/>
      <c r="BQ1" s="588"/>
      <c r="BR1" s="588"/>
      <c r="BS1" s="588"/>
      <c r="BT1" s="588"/>
      <c r="BU1" s="588"/>
      <c r="BV1" s="588"/>
      <c r="BW1" s="588"/>
      <c r="BX1" s="588"/>
      <c r="BY1" s="588"/>
      <c r="BZ1" s="588"/>
      <c r="CA1" s="588"/>
      <c r="CB1" s="588"/>
      <c r="CC1" s="588"/>
      <c r="CD1" s="588"/>
      <c r="CE1" s="588"/>
      <c r="CF1" s="588"/>
      <c r="CG1" s="588"/>
      <c r="CH1" s="588"/>
      <c r="CI1" s="588"/>
      <c r="CJ1" s="588"/>
      <c r="CK1" s="588"/>
      <c r="CL1" s="588"/>
      <c r="CM1" s="588"/>
      <c r="CN1" s="588"/>
      <c r="CO1" s="588"/>
      <c r="CP1" s="588"/>
      <c r="CQ1" s="588"/>
      <c r="CR1" s="588"/>
      <c r="CS1" s="588"/>
      <c r="CT1" s="588"/>
      <c r="CU1" s="588"/>
      <c r="CV1" s="588"/>
      <c r="CW1" s="588"/>
      <c r="CX1" s="588"/>
      <c r="CY1" s="588"/>
      <c r="CZ1" s="588"/>
      <c r="DA1" s="588"/>
      <c r="DB1" s="588"/>
      <c r="DC1" s="588"/>
      <c r="DD1" s="588"/>
      <c r="DE1" s="588"/>
      <c r="DF1" s="588"/>
      <c r="DG1" s="588"/>
      <c r="DH1" s="588"/>
      <c r="DI1" s="588"/>
      <c r="DJ1" s="588"/>
      <c r="DK1" s="588"/>
      <c r="DL1" s="588"/>
      <c r="DM1" s="588"/>
      <c r="DN1" s="588"/>
      <c r="DO1" s="588"/>
      <c r="DP1" s="588"/>
      <c r="DQ1" s="588"/>
      <c r="DR1" s="588"/>
      <c r="DS1" s="588"/>
      <c r="DT1" s="588"/>
      <c r="DU1" s="588"/>
      <c r="DV1" s="588"/>
      <c r="DW1" s="588"/>
      <c r="DX1" s="588"/>
      <c r="DY1" s="588"/>
      <c r="DZ1" s="588"/>
      <c r="EA1" s="588"/>
      <c r="EB1" s="588"/>
      <c r="EC1" s="588"/>
      <c r="ED1" s="588"/>
      <c r="EE1" s="588"/>
      <c r="EF1" s="588"/>
      <c r="EG1" s="588"/>
      <c r="EH1" s="588"/>
      <c r="EI1" s="588"/>
      <c r="EJ1" s="588"/>
      <c r="EK1" s="588"/>
      <c r="EL1" s="588"/>
      <c r="EM1" s="588"/>
      <c r="EN1" s="588"/>
      <c r="EO1" s="588"/>
      <c r="EP1" s="588"/>
      <c r="EQ1" s="589" t="s">
        <v>1100</v>
      </c>
      <c r="ER1" s="589"/>
      <c r="ES1" s="589"/>
      <c r="ET1" s="589"/>
      <c r="EU1" s="589"/>
      <c r="EV1" s="589"/>
      <c r="EW1" s="589"/>
      <c r="EX1" s="589"/>
      <c r="EY1" s="589"/>
      <c r="EZ1" s="589"/>
      <c r="FA1" s="589"/>
      <c r="FB1" s="589"/>
      <c r="FC1" s="589"/>
      <c r="FD1" s="589"/>
      <c r="FE1" s="589"/>
      <c r="FF1" s="589"/>
      <c r="FG1" s="589"/>
      <c r="FH1" s="589"/>
      <c r="FI1" s="589"/>
      <c r="FJ1" s="589"/>
      <c r="FK1" s="589"/>
      <c r="FL1" s="589"/>
      <c r="FM1" s="589"/>
      <c r="FN1" s="589"/>
      <c r="FO1" s="589"/>
      <c r="FP1" s="589"/>
      <c r="FQ1" s="589"/>
      <c r="FR1" s="589"/>
      <c r="FS1" s="589"/>
      <c r="FT1" s="589"/>
      <c r="FU1" s="589"/>
      <c r="FV1" s="589"/>
      <c r="FW1" s="589"/>
      <c r="FX1" s="589"/>
      <c r="FY1" s="589"/>
      <c r="FZ1" s="589"/>
      <c r="GA1" s="589"/>
      <c r="GB1" s="589"/>
      <c r="GC1" s="589"/>
      <c r="GD1" s="589"/>
      <c r="GE1" s="589"/>
      <c r="GF1" s="589"/>
      <c r="GG1" s="589"/>
      <c r="GH1" s="589"/>
      <c r="GI1" s="589"/>
      <c r="GJ1" s="589"/>
      <c r="GK1" s="589"/>
      <c r="GL1" s="589"/>
      <c r="GM1" s="589"/>
      <c r="GN1" s="589"/>
      <c r="GO1" s="589"/>
      <c r="GP1" s="589"/>
      <c r="GQ1" s="589"/>
      <c r="GR1" s="589"/>
      <c r="GS1" s="589"/>
      <c r="GT1" s="589"/>
      <c r="GU1" s="589"/>
      <c r="GV1" s="589"/>
      <c r="GW1" s="589"/>
      <c r="GX1" s="589"/>
      <c r="GY1" s="589"/>
      <c r="GZ1" s="589"/>
      <c r="HA1" s="589"/>
      <c r="HB1" s="589"/>
      <c r="HC1" s="589"/>
      <c r="HD1" s="589"/>
      <c r="HE1" s="589"/>
      <c r="HF1" s="589"/>
      <c r="HG1" s="589"/>
      <c r="HH1" s="589"/>
      <c r="HI1" s="589"/>
      <c r="HJ1" s="589"/>
      <c r="HK1" s="589"/>
      <c r="HL1" s="589"/>
      <c r="HM1" s="589"/>
      <c r="HN1" s="589"/>
      <c r="HO1" s="589"/>
      <c r="HP1" s="589"/>
      <c r="HQ1" s="589"/>
      <c r="HR1" s="589"/>
      <c r="HS1" s="589"/>
      <c r="HT1" s="589"/>
      <c r="HU1" s="589"/>
      <c r="HV1" s="589"/>
      <c r="HW1" s="589"/>
      <c r="HX1" s="589"/>
      <c r="HY1" s="589"/>
      <c r="HZ1" s="589"/>
      <c r="IA1" s="589"/>
      <c r="IB1" s="589"/>
      <c r="IC1" s="589"/>
      <c r="ID1" s="589"/>
      <c r="IE1" s="589"/>
      <c r="IF1" s="589"/>
      <c r="IG1" s="589"/>
      <c r="IH1" s="589"/>
      <c r="II1" s="589"/>
      <c r="IJ1" s="589"/>
      <c r="IK1" s="589"/>
      <c r="IL1" s="589"/>
      <c r="IM1" s="589"/>
      <c r="IN1" s="589"/>
      <c r="IO1" s="589"/>
      <c r="IP1" s="589"/>
      <c r="IQ1" s="589"/>
      <c r="IR1" s="589"/>
      <c r="IS1" s="589"/>
      <c r="IT1" s="589"/>
      <c r="IU1" s="589"/>
      <c r="IV1" s="589"/>
      <c r="IW1" s="589"/>
      <c r="IX1" s="589"/>
      <c r="IY1" s="589"/>
      <c r="IZ1" s="589"/>
      <c r="JA1" s="589"/>
      <c r="JB1" s="589"/>
      <c r="JC1" s="589"/>
      <c r="JD1" s="589"/>
      <c r="JE1" s="589"/>
      <c r="JF1" s="589"/>
    </row>
    <row r="2" spans="1:266" ht="16.5" thickTop="1" thickBot="1" x14ac:dyDescent="0.3">
      <c r="A2" s="74"/>
      <c r="B2" s="62"/>
      <c r="C2" s="594" t="s">
        <v>1099</v>
      </c>
      <c r="D2" s="594"/>
      <c r="E2" s="594"/>
      <c r="F2" s="594" t="s">
        <v>1098</v>
      </c>
      <c r="G2" s="594"/>
      <c r="H2" s="594"/>
      <c r="I2" s="594"/>
      <c r="J2" s="594" t="s">
        <v>798</v>
      </c>
      <c r="K2" s="594" t="s">
        <v>797</v>
      </c>
      <c r="L2" s="594"/>
      <c r="M2" s="594"/>
      <c r="N2" s="594"/>
      <c r="O2" s="594" t="s">
        <v>1099</v>
      </c>
      <c r="P2" s="594"/>
      <c r="Q2" s="594"/>
      <c r="R2" s="594" t="s">
        <v>1098</v>
      </c>
      <c r="S2" s="594"/>
      <c r="T2" s="594"/>
      <c r="U2" s="594"/>
      <c r="V2" s="594" t="s">
        <v>798</v>
      </c>
      <c r="W2" s="594" t="s">
        <v>797</v>
      </c>
      <c r="X2" s="594"/>
      <c r="Y2" s="594"/>
      <c r="Z2" s="594"/>
      <c r="AA2" s="595" t="s">
        <v>282</v>
      </c>
      <c r="AB2" s="595"/>
      <c r="AC2" s="595"/>
      <c r="AD2" s="595"/>
      <c r="AE2" s="595"/>
      <c r="AF2" s="595"/>
      <c r="AG2" s="595"/>
      <c r="AH2" s="595"/>
      <c r="AI2" s="595"/>
      <c r="AJ2" s="595"/>
      <c r="AK2" s="595"/>
      <c r="AL2" s="595"/>
      <c r="AM2" s="596" t="s">
        <v>283</v>
      </c>
      <c r="AN2" s="596"/>
      <c r="AO2" s="596"/>
      <c r="AP2" s="596"/>
      <c r="AQ2" s="596"/>
      <c r="AR2" s="596"/>
      <c r="AS2" s="596"/>
      <c r="AT2" s="596"/>
      <c r="AU2" s="596"/>
      <c r="AV2" s="596"/>
      <c r="AW2" s="596"/>
      <c r="AX2" s="596"/>
      <c r="AY2" s="588" t="s">
        <v>284</v>
      </c>
      <c r="AZ2" s="588"/>
      <c r="BA2" s="588"/>
      <c r="BB2" s="588"/>
      <c r="BC2" s="588"/>
      <c r="BD2" s="588"/>
      <c r="BE2" s="588"/>
      <c r="BF2" s="588"/>
      <c r="BG2" s="588"/>
      <c r="BH2" s="588"/>
      <c r="BI2" s="588"/>
      <c r="BJ2" s="588"/>
      <c r="BK2" s="591" t="s">
        <v>285</v>
      </c>
      <c r="BL2" s="591"/>
      <c r="BM2" s="591"/>
      <c r="BN2" s="591"/>
      <c r="BO2" s="591"/>
      <c r="BP2" s="591"/>
      <c r="BQ2" s="591"/>
      <c r="BR2" s="591"/>
      <c r="BS2" s="591"/>
      <c r="BT2" s="591"/>
      <c r="BU2" s="591"/>
      <c r="BV2" s="591"/>
      <c r="BW2" s="592" t="s">
        <v>1097</v>
      </c>
      <c r="BX2" s="592"/>
      <c r="BY2" s="592"/>
      <c r="BZ2" s="592"/>
      <c r="CA2" s="592"/>
      <c r="CB2" s="592"/>
      <c r="CC2" s="592"/>
      <c r="CD2" s="592"/>
      <c r="CE2" s="592"/>
      <c r="CF2" s="592"/>
      <c r="CG2" s="592"/>
      <c r="CH2" s="592"/>
      <c r="CI2" s="595" t="s">
        <v>1096</v>
      </c>
      <c r="CJ2" s="595"/>
      <c r="CK2" s="595"/>
      <c r="CL2" s="595"/>
      <c r="CM2" s="595"/>
      <c r="CN2" s="595"/>
      <c r="CO2" s="595"/>
      <c r="CP2" s="595"/>
      <c r="CQ2" s="595"/>
      <c r="CR2" s="595"/>
      <c r="CS2" s="595"/>
      <c r="CT2" s="595"/>
      <c r="CU2" s="596" t="s">
        <v>1095</v>
      </c>
      <c r="CV2" s="596"/>
      <c r="CW2" s="596"/>
      <c r="CX2" s="596"/>
      <c r="CY2" s="596"/>
      <c r="CZ2" s="596"/>
      <c r="DA2" s="596"/>
      <c r="DB2" s="596"/>
      <c r="DC2" s="596"/>
      <c r="DD2" s="596"/>
      <c r="DE2" s="596"/>
      <c r="DF2" s="596"/>
      <c r="DG2" s="588" t="s">
        <v>1094</v>
      </c>
      <c r="DH2" s="588"/>
      <c r="DI2" s="588"/>
      <c r="DJ2" s="588"/>
      <c r="DK2" s="588"/>
      <c r="DL2" s="588"/>
      <c r="DM2" s="588"/>
      <c r="DN2" s="588"/>
      <c r="DO2" s="588"/>
      <c r="DP2" s="588"/>
      <c r="DQ2" s="588"/>
      <c r="DR2" s="588"/>
      <c r="DS2" s="591" t="s">
        <v>1093</v>
      </c>
      <c r="DT2" s="591"/>
      <c r="DU2" s="591"/>
      <c r="DV2" s="591"/>
      <c r="DW2" s="591"/>
      <c r="DX2" s="591"/>
      <c r="DY2" s="591"/>
      <c r="DZ2" s="591"/>
      <c r="EA2" s="591"/>
      <c r="EB2" s="591"/>
      <c r="EC2" s="591"/>
      <c r="ED2" s="591"/>
      <c r="EE2" s="592" t="s">
        <v>1092</v>
      </c>
      <c r="EF2" s="592"/>
      <c r="EG2" s="592"/>
      <c r="EH2" s="592"/>
      <c r="EI2" s="592"/>
      <c r="EJ2" s="592"/>
      <c r="EK2" s="592"/>
      <c r="EL2" s="592"/>
      <c r="EM2" s="592"/>
      <c r="EN2" s="592"/>
      <c r="EO2" s="592"/>
      <c r="EP2" s="592"/>
      <c r="EQ2" s="595" t="s">
        <v>282</v>
      </c>
      <c r="ER2" s="595"/>
      <c r="ES2" s="595"/>
      <c r="ET2" s="595"/>
      <c r="EU2" s="595"/>
      <c r="EV2" s="595"/>
      <c r="EW2" s="595"/>
      <c r="EX2" s="595"/>
      <c r="EY2" s="595"/>
      <c r="EZ2" s="595"/>
      <c r="FA2" s="595"/>
      <c r="FB2" s="595"/>
      <c r="FC2" s="596" t="s">
        <v>283</v>
      </c>
      <c r="FD2" s="596"/>
      <c r="FE2" s="596"/>
      <c r="FF2" s="596"/>
      <c r="FG2" s="596"/>
      <c r="FH2" s="596"/>
      <c r="FI2" s="596"/>
      <c r="FJ2" s="596"/>
      <c r="FK2" s="596"/>
      <c r="FL2" s="596"/>
      <c r="FM2" s="596"/>
      <c r="FN2" s="596"/>
      <c r="FO2" s="588" t="s">
        <v>284</v>
      </c>
      <c r="FP2" s="588"/>
      <c r="FQ2" s="588"/>
      <c r="FR2" s="588"/>
      <c r="FS2" s="588"/>
      <c r="FT2" s="588"/>
      <c r="FU2" s="588"/>
      <c r="FV2" s="588"/>
      <c r="FW2" s="588"/>
      <c r="FX2" s="588"/>
      <c r="FY2" s="588"/>
      <c r="FZ2" s="588"/>
      <c r="GA2" s="591" t="s">
        <v>285</v>
      </c>
      <c r="GB2" s="591"/>
      <c r="GC2" s="591"/>
      <c r="GD2" s="591"/>
      <c r="GE2" s="591"/>
      <c r="GF2" s="591"/>
      <c r="GG2" s="591"/>
      <c r="GH2" s="591"/>
      <c r="GI2" s="591"/>
      <c r="GJ2" s="591"/>
      <c r="GK2" s="591"/>
      <c r="GL2" s="591"/>
      <c r="GM2" s="592" t="s">
        <v>1097</v>
      </c>
      <c r="GN2" s="592"/>
      <c r="GO2" s="592"/>
      <c r="GP2" s="592"/>
      <c r="GQ2" s="592"/>
      <c r="GR2" s="592"/>
      <c r="GS2" s="592"/>
      <c r="GT2" s="592"/>
      <c r="GU2" s="592"/>
      <c r="GV2" s="592"/>
      <c r="GW2" s="592"/>
      <c r="GX2" s="592"/>
      <c r="GY2" s="595" t="s">
        <v>1096</v>
      </c>
      <c r="GZ2" s="595"/>
      <c r="HA2" s="595"/>
      <c r="HB2" s="595"/>
      <c r="HC2" s="595"/>
      <c r="HD2" s="595"/>
      <c r="HE2" s="595"/>
      <c r="HF2" s="595"/>
      <c r="HG2" s="595"/>
      <c r="HH2" s="595"/>
      <c r="HI2" s="595"/>
      <c r="HJ2" s="595"/>
      <c r="HK2" s="596" t="s">
        <v>1095</v>
      </c>
      <c r="HL2" s="596"/>
      <c r="HM2" s="596"/>
      <c r="HN2" s="596"/>
      <c r="HO2" s="596"/>
      <c r="HP2" s="596"/>
      <c r="HQ2" s="596"/>
      <c r="HR2" s="596"/>
      <c r="HS2" s="596"/>
      <c r="HT2" s="596"/>
      <c r="HU2" s="596"/>
      <c r="HV2" s="596"/>
      <c r="HW2" s="588" t="s">
        <v>1094</v>
      </c>
      <c r="HX2" s="588"/>
      <c r="HY2" s="588"/>
      <c r="HZ2" s="588"/>
      <c r="IA2" s="588"/>
      <c r="IB2" s="588"/>
      <c r="IC2" s="588"/>
      <c r="ID2" s="588"/>
      <c r="IE2" s="588"/>
      <c r="IF2" s="588"/>
      <c r="IG2" s="588"/>
      <c r="IH2" s="588"/>
      <c r="II2" s="591" t="s">
        <v>1093</v>
      </c>
      <c r="IJ2" s="591"/>
      <c r="IK2" s="591"/>
      <c r="IL2" s="591"/>
      <c r="IM2" s="591"/>
      <c r="IN2" s="591"/>
      <c r="IO2" s="591"/>
      <c r="IP2" s="591"/>
      <c r="IQ2" s="591"/>
      <c r="IR2" s="591"/>
      <c r="IS2" s="591"/>
      <c r="IT2" s="591"/>
      <c r="IU2" s="592" t="s">
        <v>1092</v>
      </c>
      <c r="IV2" s="592"/>
      <c r="IW2" s="592"/>
      <c r="IX2" s="592"/>
      <c r="IY2" s="592"/>
      <c r="IZ2" s="592"/>
      <c r="JA2" s="592"/>
      <c r="JB2" s="592"/>
      <c r="JC2" s="592"/>
      <c r="JD2" s="592"/>
      <c r="JE2" s="592"/>
      <c r="JF2" s="592"/>
    </row>
    <row r="3" spans="1:266" ht="16.5" thickTop="1" thickBot="1" x14ac:dyDescent="0.3">
      <c r="B3" s="62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594"/>
      <c r="O3" s="594"/>
      <c r="P3" s="594"/>
      <c r="Q3" s="594"/>
      <c r="R3" s="594"/>
      <c r="S3" s="594"/>
      <c r="T3" s="594"/>
      <c r="U3" s="594"/>
      <c r="V3" s="594"/>
      <c r="W3" s="594"/>
      <c r="X3" s="594"/>
      <c r="Y3" s="594"/>
      <c r="Z3" s="594"/>
      <c r="AA3" s="593" t="s">
        <v>1</v>
      </c>
      <c r="AB3" s="593"/>
      <c r="AC3" s="593"/>
      <c r="AD3" s="593" t="s">
        <v>2</v>
      </c>
      <c r="AE3" s="593"/>
      <c r="AF3" s="593"/>
      <c r="AG3" s="593" t="s">
        <v>3</v>
      </c>
      <c r="AH3" s="593"/>
      <c r="AI3" s="593"/>
      <c r="AJ3" s="593" t="s">
        <v>4</v>
      </c>
      <c r="AK3" s="593"/>
      <c r="AL3" s="593"/>
      <c r="AM3" s="589" t="s">
        <v>1</v>
      </c>
      <c r="AN3" s="589"/>
      <c r="AO3" s="589"/>
      <c r="AP3" s="589" t="s">
        <v>2</v>
      </c>
      <c r="AQ3" s="589"/>
      <c r="AR3" s="589"/>
      <c r="AS3" s="589" t="s">
        <v>3</v>
      </c>
      <c r="AT3" s="589"/>
      <c r="AU3" s="589"/>
      <c r="AV3" s="589" t="s">
        <v>4</v>
      </c>
      <c r="AW3" s="589"/>
      <c r="AX3" s="589"/>
      <c r="AY3" s="590" t="s">
        <v>1</v>
      </c>
      <c r="AZ3" s="590"/>
      <c r="BA3" s="590"/>
      <c r="BB3" s="590" t="s">
        <v>2</v>
      </c>
      <c r="BC3" s="590"/>
      <c r="BD3" s="590"/>
      <c r="BE3" s="590" t="s">
        <v>3</v>
      </c>
      <c r="BF3" s="590"/>
      <c r="BG3" s="590"/>
      <c r="BH3" s="590" t="s">
        <v>4</v>
      </c>
      <c r="BI3" s="590"/>
      <c r="BJ3" s="590"/>
      <c r="BK3" s="591" t="s">
        <v>1</v>
      </c>
      <c r="BL3" s="591"/>
      <c r="BM3" s="591"/>
      <c r="BN3" s="591" t="s">
        <v>2</v>
      </c>
      <c r="BO3" s="591"/>
      <c r="BP3" s="591"/>
      <c r="BQ3" s="591" t="s">
        <v>3</v>
      </c>
      <c r="BR3" s="591"/>
      <c r="BS3" s="591"/>
      <c r="BT3" s="591" t="s">
        <v>4</v>
      </c>
      <c r="BU3" s="591"/>
      <c r="BV3" s="591"/>
      <c r="BW3" s="592" t="s">
        <v>44</v>
      </c>
      <c r="BX3" s="592"/>
      <c r="BY3" s="592"/>
      <c r="BZ3" s="592" t="s">
        <v>45</v>
      </c>
      <c r="CA3" s="592"/>
      <c r="CB3" s="592"/>
      <c r="CC3" s="592" t="s">
        <v>46</v>
      </c>
      <c r="CD3" s="592"/>
      <c r="CE3" s="592"/>
      <c r="CF3" s="592" t="s">
        <v>47</v>
      </c>
      <c r="CG3" s="592"/>
      <c r="CH3" s="592"/>
      <c r="CI3" s="593" t="s">
        <v>1</v>
      </c>
      <c r="CJ3" s="593"/>
      <c r="CK3" s="593"/>
      <c r="CL3" s="593" t="s">
        <v>2</v>
      </c>
      <c r="CM3" s="593"/>
      <c r="CN3" s="593"/>
      <c r="CO3" s="593" t="s">
        <v>3</v>
      </c>
      <c r="CP3" s="593"/>
      <c r="CQ3" s="593"/>
      <c r="CR3" s="593" t="s">
        <v>4</v>
      </c>
      <c r="CS3" s="593"/>
      <c r="CT3" s="593"/>
      <c r="CU3" s="589" t="s">
        <v>1</v>
      </c>
      <c r="CV3" s="589"/>
      <c r="CW3" s="589"/>
      <c r="CX3" s="589" t="s">
        <v>2</v>
      </c>
      <c r="CY3" s="589"/>
      <c r="CZ3" s="589"/>
      <c r="DA3" s="589" t="s">
        <v>3</v>
      </c>
      <c r="DB3" s="589"/>
      <c r="DC3" s="589"/>
      <c r="DD3" s="589" t="s">
        <v>4</v>
      </c>
      <c r="DE3" s="589"/>
      <c r="DF3" s="589"/>
      <c r="DG3" s="590" t="s">
        <v>1</v>
      </c>
      <c r="DH3" s="590"/>
      <c r="DI3" s="590"/>
      <c r="DJ3" s="590" t="s">
        <v>2</v>
      </c>
      <c r="DK3" s="590"/>
      <c r="DL3" s="590"/>
      <c r="DM3" s="590" t="s">
        <v>3</v>
      </c>
      <c r="DN3" s="590"/>
      <c r="DO3" s="590"/>
      <c r="DP3" s="590" t="s">
        <v>4</v>
      </c>
      <c r="DQ3" s="590"/>
      <c r="DR3" s="590"/>
      <c r="DS3" s="591" t="s">
        <v>1</v>
      </c>
      <c r="DT3" s="591"/>
      <c r="DU3" s="591"/>
      <c r="DV3" s="591" t="s">
        <v>2</v>
      </c>
      <c r="DW3" s="591"/>
      <c r="DX3" s="591"/>
      <c r="DY3" s="591" t="s">
        <v>3</v>
      </c>
      <c r="DZ3" s="591"/>
      <c r="EA3" s="591"/>
      <c r="EB3" s="591" t="s">
        <v>4</v>
      </c>
      <c r="EC3" s="591"/>
      <c r="ED3" s="591"/>
      <c r="EE3" s="592" t="s">
        <v>44</v>
      </c>
      <c r="EF3" s="592"/>
      <c r="EG3" s="592"/>
      <c r="EH3" s="592" t="s">
        <v>45</v>
      </c>
      <c r="EI3" s="592"/>
      <c r="EJ3" s="592"/>
      <c r="EK3" s="592" t="s">
        <v>46</v>
      </c>
      <c r="EL3" s="592"/>
      <c r="EM3" s="592"/>
      <c r="EN3" s="592" t="s">
        <v>47</v>
      </c>
      <c r="EO3" s="592"/>
      <c r="EP3" s="592"/>
      <c r="EQ3" s="593" t="s">
        <v>1</v>
      </c>
      <c r="ER3" s="593"/>
      <c r="ES3" s="593"/>
      <c r="ET3" s="593" t="s">
        <v>2</v>
      </c>
      <c r="EU3" s="593"/>
      <c r="EV3" s="593"/>
      <c r="EW3" s="593" t="s">
        <v>3</v>
      </c>
      <c r="EX3" s="593"/>
      <c r="EY3" s="593"/>
      <c r="EZ3" s="593" t="s">
        <v>4</v>
      </c>
      <c r="FA3" s="593"/>
      <c r="FB3" s="593"/>
      <c r="FC3" s="589" t="s">
        <v>1</v>
      </c>
      <c r="FD3" s="589"/>
      <c r="FE3" s="589"/>
      <c r="FF3" s="589" t="s">
        <v>2</v>
      </c>
      <c r="FG3" s="589"/>
      <c r="FH3" s="589"/>
      <c r="FI3" s="589" t="s">
        <v>3</v>
      </c>
      <c r="FJ3" s="589"/>
      <c r="FK3" s="589"/>
      <c r="FL3" s="589" t="s">
        <v>4</v>
      </c>
      <c r="FM3" s="589"/>
      <c r="FN3" s="589"/>
      <c r="FO3" s="590" t="s">
        <v>1</v>
      </c>
      <c r="FP3" s="590"/>
      <c r="FQ3" s="590"/>
      <c r="FR3" s="590" t="s">
        <v>2</v>
      </c>
      <c r="FS3" s="590"/>
      <c r="FT3" s="590"/>
      <c r="FU3" s="590" t="s">
        <v>3</v>
      </c>
      <c r="FV3" s="590"/>
      <c r="FW3" s="590"/>
      <c r="FX3" s="590" t="s">
        <v>4</v>
      </c>
      <c r="FY3" s="590"/>
      <c r="FZ3" s="590"/>
      <c r="GA3" s="591" t="s">
        <v>1</v>
      </c>
      <c r="GB3" s="591"/>
      <c r="GC3" s="591"/>
      <c r="GD3" s="591" t="s">
        <v>2</v>
      </c>
      <c r="GE3" s="591"/>
      <c r="GF3" s="591"/>
      <c r="GG3" s="591" t="s">
        <v>3</v>
      </c>
      <c r="GH3" s="591"/>
      <c r="GI3" s="591"/>
      <c r="GJ3" s="591" t="s">
        <v>4</v>
      </c>
      <c r="GK3" s="591"/>
      <c r="GL3" s="591"/>
      <c r="GM3" s="592" t="s">
        <v>44</v>
      </c>
      <c r="GN3" s="592"/>
      <c r="GO3" s="592"/>
      <c r="GP3" s="592" t="s">
        <v>45</v>
      </c>
      <c r="GQ3" s="592"/>
      <c r="GR3" s="592"/>
      <c r="GS3" s="592" t="s">
        <v>46</v>
      </c>
      <c r="GT3" s="592"/>
      <c r="GU3" s="592"/>
      <c r="GV3" s="592" t="s">
        <v>47</v>
      </c>
      <c r="GW3" s="592"/>
      <c r="GX3" s="592"/>
      <c r="GY3" s="593" t="s">
        <v>1</v>
      </c>
      <c r="GZ3" s="593"/>
      <c r="HA3" s="593"/>
      <c r="HB3" s="593" t="s">
        <v>2</v>
      </c>
      <c r="HC3" s="593"/>
      <c r="HD3" s="593"/>
      <c r="HE3" s="593" t="s">
        <v>3</v>
      </c>
      <c r="HF3" s="593"/>
      <c r="HG3" s="593"/>
      <c r="HH3" s="593" t="s">
        <v>4</v>
      </c>
      <c r="HI3" s="593"/>
      <c r="HJ3" s="593"/>
      <c r="HK3" s="589" t="s">
        <v>1</v>
      </c>
      <c r="HL3" s="589"/>
      <c r="HM3" s="589"/>
      <c r="HN3" s="589" t="s">
        <v>2</v>
      </c>
      <c r="HO3" s="589"/>
      <c r="HP3" s="589"/>
      <c r="HQ3" s="589" t="s">
        <v>3</v>
      </c>
      <c r="HR3" s="589"/>
      <c r="HS3" s="589"/>
      <c r="HT3" s="589" t="s">
        <v>4</v>
      </c>
      <c r="HU3" s="589"/>
      <c r="HV3" s="589"/>
      <c r="HW3" s="590" t="s">
        <v>1</v>
      </c>
      <c r="HX3" s="590"/>
      <c r="HY3" s="590"/>
      <c r="HZ3" s="590" t="s">
        <v>2</v>
      </c>
      <c r="IA3" s="590"/>
      <c r="IB3" s="590"/>
      <c r="IC3" s="590" t="s">
        <v>3</v>
      </c>
      <c r="ID3" s="590"/>
      <c r="IE3" s="590"/>
      <c r="IF3" s="590" t="s">
        <v>4</v>
      </c>
      <c r="IG3" s="590"/>
      <c r="IH3" s="590"/>
      <c r="II3" s="591" t="s">
        <v>1</v>
      </c>
      <c r="IJ3" s="591"/>
      <c r="IK3" s="591"/>
      <c r="IL3" s="591" t="s">
        <v>2</v>
      </c>
      <c r="IM3" s="591"/>
      <c r="IN3" s="591"/>
      <c r="IO3" s="591" t="s">
        <v>3</v>
      </c>
      <c r="IP3" s="591"/>
      <c r="IQ3" s="591"/>
      <c r="IR3" s="591" t="s">
        <v>4</v>
      </c>
      <c r="IS3" s="591"/>
      <c r="IT3" s="591"/>
      <c r="IU3" s="592" t="s">
        <v>44</v>
      </c>
      <c r="IV3" s="592"/>
      <c r="IW3" s="592"/>
      <c r="IX3" s="592" t="s">
        <v>45</v>
      </c>
      <c r="IY3" s="592"/>
      <c r="IZ3" s="592"/>
      <c r="JA3" s="592" t="s">
        <v>46</v>
      </c>
      <c r="JB3" s="592"/>
      <c r="JC3" s="592"/>
      <c r="JD3" s="592" t="s">
        <v>47</v>
      </c>
      <c r="JE3" s="592"/>
      <c r="JF3" s="592"/>
    </row>
    <row r="4" spans="1:266" ht="31.5" thickTop="1" thickBot="1" x14ac:dyDescent="0.3">
      <c r="A4" s="347" t="s">
        <v>1091</v>
      </c>
      <c r="B4" s="346" t="s">
        <v>0</v>
      </c>
      <c r="C4" s="345" t="s">
        <v>1090</v>
      </c>
      <c r="D4" s="345" t="s">
        <v>204</v>
      </c>
      <c r="E4" s="345" t="s">
        <v>5</v>
      </c>
      <c r="F4" s="345" t="s">
        <v>1</v>
      </c>
      <c r="G4" s="345" t="s">
        <v>2</v>
      </c>
      <c r="H4" s="345" t="s">
        <v>3</v>
      </c>
      <c r="I4" s="345" t="s">
        <v>4</v>
      </c>
      <c r="J4" s="345" t="s">
        <v>5</v>
      </c>
      <c r="K4" s="345" t="s">
        <v>1</v>
      </c>
      <c r="L4" s="345" t="s">
        <v>2</v>
      </c>
      <c r="M4" s="345" t="s">
        <v>3</v>
      </c>
      <c r="N4" s="345" t="s">
        <v>4</v>
      </c>
      <c r="O4" s="345" t="s">
        <v>1090</v>
      </c>
      <c r="P4" s="345" t="s">
        <v>204</v>
      </c>
      <c r="Q4" s="345" t="s">
        <v>5</v>
      </c>
      <c r="R4" s="345" t="s">
        <v>1</v>
      </c>
      <c r="S4" s="345" t="s">
        <v>2</v>
      </c>
      <c r="T4" s="345" t="s">
        <v>3</v>
      </c>
      <c r="U4" s="345" t="s">
        <v>4</v>
      </c>
      <c r="V4" s="345" t="s">
        <v>5</v>
      </c>
      <c r="W4" s="345" t="s">
        <v>1</v>
      </c>
      <c r="X4" s="345" t="s">
        <v>2</v>
      </c>
      <c r="Y4" s="345" t="s">
        <v>3</v>
      </c>
      <c r="Z4" s="345" t="s">
        <v>4</v>
      </c>
      <c r="AA4" s="344" t="s">
        <v>270</v>
      </c>
      <c r="AB4" s="344" t="s">
        <v>271</v>
      </c>
      <c r="AC4" s="344" t="s">
        <v>272</v>
      </c>
      <c r="AD4" s="344" t="s">
        <v>1089</v>
      </c>
      <c r="AE4" s="344" t="s">
        <v>1088</v>
      </c>
      <c r="AF4" s="344" t="s">
        <v>1087</v>
      </c>
      <c r="AG4" s="344" t="s">
        <v>1086</v>
      </c>
      <c r="AH4" s="344" t="s">
        <v>1085</v>
      </c>
      <c r="AI4" s="344" t="s">
        <v>1084</v>
      </c>
      <c r="AJ4" s="344" t="s">
        <v>1083</v>
      </c>
      <c r="AK4" s="344" t="s">
        <v>1082</v>
      </c>
      <c r="AL4" s="344" t="s">
        <v>1081</v>
      </c>
      <c r="AM4" s="344" t="s">
        <v>1080</v>
      </c>
      <c r="AN4" s="344" t="s">
        <v>1079</v>
      </c>
      <c r="AO4" s="344" t="s">
        <v>1078</v>
      </c>
      <c r="AP4" s="344" t="s">
        <v>1077</v>
      </c>
      <c r="AQ4" s="344" t="s">
        <v>1076</v>
      </c>
      <c r="AR4" s="344" t="s">
        <v>1075</v>
      </c>
      <c r="AS4" s="344" t="s">
        <v>1074</v>
      </c>
      <c r="AT4" s="344" t="s">
        <v>1073</v>
      </c>
      <c r="AU4" s="344" t="s">
        <v>1072</v>
      </c>
      <c r="AV4" s="344" t="s">
        <v>1071</v>
      </c>
      <c r="AW4" s="344" t="s">
        <v>1070</v>
      </c>
      <c r="AX4" s="344" t="s">
        <v>1069</v>
      </c>
      <c r="AY4" s="344" t="s">
        <v>1068</v>
      </c>
      <c r="AZ4" s="344" t="s">
        <v>1067</v>
      </c>
      <c r="BA4" s="344" t="s">
        <v>1066</v>
      </c>
      <c r="BB4" s="344" t="s">
        <v>1065</v>
      </c>
      <c r="BC4" s="344" t="s">
        <v>1064</v>
      </c>
      <c r="BD4" s="344" t="s">
        <v>1063</v>
      </c>
      <c r="BE4" s="344" t="s">
        <v>1062</v>
      </c>
      <c r="BF4" s="344" t="s">
        <v>1061</v>
      </c>
      <c r="BG4" s="344" t="s">
        <v>1060</v>
      </c>
      <c r="BH4" s="344" t="s">
        <v>1059</v>
      </c>
      <c r="BI4" s="344" t="s">
        <v>1058</v>
      </c>
      <c r="BJ4" s="344" t="s">
        <v>1057</v>
      </c>
      <c r="BK4" s="344" t="s">
        <v>1056</v>
      </c>
      <c r="BL4" s="344" t="s">
        <v>1055</v>
      </c>
      <c r="BM4" s="344" t="s">
        <v>1054</v>
      </c>
      <c r="BN4" s="344" t="s">
        <v>1053</v>
      </c>
      <c r="BO4" s="344" t="s">
        <v>1052</v>
      </c>
      <c r="BP4" s="344" t="s">
        <v>1051</v>
      </c>
      <c r="BQ4" s="344" t="s">
        <v>1050</v>
      </c>
      <c r="BR4" s="344" t="s">
        <v>1049</v>
      </c>
      <c r="BS4" s="344" t="s">
        <v>1048</v>
      </c>
      <c r="BT4" s="344" t="s">
        <v>1047</v>
      </c>
      <c r="BU4" s="344" t="s">
        <v>1046</v>
      </c>
      <c r="BV4" s="344" t="s">
        <v>1045</v>
      </c>
      <c r="BW4" s="344" t="s">
        <v>1044</v>
      </c>
      <c r="BX4" s="344" t="s">
        <v>1043</v>
      </c>
      <c r="BY4" s="344" t="s">
        <v>1042</v>
      </c>
      <c r="BZ4" s="344" t="s">
        <v>1041</v>
      </c>
      <c r="CA4" s="344" t="s">
        <v>1040</v>
      </c>
      <c r="CB4" s="344" t="s">
        <v>1039</v>
      </c>
      <c r="CC4" s="344" t="s">
        <v>1038</v>
      </c>
      <c r="CD4" s="344" t="s">
        <v>1037</v>
      </c>
      <c r="CE4" s="344" t="s">
        <v>1036</v>
      </c>
      <c r="CF4" s="344" t="s">
        <v>1035</v>
      </c>
      <c r="CG4" s="344" t="s">
        <v>1034</v>
      </c>
      <c r="CH4" s="344" t="s">
        <v>1033</v>
      </c>
      <c r="CI4" s="344" t="s">
        <v>270</v>
      </c>
      <c r="CJ4" s="344" t="s">
        <v>271</v>
      </c>
      <c r="CK4" s="344" t="s">
        <v>272</v>
      </c>
      <c r="CL4" s="344" t="s">
        <v>1089</v>
      </c>
      <c r="CM4" s="344" t="s">
        <v>1088</v>
      </c>
      <c r="CN4" s="344" t="s">
        <v>1087</v>
      </c>
      <c r="CO4" s="344" t="s">
        <v>1086</v>
      </c>
      <c r="CP4" s="344" t="s">
        <v>1085</v>
      </c>
      <c r="CQ4" s="344" t="s">
        <v>1084</v>
      </c>
      <c r="CR4" s="344" t="s">
        <v>1083</v>
      </c>
      <c r="CS4" s="344" t="s">
        <v>1082</v>
      </c>
      <c r="CT4" s="344" t="s">
        <v>1081</v>
      </c>
      <c r="CU4" s="344" t="s">
        <v>1080</v>
      </c>
      <c r="CV4" s="344" t="s">
        <v>1079</v>
      </c>
      <c r="CW4" s="344" t="s">
        <v>1078</v>
      </c>
      <c r="CX4" s="344" t="s">
        <v>1077</v>
      </c>
      <c r="CY4" s="344" t="s">
        <v>1076</v>
      </c>
      <c r="CZ4" s="344" t="s">
        <v>1075</v>
      </c>
      <c r="DA4" s="344" t="s">
        <v>1074</v>
      </c>
      <c r="DB4" s="344" t="s">
        <v>1073</v>
      </c>
      <c r="DC4" s="344" t="s">
        <v>1072</v>
      </c>
      <c r="DD4" s="344" t="s">
        <v>1071</v>
      </c>
      <c r="DE4" s="344" t="s">
        <v>1070</v>
      </c>
      <c r="DF4" s="344" t="s">
        <v>1069</v>
      </c>
      <c r="DG4" s="344" t="s">
        <v>1068</v>
      </c>
      <c r="DH4" s="344" t="s">
        <v>1067</v>
      </c>
      <c r="DI4" s="344" t="s">
        <v>1066</v>
      </c>
      <c r="DJ4" s="344" t="s">
        <v>1065</v>
      </c>
      <c r="DK4" s="344" t="s">
        <v>1064</v>
      </c>
      <c r="DL4" s="344" t="s">
        <v>1063</v>
      </c>
      <c r="DM4" s="344" t="s">
        <v>1062</v>
      </c>
      <c r="DN4" s="344" t="s">
        <v>1061</v>
      </c>
      <c r="DO4" s="344" t="s">
        <v>1060</v>
      </c>
      <c r="DP4" s="344" t="s">
        <v>1059</v>
      </c>
      <c r="DQ4" s="344" t="s">
        <v>1058</v>
      </c>
      <c r="DR4" s="344" t="s">
        <v>1057</v>
      </c>
      <c r="DS4" s="344" t="s">
        <v>1056</v>
      </c>
      <c r="DT4" s="344" t="s">
        <v>1055</v>
      </c>
      <c r="DU4" s="344" t="s">
        <v>1054</v>
      </c>
      <c r="DV4" s="344" t="s">
        <v>1053</v>
      </c>
      <c r="DW4" s="344" t="s">
        <v>1052</v>
      </c>
      <c r="DX4" s="344" t="s">
        <v>1051</v>
      </c>
      <c r="DY4" s="344" t="s">
        <v>1050</v>
      </c>
      <c r="DZ4" s="344" t="s">
        <v>1049</v>
      </c>
      <c r="EA4" s="344" t="s">
        <v>1048</v>
      </c>
      <c r="EB4" s="344" t="s">
        <v>1047</v>
      </c>
      <c r="EC4" s="344" t="s">
        <v>1046</v>
      </c>
      <c r="ED4" s="344" t="s">
        <v>1045</v>
      </c>
      <c r="EE4" s="344" t="s">
        <v>1044</v>
      </c>
      <c r="EF4" s="344" t="s">
        <v>1043</v>
      </c>
      <c r="EG4" s="344" t="s">
        <v>1042</v>
      </c>
      <c r="EH4" s="344" t="s">
        <v>1041</v>
      </c>
      <c r="EI4" s="344" t="s">
        <v>1040</v>
      </c>
      <c r="EJ4" s="344" t="s">
        <v>1039</v>
      </c>
      <c r="EK4" s="344" t="s">
        <v>1038</v>
      </c>
      <c r="EL4" s="344" t="s">
        <v>1037</v>
      </c>
      <c r="EM4" s="344" t="s">
        <v>1036</v>
      </c>
      <c r="EN4" s="344" t="s">
        <v>1035</v>
      </c>
      <c r="EO4" s="344" t="s">
        <v>1034</v>
      </c>
      <c r="EP4" s="344" t="s">
        <v>1033</v>
      </c>
      <c r="EQ4" s="344" t="s">
        <v>270</v>
      </c>
      <c r="ER4" s="344" t="s">
        <v>271</v>
      </c>
      <c r="ES4" s="344" t="s">
        <v>272</v>
      </c>
      <c r="ET4" s="344" t="s">
        <v>1089</v>
      </c>
      <c r="EU4" s="344" t="s">
        <v>1088</v>
      </c>
      <c r="EV4" s="344" t="s">
        <v>1087</v>
      </c>
      <c r="EW4" s="344" t="s">
        <v>1086</v>
      </c>
      <c r="EX4" s="344" t="s">
        <v>1085</v>
      </c>
      <c r="EY4" s="344" t="s">
        <v>1084</v>
      </c>
      <c r="EZ4" s="344" t="s">
        <v>1083</v>
      </c>
      <c r="FA4" s="344" t="s">
        <v>1082</v>
      </c>
      <c r="FB4" s="344" t="s">
        <v>1081</v>
      </c>
      <c r="FC4" s="344" t="s">
        <v>1080</v>
      </c>
      <c r="FD4" s="344" t="s">
        <v>1079</v>
      </c>
      <c r="FE4" s="344" t="s">
        <v>1078</v>
      </c>
      <c r="FF4" s="344" t="s">
        <v>1077</v>
      </c>
      <c r="FG4" s="344" t="s">
        <v>1076</v>
      </c>
      <c r="FH4" s="344" t="s">
        <v>1075</v>
      </c>
      <c r="FI4" s="344" t="s">
        <v>1074</v>
      </c>
      <c r="FJ4" s="344" t="s">
        <v>1073</v>
      </c>
      <c r="FK4" s="344" t="s">
        <v>1072</v>
      </c>
      <c r="FL4" s="344" t="s">
        <v>1071</v>
      </c>
      <c r="FM4" s="344" t="s">
        <v>1070</v>
      </c>
      <c r="FN4" s="344" t="s">
        <v>1069</v>
      </c>
      <c r="FO4" s="344" t="s">
        <v>1068</v>
      </c>
      <c r="FP4" s="344" t="s">
        <v>1067</v>
      </c>
      <c r="FQ4" s="344" t="s">
        <v>1066</v>
      </c>
      <c r="FR4" s="344" t="s">
        <v>1065</v>
      </c>
      <c r="FS4" s="344" t="s">
        <v>1064</v>
      </c>
      <c r="FT4" s="344" t="s">
        <v>1063</v>
      </c>
      <c r="FU4" s="344" t="s">
        <v>1062</v>
      </c>
      <c r="FV4" s="344" t="s">
        <v>1061</v>
      </c>
      <c r="FW4" s="344" t="s">
        <v>1060</v>
      </c>
      <c r="FX4" s="344" t="s">
        <v>1059</v>
      </c>
      <c r="FY4" s="344" t="s">
        <v>1058</v>
      </c>
      <c r="FZ4" s="344" t="s">
        <v>1057</v>
      </c>
      <c r="GA4" s="344" t="s">
        <v>1056</v>
      </c>
      <c r="GB4" s="344" t="s">
        <v>1055</v>
      </c>
      <c r="GC4" s="344" t="s">
        <v>1054</v>
      </c>
      <c r="GD4" s="344" t="s">
        <v>1053</v>
      </c>
      <c r="GE4" s="344" t="s">
        <v>1052</v>
      </c>
      <c r="GF4" s="344" t="s">
        <v>1051</v>
      </c>
      <c r="GG4" s="344" t="s">
        <v>1050</v>
      </c>
      <c r="GH4" s="344" t="s">
        <v>1049</v>
      </c>
      <c r="GI4" s="344" t="s">
        <v>1048</v>
      </c>
      <c r="GJ4" s="344" t="s">
        <v>1047</v>
      </c>
      <c r="GK4" s="344" t="s">
        <v>1046</v>
      </c>
      <c r="GL4" s="344" t="s">
        <v>1045</v>
      </c>
      <c r="GM4" s="344" t="s">
        <v>1044</v>
      </c>
      <c r="GN4" s="344" t="s">
        <v>1043</v>
      </c>
      <c r="GO4" s="344" t="s">
        <v>1042</v>
      </c>
      <c r="GP4" s="344" t="s">
        <v>1041</v>
      </c>
      <c r="GQ4" s="344" t="s">
        <v>1040</v>
      </c>
      <c r="GR4" s="344" t="s">
        <v>1039</v>
      </c>
      <c r="GS4" s="344" t="s">
        <v>1038</v>
      </c>
      <c r="GT4" s="344" t="s">
        <v>1037</v>
      </c>
      <c r="GU4" s="344" t="s">
        <v>1036</v>
      </c>
      <c r="GV4" s="344" t="s">
        <v>1035</v>
      </c>
      <c r="GW4" s="344" t="s">
        <v>1034</v>
      </c>
      <c r="GX4" s="344" t="s">
        <v>1033</v>
      </c>
      <c r="GY4" s="344" t="s">
        <v>270</v>
      </c>
      <c r="GZ4" s="344" t="s">
        <v>271</v>
      </c>
      <c r="HA4" s="344" t="s">
        <v>272</v>
      </c>
      <c r="HB4" s="344" t="s">
        <v>1089</v>
      </c>
      <c r="HC4" s="344" t="s">
        <v>1088</v>
      </c>
      <c r="HD4" s="344" t="s">
        <v>1087</v>
      </c>
      <c r="HE4" s="344" t="s">
        <v>1086</v>
      </c>
      <c r="HF4" s="344" t="s">
        <v>1085</v>
      </c>
      <c r="HG4" s="344" t="s">
        <v>1084</v>
      </c>
      <c r="HH4" s="344" t="s">
        <v>1083</v>
      </c>
      <c r="HI4" s="344" t="s">
        <v>1082</v>
      </c>
      <c r="HJ4" s="344" t="s">
        <v>1081</v>
      </c>
      <c r="HK4" s="344" t="s">
        <v>1080</v>
      </c>
      <c r="HL4" s="344" t="s">
        <v>1079</v>
      </c>
      <c r="HM4" s="344" t="s">
        <v>1078</v>
      </c>
      <c r="HN4" s="344" t="s">
        <v>1077</v>
      </c>
      <c r="HO4" s="344" t="s">
        <v>1076</v>
      </c>
      <c r="HP4" s="344" t="s">
        <v>1075</v>
      </c>
      <c r="HQ4" s="344" t="s">
        <v>1074</v>
      </c>
      <c r="HR4" s="344" t="s">
        <v>1073</v>
      </c>
      <c r="HS4" s="344" t="s">
        <v>1072</v>
      </c>
      <c r="HT4" s="344" t="s">
        <v>1071</v>
      </c>
      <c r="HU4" s="344" t="s">
        <v>1070</v>
      </c>
      <c r="HV4" s="344" t="s">
        <v>1069</v>
      </c>
      <c r="HW4" s="344" t="s">
        <v>1068</v>
      </c>
      <c r="HX4" s="344" t="s">
        <v>1067</v>
      </c>
      <c r="HY4" s="344" t="s">
        <v>1066</v>
      </c>
      <c r="HZ4" s="344" t="s">
        <v>1065</v>
      </c>
      <c r="IA4" s="344" t="s">
        <v>1064</v>
      </c>
      <c r="IB4" s="344" t="s">
        <v>1063</v>
      </c>
      <c r="IC4" s="344" t="s">
        <v>1062</v>
      </c>
      <c r="ID4" s="344" t="s">
        <v>1061</v>
      </c>
      <c r="IE4" s="344" t="s">
        <v>1060</v>
      </c>
      <c r="IF4" s="344" t="s">
        <v>1059</v>
      </c>
      <c r="IG4" s="344" t="s">
        <v>1058</v>
      </c>
      <c r="IH4" s="344" t="s">
        <v>1057</v>
      </c>
      <c r="II4" s="344" t="s">
        <v>1056</v>
      </c>
      <c r="IJ4" s="344" t="s">
        <v>1055</v>
      </c>
      <c r="IK4" s="344" t="s">
        <v>1054</v>
      </c>
      <c r="IL4" s="344" t="s">
        <v>1053</v>
      </c>
      <c r="IM4" s="344" t="s">
        <v>1052</v>
      </c>
      <c r="IN4" s="344" t="s">
        <v>1051</v>
      </c>
      <c r="IO4" s="344" t="s">
        <v>1050</v>
      </c>
      <c r="IP4" s="344" t="s">
        <v>1049</v>
      </c>
      <c r="IQ4" s="344" t="s">
        <v>1048</v>
      </c>
      <c r="IR4" s="344" t="s">
        <v>1047</v>
      </c>
      <c r="IS4" s="344" t="s">
        <v>1046</v>
      </c>
      <c r="IT4" s="344" t="s">
        <v>1045</v>
      </c>
      <c r="IU4" s="344" t="s">
        <v>1044</v>
      </c>
      <c r="IV4" s="344" t="s">
        <v>1043</v>
      </c>
      <c r="IW4" s="344" t="s">
        <v>1042</v>
      </c>
      <c r="IX4" s="344" t="s">
        <v>1041</v>
      </c>
      <c r="IY4" s="344" t="s">
        <v>1040</v>
      </c>
      <c r="IZ4" s="344" t="s">
        <v>1039</v>
      </c>
      <c r="JA4" s="344" t="s">
        <v>1038</v>
      </c>
      <c r="JB4" s="344" t="s">
        <v>1037</v>
      </c>
      <c r="JC4" s="344" t="s">
        <v>1036</v>
      </c>
      <c r="JD4" s="344" t="s">
        <v>1035</v>
      </c>
      <c r="JE4" s="344" t="s">
        <v>1034</v>
      </c>
      <c r="JF4" s="344" t="s">
        <v>1033</v>
      </c>
    </row>
    <row r="5" spans="1:266" ht="15.75" thickTop="1" x14ac:dyDescent="0.25">
      <c r="A5" s="343" t="s">
        <v>1030</v>
      </c>
      <c r="B5" s="342" t="s">
        <v>1032</v>
      </c>
      <c r="C5" s="340"/>
      <c r="D5" s="339"/>
      <c r="E5" s="338"/>
      <c r="F5" s="338"/>
      <c r="G5" s="338"/>
      <c r="H5" s="338"/>
      <c r="I5" s="338"/>
      <c r="J5" s="338"/>
      <c r="K5" s="338"/>
      <c r="L5" s="338"/>
      <c r="M5" s="338"/>
      <c r="N5" s="341"/>
      <c r="O5" s="340"/>
      <c r="P5" s="339"/>
      <c r="Q5" s="338"/>
      <c r="R5" s="338"/>
      <c r="S5" s="338"/>
      <c r="T5" s="338"/>
      <c r="U5" s="338"/>
      <c r="V5" s="338"/>
      <c r="W5" s="337"/>
      <c r="X5" s="335"/>
      <c r="Y5" s="335"/>
      <c r="Z5" s="334"/>
      <c r="AA5" s="336"/>
      <c r="AB5" s="335"/>
      <c r="AC5" s="335"/>
      <c r="AD5" s="335"/>
      <c r="AE5" s="335"/>
      <c r="AF5" s="335"/>
      <c r="AG5" s="335"/>
      <c r="AH5" s="335"/>
      <c r="AI5" s="335"/>
      <c r="AJ5" s="335"/>
      <c r="AK5" s="335"/>
      <c r="AL5" s="335"/>
      <c r="AM5" s="335"/>
      <c r="AN5" s="335"/>
      <c r="AO5" s="335"/>
      <c r="AP5" s="335"/>
      <c r="AQ5" s="335"/>
      <c r="AR5" s="335"/>
      <c r="AS5" s="335"/>
      <c r="AT5" s="335"/>
      <c r="AU5" s="335"/>
      <c r="AV5" s="335"/>
      <c r="AW5" s="335"/>
      <c r="AX5" s="335"/>
      <c r="AY5" s="335"/>
      <c r="AZ5" s="335"/>
      <c r="BA5" s="335"/>
      <c r="BB5" s="335"/>
      <c r="BC5" s="335"/>
      <c r="BD5" s="335"/>
      <c r="BE5" s="335"/>
      <c r="BF5" s="335"/>
      <c r="BG5" s="335"/>
      <c r="BH5" s="335"/>
      <c r="BI5" s="335"/>
      <c r="BJ5" s="335"/>
      <c r="BK5" s="335"/>
      <c r="BL5" s="335"/>
      <c r="BM5" s="335"/>
      <c r="BN5" s="335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35"/>
      <c r="CG5" s="335"/>
      <c r="CH5" s="334"/>
      <c r="CI5" s="336"/>
      <c r="CJ5" s="335"/>
      <c r="CK5" s="335"/>
      <c r="CL5" s="335"/>
      <c r="CM5" s="335"/>
      <c r="CN5" s="335"/>
      <c r="CO5" s="335"/>
      <c r="CP5" s="335"/>
      <c r="CQ5" s="335"/>
      <c r="CR5" s="335"/>
      <c r="CS5" s="335"/>
      <c r="CT5" s="335"/>
      <c r="CU5" s="335"/>
      <c r="CV5" s="335"/>
      <c r="CW5" s="335"/>
      <c r="CX5" s="335"/>
      <c r="CY5" s="335"/>
      <c r="CZ5" s="335"/>
      <c r="DA5" s="335"/>
      <c r="DB5" s="335"/>
      <c r="DC5" s="335"/>
      <c r="DD5" s="335"/>
      <c r="DE5" s="335"/>
      <c r="DF5" s="335"/>
      <c r="DG5" s="335"/>
      <c r="DH5" s="335"/>
      <c r="DI5" s="335"/>
      <c r="DJ5" s="335"/>
      <c r="DK5" s="335"/>
      <c r="DL5" s="335"/>
      <c r="DM5" s="335"/>
      <c r="DN5" s="335"/>
      <c r="DO5" s="335"/>
      <c r="DP5" s="335"/>
      <c r="DQ5" s="335"/>
      <c r="DR5" s="335"/>
      <c r="DS5" s="335"/>
      <c r="DT5" s="335"/>
      <c r="DU5" s="335"/>
      <c r="DV5" s="335"/>
      <c r="DW5" s="335"/>
      <c r="DX5" s="335"/>
      <c r="DY5" s="335"/>
      <c r="DZ5" s="335"/>
      <c r="EA5" s="335"/>
      <c r="EB5" s="335"/>
      <c r="EC5" s="335"/>
      <c r="ED5" s="335"/>
      <c r="EE5" s="335"/>
      <c r="EF5" s="335"/>
      <c r="EG5" s="335"/>
      <c r="EH5" s="335"/>
      <c r="EI5" s="335"/>
      <c r="EJ5" s="335"/>
      <c r="EK5" s="335"/>
      <c r="EL5" s="335"/>
      <c r="EM5" s="335"/>
      <c r="EN5" s="335"/>
      <c r="EO5" s="335"/>
      <c r="EP5" s="334"/>
      <c r="EQ5" s="336"/>
      <c r="ER5" s="335"/>
      <c r="ES5" s="335"/>
      <c r="ET5" s="335"/>
      <c r="EU5" s="335"/>
      <c r="EV5" s="335"/>
      <c r="EW5" s="335"/>
      <c r="EX5" s="335"/>
      <c r="EY5" s="335"/>
      <c r="EZ5" s="335"/>
      <c r="FA5" s="335"/>
      <c r="FB5" s="335"/>
      <c r="FC5" s="335"/>
      <c r="FD5" s="335"/>
      <c r="FE5" s="335"/>
      <c r="FF5" s="335"/>
      <c r="FG5" s="335"/>
      <c r="FH5" s="335"/>
      <c r="FI5" s="335"/>
      <c r="FJ5" s="335"/>
      <c r="FK5" s="335"/>
      <c r="FL5" s="335"/>
      <c r="FM5" s="335"/>
      <c r="FN5" s="335"/>
      <c r="FO5" s="335"/>
      <c r="FP5" s="335"/>
      <c r="FQ5" s="335"/>
      <c r="FR5" s="335"/>
      <c r="FS5" s="335"/>
      <c r="FT5" s="335"/>
      <c r="FU5" s="335"/>
      <c r="FV5" s="335"/>
      <c r="FW5" s="335"/>
      <c r="FX5" s="335"/>
      <c r="FY5" s="335"/>
      <c r="FZ5" s="335"/>
      <c r="GA5" s="335"/>
      <c r="GB5" s="335"/>
      <c r="GC5" s="335"/>
      <c r="GD5" s="335"/>
      <c r="GE5" s="335"/>
      <c r="GF5" s="335"/>
      <c r="GG5" s="335"/>
      <c r="GH5" s="335"/>
      <c r="GI5" s="335"/>
      <c r="GJ5" s="335"/>
      <c r="GK5" s="335"/>
      <c r="GL5" s="335"/>
      <c r="GM5" s="335"/>
      <c r="GN5" s="335"/>
      <c r="GO5" s="335"/>
      <c r="GP5" s="335"/>
      <c r="GQ5" s="335"/>
      <c r="GR5" s="335"/>
      <c r="GS5" s="335"/>
      <c r="GT5" s="335"/>
      <c r="GU5" s="335"/>
      <c r="GV5" s="335"/>
      <c r="GW5" s="335"/>
      <c r="GX5" s="334"/>
      <c r="GY5" s="336"/>
      <c r="GZ5" s="335"/>
      <c r="HA5" s="335"/>
      <c r="HB5" s="335"/>
      <c r="HC5" s="335"/>
      <c r="HD5" s="335"/>
      <c r="HE5" s="335"/>
      <c r="HF5" s="335"/>
      <c r="HG5" s="335"/>
      <c r="HH5" s="335"/>
      <c r="HI5" s="335"/>
      <c r="HJ5" s="335"/>
      <c r="HK5" s="335"/>
      <c r="HL5" s="335"/>
      <c r="HM5" s="335"/>
      <c r="HN5" s="335"/>
      <c r="HO5" s="335"/>
      <c r="HP5" s="335"/>
      <c r="HQ5" s="335"/>
      <c r="HR5" s="335"/>
      <c r="HS5" s="335"/>
      <c r="HT5" s="335"/>
      <c r="HU5" s="335"/>
      <c r="HV5" s="335"/>
      <c r="HW5" s="335"/>
      <c r="HX5" s="335"/>
      <c r="HY5" s="335"/>
      <c r="HZ5" s="335"/>
      <c r="IA5" s="335"/>
      <c r="IB5" s="335"/>
      <c r="IC5" s="335"/>
      <c r="ID5" s="335"/>
      <c r="IE5" s="335"/>
      <c r="IF5" s="335"/>
      <c r="IG5" s="335"/>
      <c r="IH5" s="335"/>
      <c r="II5" s="335"/>
      <c r="IJ5" s="335"/>
      <c r="IK5" s="335"/>
      <c r="IL5" s="335"/>
      <c r="IM5" s="335"/>
      <c r="IN5" s="335"/>
      <c r="IO5" s="335"/>
      <c r="IP5" s="335"/>
      <c r="IQ5" s="335"/>
      <c r="IR5" s="335"/>
      <c r="IS5" s="335"/>
      <c r="IT5" s="335"/>
      <c r="IU5" s="335"/>
      <c r="IV5" s="335"/>
      <c r="IW5" s="335"/>
      <c r="IX5" s="335"/>
      <c r="IY5" s="335"/>
      <c r="IZ5" s="335"/>
      <c r="JA5" s="335"/>
      <c r="JB5" s="335"/>
      <c r="JC5" s="335"/>
      <c r="JD5" s="335"/>
      <c r="JE5" s="335"/>
      <c r="JF5" s="334"/>
    </row>
    <row r="6" spans="1:266" x14ac:dyDescent="0.25">
      <c r="A6" s="332" t="s">
        <v>1030</v>
      </c>
      <c r="B6" s="331" t="s">
        <v>1031</v>
      </c>
      <c r="C6" s="330"/>
      <c r="D6" s="329"/>
      <c r="E6" s="327"/>
      <c r="F6" s="327"/>
      <c r="G6" s="327"/>
      <c r="H6" s="327"/>
      <c r="I6" s="327"/>
      <c r="J6" s="327"/>
      <c r="K6" s="327"/>
      <c r="L6" s="327"/>
      <c r="M6" s="327"/>
      <c r="N6" s="326"/>
      <c r="O6" s="330"/>
      <c r="P6" s="329"/>
      <c r="Q6" s="327"/>
      <c r="R6" s="327"/>
      <c r="S6" s="327"/>
      <c r="T6" s="327"/>
      <c r="U6" s="327"/>
      <c r="V6" s="327"/>
      <c r="W6" s="328"/>
      <c r="X6" s="327"/>
      <c r="Y6" s="327"/>
      <c r="Z6" s="326"/>
      <c r="AA6" s="328"/>
      <c r="AB6" s="327"/>
      <c r="AC6" s="327"/>
      <c r="AD6" s="327"/>
      <c r="AE6" s="327"/>
      <c r="AF6" s="327"/>
      <c r="AG6" s="327"/>
      <c r="AH6" s="327"/>
      <c r="AI6" s="327"/>
      <c r="AJ6" s="327"/>
      <c r="AK6" s="327"/>
      <c r="AL6" s="327"/>
      <c r="AM6" s="327"/>
      <c r="AN6" s="327"/>
      <c r="AO6" s="327"/>
      <c r="AP6" s="327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BB6" s="327"/>
      <c r="BC6" s="327"/>
      <c r="BD6" s="327"/>
      <c r="BE6" s="327"/>
      <c r="BF6" s="327"/>
      <c r="BG6" s="327"/>
      <c r="BH6" s="327"/>
      <c r="BI6" s="327"/>
      <c r="BJ6" s="327"/>
      <c r="BK6" s="327"/>
      <c r="BL6" s="327"/>
      <c r="BM6" s="327"/>
      <c r="BN6" s="327"/>
      <c r="BO6" s="327"/>
      <c r="BP6" s="327"/>
      <c r="BQ6" s="327"/>
      <c r="BR6" s="327"/>
      <c r="BS6" s="327"/>
      <c r="BT6" s="327"/>
      <c r="BU6" s="327"/>
      <c r="BV6" s="327"/>
      <c r="BW6" s="327"/>
      <c r="BX6" s="327"/>
      <c r="BY6" s="327"/>
      <c r="BZ6" s="327"/>
      <c r="CA6" s="327"/>
      <c r="CB6" s="327"/>
      <c r="CC6" s="327"/>
      <c r="CD6" s="327"/>
      <c r="CE6" s="327"/>
      <c r="CF6" s="327"/>
      <c r="CG6" s="327"/>
      <c r="CH6" s="326"/>
      <c r="CI6" s="328"/>
      <c r="CJ6" s="327"/>
      <c r="CK6" s="327"/>
      <c r="CL6" s="327"/>
      <c r="CM6" s="327"/>
      <c r="CN6" s="327"/>
      <c r="CO6" s="327"/>
      <c r="CP6" s="327"/>
      <c r="CQ6" s="327"/>
      <c r="CR6" s="327"/>
      <c r="CS6" s="327"/>
      <c r="CT6" s="327"/>
      <c r="CU6" s="327"/>
      <c r="CV6" s="327"/>
      <c r="CW6" s="327"/>
      <c r="CX6" s="327"/>
      <c r="CY6" s="327"/>
      <c r="CZ6" s="327"/>
      <c r="DA6" s="327"/>
      <c r="DB6" s="327"/>
      <c r="DC6" s="327"/>
      <c r="DD6" s="327"/>
      <c r="DE6" s="327"/>
      <c r="DF6" s="327"/>
      <c r="DG6" s="327"/>
      <c r="DH6" s="327"/>
      <c r="DI6" s="327"/>
      <c r="DJ6" s="327"/>
      <c r="DK6" s="327"/>
      <c r="DL6" s="327"/>
      <c r="DM6" s="327"/>
      <c r="DN6" s="327"/>
      <c r="DO6" s="327"/>
      <c r="DP6" s="327"/>
      <c r="DQ6" s="327"/>
      <c r="DR6" s="327"/>
      <c r="DS6" s="327"/>
      <c r="DT6" s="327"/>
      <c r="DU6" s="327"/>
      <c r="DV6" s="327"/>
      <c r="DW6" s="327"/>
      <c r="DX6" s="327"/>
      <c r="DY6" s="327"/>
      <c r="DZ6" s="327"/>
      <c r="EA6" s="327"/>
      <c r="EB6" s="327"/>
      <c r="EC6" s="327"/>
      <c r="ED6" s="327"/>
      <c r="EE6" s="327"/>
      <c r="EF6" s="327"/>
      <c r="EG6" s="327"/>
      <c r="EH6" s="327"/>
      <c r="EI6" s="327"/>
      <c r="EJ6" s="327"/>
      <c r="EK6" s="327"/>
      <c r="EL6" s="327"/>
      <c r="EM6" s="327"/>
      <c r="EN6" s="327"/>
      <c r="EO6" s="327"/>
      <c r="EP6" s="326"/>
      <c r="EQ6" s="328"/>
      <c r="ER6" s="327"/>
      <c r="ES6" s="327"/>
      <c r="ET6" s="327"/>
      <c r="EU6" s="327"/>
      <c r="EV6" s="327"/>
      <c r="EW6" s="327"/>
      <c r="EX6" s="327"/>
      <c r="EY6" s="327"/>
      <c r="EZ6" s="327"/>
      <c r="FA6" s="327"/>
      <c r="FB6" s="327"/>
      <c r="FC6" s="327"/>
      <c r="FD6" s="327"/>
      <c r="FE6" s="327"/>
      <c r="FF6" s="327"/>
      <c r="FG6" s="327"/>
      <c r="FH6" s="327"/>
      <c r="FI6" s="327"/>
      <c r="FJ6" s="327"/>
      <c r="FK6" s="327"/>
      <c r="FL6" s="327"/>
      <c r="FM6" s="327"/>
      <c r="FN6" s="327"/>
      <c r="FO6" s="327"/>
      <c r="FP6" s="327"/>
      <c r="FQ6" s="327"/>
      <c r="FR6" s="327"/>
      <c r="FS6" s="327"/>
      <c r="FT6" s="327"/>
      <c r="FU6" s="327"/>
      <c r="FV6" s="327"/>
      <c r="FW6" s="327"/>
      <c r="FX6" s="327"/>
      <c r="FY6" s="327"/>
      <c r="FZ6" s="327"/>
      <c r="GA6" s="327"/>
      <c r="GB6" s="327"/>
      <c r="GC6" s="327"/>
      <c r="GD6" s="327"/>
      <c r="GE6" s="327"/>
      <c r="GF6" s="327"/>
      <c r="GG6" s="327"/>
      <c r="GH6" s="327"/>
      <c r="GI6" s="327"/>
      <c r="GJ6" s="327"/>
      <c r="GK6" s="327"/>
      <c r="GL6" s="327"/>
      <c r="GM6" s="327"/>
      <c r="GN6" s="327"/>
      <c r="GO6" s="327"/>
      <c r="GP6" s="327"/>
      <c r="GQ6" s="327"/>
      <c r="GR6" s="327"/>
      <c r="GS6" s="327"/>
      <c r="GT6" s="327"/>
      <c r="GU6" s="327"/>
      <c r="GV6" s="327"/>
      <c r="GW6" s="327"/>
      <c r="GX6" s="326"/>
      <c r="GY6" s="328"/>
      <c r="GZ6" s="327"/>
      <c r="HA6" s="327"/>
      <c r="HB6" s="327"/>
      <c r="HC6" s="327"/>
      <c r="HD6" s="327"/>
      <c r="HE6" s="327"/>
      <c r="HF6" s="327"/>
      <c r="HG6" s="327"/>
      <c r="HH6" s="327"/>
      <c r="HI6" s="327"/>
      <c r="HJ6" s="327"/>
      <c r="HK6" s="327"/>
      <c r="HL6" s="327"/>
      <c r="HM6" s="327"/>
      <c r="HN6" s="327"/>
      <c r="HO6" s="327"/>
      <c r="HP6" s="327"/>
      <c r="HQ6" s="327"/>
      <c r="HR6" s="327"/>
      <c r="HS6" s="327"/>
      <c r="HT6" s="327"/>
      <c r="HU6" s="327"/>
      <c r="HV6" s="327"/>
      <c r="HW6" s="327"/>
      <c r="HX6" s="327"/>
      <c r="HY6" s="327"/>
      <c r="HZ6" s="327"/>
      <c r="IA6" s="327"/>
      <c r="IB6" s="327"/>
      <c r="IC6" s="327"/>
      <c r="ID6" s="327"/>
      <c r="IE6" s="327"/>
      <c r="IF6" s="327"/>
      <c r="IG6" s="327"/>
      <c r="IH6" s="327"/>
      <c r="II6" s="327"/>
      <c r="IJ6" s="327"/>
      <c r="IK6" s="327"/>
      <c r="IL6" s="327"/>
      <c r="IM6" s="327"/>
      <c r="IN6" s="327"/>
      <c r="IO6" s="327"/>
      <c r="IP6" s="327"/>
      <c r="IQ6" s="327"/>
      <c r="IR6" s="327"/>
      <c r="IS6" s="327"/>
      <c r="IT6" s="327"/>
      <c r="IU6" s="327"/>
      <c r="IV6" s="327"/>
      <c r="IW6" s="327"/>
      <c r="IX6" s="327"/>
      <c r="IY6" s="327"/>
      <c r="IZ6" s="327"/>
      <c r="JA6" s="327"/>
      <c r="JB6" s="327"/>
      <c r="JC6" s="327"/>
      <c r="JD6" s="327"/>
      <c r="JE6" s="327"/>
      <c r="JF6" s="326"/>
    </row>
    <row r="7" spans="1:266" x14ac:dyDescent="0.25">
      <c r="A7" s="332" t="s">
        <v>1030</v>
      </c>
      <c r="B7" s="333" t="s">
        <v>1029</v>
      </c>
      <c r="C7" s="330"/>
      <c r="D7" s="329"/>
      <c r="E7" s="327"/>
      <c r="F7" s="327"/>
      <c r="G7" s="327"/>
      <c r="H7" s="327"/>
      <c r="I7" s="327"/>
      <c r="J7" s="327"/>
      <c r="K7" s="327"/>
      <c r="L7" s="327"/>
      <c r="M7" s="327"/>
      <c r="N7" s="326"/>
      <c r="O7" s="330"/>
      <c r="P7" s="329"/>
      <c r="Q7" s="327"/>
      <c r="R7" s="327"/>
      <c r="S7" s="327"/>
      <c r="T7" s="327"/>
      <c r="U7" s="327"/>
      <c r="V7" s="327"/>
      <c r="W7" s="328"/>
      <c r="X7" s="327"/>
      <c r="Y7" s="327"/>
      <c r="Z7" s="326"/>
      <c r="AA7" s="328"/>
      <c r="AB7" s="327"/>
      <c r="AC7" s="327"/>
      <c r="AD7" s="327"/>
      <c r="AE7" s="327"/>
      <c r="AF7" s="327"/>
      <c r="AG7" s="327"/>
      <c r="AH7" s="327"/>
      <c r="AI7" s="327"/>
      <c r="AJ7" s="327"/>
      <c r="AK7" s="327"/>
      <c r="AL7" s="327"/>
      <c r="AM7" s="327"/>
      <c r="AN7" s="327"/>
      <c r="AO7" s="327"/>
      <c r="AP7" s="327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BB7" s="327"/>
      <c r="BC7" s="327"/>
      <c r="BD7" s="327"/>
      <c r="BE7" s="327"/>
      <c r="BF7" s="327"/>
      <c r="BG7" s="327"/>
      <c r="BH7" s="327"/>
      <c r="BI7" s="327"/>
      <c r="BJ7" s="327"/>
      <c r="BK7" s="327"/>
      <c r="BL7" s="327"/>
      <c r="BM7" s="327"/>
      <c r="BN7" s="327"/>
      <c r="BO7" s="327"/>
      <c r="BP7" s="327"/>
      <c r="BQ7" s="327"/>
      <c r="BR7" s="327"/>
      <c r="BS7" s="327"/>
      <c r="BT7" s="327"/>
      <c r="BU7" s="327"/>
      <c r="BV7" s="327"/>
      <c r="BW7" s="327"/>
      <c r="BX7" s="327"/>
      <c r="BY7" s="327"/>
      <c r="BZ7" s="327"/>
      <c r="CA7" s="327"/>
      <c r="CB7" s="327"/>
      <c r="CC7" s="327"/>
      <c r="CD7" s="327"/>
      <c r="CE7" s="327"/>
      <c r="CF7" s="327"/>
      <c r="CG7" s="327"/>
      <c r="CH7" s="326"/>
      <c r="CI7" s="328"/>
      <c r="CJ7" s="327"/>
      <c r="CK7" s="327"/>
      <c r="CL7" s="327"/>
      <c r="CM7" s="327"/>
      <c r="CN7" s="327"/>
      <c r="CO7" s="327"/>
      <c r="CP7" s="327"/>
      <c r="CQ7" s="327"/>
      <c r="CR7" s="327"/>
      <c r="CS7" s="327"/>
      <c r="CT7" s="327"/>
      <c r="CU7" s="327"/>
      <c r="CV7" s="327"/>
      <c r="CW7" s="327"/>
      <c r="CX7" s="327"/>
      <c r="CY7" s="327"/>
      <c r="CZ7" s="327"/>
      <c r="DA7" s="327"/>
      <c r="DB7" s="327"/>
      <c r="DC7" s="327"/>
      <c r="DD7" s="327"/>
      <c r="DE7" s="327"/>
      <c r="DF7" s="327"/>
      <c r="DG7" s="327"/>
      <c r="DH7" s="327"/>
      <c r="DI7" s="327"/>
      <c r="DJ7" s="327"/>
      <c r="DK7" s="327"/>
      <c r="DL7" s="327"/>
      <c r="DM7" s="327"/>
      <c r="DN7" s="327"/>
      <c r="DO7" s="327"/>
      <c r="DP7" s="327"/>
      <c r="DQ7" s="327"/>
      <c r="DR7" s="327"/>
      <c r="DS7" s="327"/>
      <c r="DT7" s="327"/>
      <c r="DU7" s="327"/>
      <c r="DV7" s="327"/>
      <c r="DW7" s="327"/>
      <c r="DX7" s="327"/>
      <c r="DY7" s="327"/>
      <c r="DZ7" s="327"/>
      <c r="EA7" s="327"/>
      <c r="EB7" s="327"/>
      <c r="EC7" s="327"/>
      <c r="ED7" s="327"/>
      <c r="EE7" s="327"/>
      <c r="EF7" s="327"/>
      <c r="EG7" s="327"/>
      <c r="EH7" s="327"/>
      <c r="EI7" s="327"/>
      <c r="EJ7" s="327"/>
      <c r="EK7" s="327"/>
      <c r="EL7" s="327"/>
      <c r="EM7" s="327"/>
      <c r="EN7" s="327"/>
      <c r="EO7" s="327"/>
      <c r="EP7" s="326"/>
      <c r="EQ7" s="328"/>
      <c r="ER7" s="327"/>
      <c r="ES7" s="327"/>
      <c r="ET7" s="327"/>
      <c r="EU7" s="327"/>
      <c r="EV7" s="327"/>
      <c r="EW7" s="327"/>
      <c r="EX7" s="327"/>
      <c r="EY7" s="327"/>
      <c r="EZ7" s="327"/>
      <c r="FA7" s="327"/>
      <c r="FB7" s="327"/>
      <c r="FC7" s="327"/>
      <c r="FD7" s="327"/>
      <c r="FE7" s="327"/>
      <c r="FF7" s="327"/>
      <c r="FG7" s="327"/>
      <c r="FH7" s="327"/>
      <c r="FI7" s="327"/>
      <c r="FJ7" s="327"/>
      <c r="FK7" s="327"/>
      <c r="FL7" s="327"/>
      <c r="FM7" s="327"/>
      <c r="FN7" s="327"/>
      <c r="FO7" s="327"/>
      <c r="FP7" s="327"/>
      <c r="FQ7" s="327"/>
      <c r="FR7" s="327"/>
      <c r="FS7" s="327"/>
      <c r="FT7" s="327"/>
      <c r="FU7" s="327"/>
      <c r="FV7" s="327"/>
      <c r="FW7" s="327"/>
      <c r="FX7" s="327"/>
      <c r="FY7" s="327"/>
      <c r="FZ7" s="327"/>
      <c r="GA7" s="327"/>
      <c r="GB7" s="327"/>
      <c r="GC7" s="327"/>
      <c r="GD7" s="327"/>
      <c r="GE7" s="327"/>
      <c r="GF7" s="327"/>
      <c r="GG7" s="327"/>
      <c r="GH7" s="327"/>
      <c r="GI7" s="327"/>
      <c r="GJ7" s="327"/>
      <c r="GK7" s="327"/>
      <c r="GL7" s="327"/>
      <c r="GM7" s="327"/>
      <c r="GN7" s="327"/>
      <c r="GO7" s="327"/>
      <c r="GP7" s="327"/>
      <c r="GQ7" s="327"/>
      <c r="GR7" s="327"/>
      <c r="GS7" s="327"/>
      <c r="GT7" s="327"/>
      <c r="GU7" s="327"/>
      <c r="GV7" s="327"/>
      <c r="GW7" s="327"/>
      <c r="GX7" s="326"/>
      <c r="GY7" s="328"/>
      <c r="GZ7" s="327"/>
      <c r="HA7" s="327"/>
      <c r="HB7" s="327"/>
      <c r="HC7" s="327"/>
      <c r="HD7" s="327"/>
      <c r="HE7" s="327"/>
      <c r="HF7" s="327"/>
      <c r="HG7" s="327"/>
      <c r="HH7" s="327"/>
      <c r="HI7" s="327"/>
      <c r="HJ7" s="327"/>
      <c r="HK7" s="327"/>
      <c r="HL7" s="327"/>
      <c r="HM7" s="327"/>
      <c r="HN7" s="327"/>
      <c r="HO7" s="327"/>
      <c r="HP7" s="327"/>
      <c r="HQ7" s="327"/>
      <c r="HR7" s="327"/>
      <c r="HS7" s="327"/>
      <c r="HT7" s="327"/>
      <c r="HU7" s="327"/>
      <c r="HV7" s="327"/>
      <c r="HW7" s="327"/>
      <c r="HX7" s="327"/>
      <c r="HY7" s="327"/>
      <c r="HZ7" s="327"/>
      <c r="IA7" s="327"/>
      <c r="IB7" s="327"/>
      <c r="IC7" s="327"/>
      <c r="ID7" s="327"/>
      <c r="IE7" s="327"/>
      <c r="IF7" s="327"/>
      <c r="IG7" s="327"/>
      <c r="IH7" s="327"/>
      <c r="II7" s="327"/>
      <c r="IJ7" s="327"/>
      <c r="IK7" s="327"/>
      <c r="IL7" s="327"/>
      <c r="IM7" s="327"/>
      <c r="IN7" s="327"/>
      <c r="IO7" s="327"/>
      <c r="IP7" s="327"/>
      <c r="IQ7" s="327"/>
      <c r="IR7" s="327"/>
      <c r="IS7" s="327"/>
      <c r="IT7" s="327"/>
      <c r="IU7" s="327"/>
      <c r="IV7" s="327"/>
      <c r="IW7" s="327"/>
      <c r="IX7" s="327"/>
      <c r="IY7" s="327"/>
      <c r="IZ7" s="327"/>
      <c r="JA7" s="327"/>
      <c r="JB7" s="327"/>
      <c r="JC7" s="327"/>
      <c r="JD7" s="327"/>
      <c r="JE7" s="327"/>
      <c r="JF7" s="326"/>
    </row>
    <row r="8" spans="1:266" x14ac:dyDescent="0.25">
      <c r="A8" s="332" t="s">
        <v>1026</v>
      </c>
      <c r="B8" s="331" t="s">
        <v>1028</v>
      </c>
      <c r="C8" s="330"/>
      <c r="D8" s="329"/>
      <c r="E8" s="327"/>
      <c r="F8" s="327"/>
      <c r="G8" s="327"/>
      <c r="H8" s="327"/>
      <c r="I8" s="327"/>
      <c r="J8" s="327"/>
      <c r="K8" s="327"/>
      <c r="L8" s="327"/>
      <c r="M8" s="327"/>
      <c r="N8" s="326"/>
      <c r="O8" s="330"/>
      <c r="P8" s="329"/>
      <c r="Q8" s="327"/>
      <c r="R8" s="327"/>
      <c r="S8" s="327"/>
      <c r="T8" s="327"/>
      <c r="U8" s="327"/>
      <c r="V8" s="327"/>
      <c r="W8" s="328"/>
      <c r="X8" s="327"/>
      <c r="Y8" s="327"/>
      <c r="Z8" s="326"/>
      <c r="AA8" s="328"/>
      <c r="AB8" s="327"/>
      <c r="AC8" s="327"/>
      <c r="AD8" s="327"/>
      <c r="AE8" s="327"/>
      <c r="AF8" s="327"/>
      <c r="AG8" s="327"/>
      <c r="AH8" s="327"/>
      <c r="AI8" s="327"/>
      <c r="AJ8" s="327"/>
      <c r="AK8" s="327"/>
      <c r="AL8" s="327"/>
      <c r="AM8" s="327"/>
      <c r="AN8" s="327"/>
      <c r="AO8" s="327"/>
      <c r="AP8" s="327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BG8" s="327"/>
      <c r="BH8" s="327"/>
      <c r="BI8" s="327"/>
      <c r="BJ8" s="327"/>
      <c r="BK8" s="327"/>
      <c r="BL8" s="327"/>
      <c r="BM8" s="327"/>
      <c r="BN8" s="327"/>
      <c r="BO8" s="327"/>
      <c r="BP8" s="327"/>
      <c r="BQ8" s="327"/>
      <c r="BR8" s="327"/>
      <c r="BS8" s="327"/>
      <c r="BT8" s="327"/>
      <c r="BU8" s="327"/>
      <c r="BV8" s="327"/>
      <c r="BW8" s="327"/>
      <c r="BX8" s="327"/>
      <c r="BY8" s="327"/>
      <c r="BZ8" s="327"/>
      <c r="CA8" s="327"/>
      <c r="CB8" s="327"/>
      <c r="CC8" s="327"/>
      <c r="CD8" s="327"/>
      <c r="CE8" s="327"/>
      <c r="CF8" s="327"/>
      <c r="CG8" s="327"/>
      <c r="CH8" s="326"/>
      <c r="CI8" s="328"/>
      <c r="CJ8" s="327"/>
      <c r="CK8" s="327"/>
      <c r="CL8" s="327"/>
      <c r="CM8" s="327"/>
      <c r="CN8" s="327"/>
      <c r="CO8" s="327"/>
      <c r="CP8" s="327"/>
      <c r="CQ8" s="327"/>
      <c r="CR8" s="327"/>
      <c r="CS8" s="327"/>
      <c r="CT8" s="327"/>
      <c r="CU8" s="327"/>
      <c r="CV8" s="327"/>
      <c r="CW8" s="327"/>
      <c r="CX8" s="327"/>
      <c r="CY8" s="327"/>
      <c r="CZ8" s="327"/>
      <c r="DA8" s="327"/>
      <c r="DB8" s="327"/>
      <c r="DC8" s="327"/>
      <c r="DD8" s="327"/>
      <c r="DE8" s="327"/>
      <c r="DF8" s="327"/>
      <c r="DG8" s="327"/>
      <c r="DH8" s="327"/>
      <c r="DI8" s="327"/>
      <c r="DJ8" s="327"/>
      <c r="DK8" s="327"/>
      <c r="DL8" s="327"/>
      <c r="DM8" s="327"/>
      <c r="DN8" s="327"/>
      <c r="DO8" s="327"/>
      <c r="DP8" s="327"/>
      <c r="DQ8" s="327"/>
      <c r="DR8" s="327"/>
      <c r="DS8" s="327"/>
      <c r="DT8" s="327"/>
      <c r="DU8" s="327"/>
      <c r="DV8" s="327"/>
      <c r="DW8" s="327"/>
      <c r="DX8" s="327"/>
      <c r="DY8" s="327"/>
      <c r="DZ8" s="327"/>
      <c r="EA8" s="327"/>
      <c r="EB8" s="327"/>
      <c r="EC8" s="327"/>
      <c r="ED8" s="327"/>
      <c r="EE8" s="327"/>
      <c r="EF8" s="327"/>
      <c r="EG8" s="327"/>
      <c r="EH8" s="327"/>
      <c r="EI8" s="327"/>
      <c r="EJ8" s="327"/>
      <c r="EK8" s="327"/>
      <c r="EL8" s="327"/>
      <c r="EM8" s="327"/>
      <c r="EN8" s="327"/>
      <c r="EO8" s="327"/>
      <c r="EP8" s="326"/>
      <c r="EQ8" s="328"/>
      <c r="ER8" s="327"/>
      <c r="ES8" s="327"/>
      <c r="ET8" s="327"/>
      <c r="EU8" s="327"/>
      <c r="EV8" s="327"/>
      <c r="EW8" s="327"/>
      <c r="EX8" s="327"/>
      <c r="EY8" s="327"/>
      <c r="EZ8" s="327"/>
      <c r="FA8" s="327"/>
      <c r="FB8" s="327"/>
      <c r="FC8" s="327"/>
      <c r="FD8" s="327"/>
      <c r="FE8" s="327"/>
      <c r="FF8" s="327"/>
      <c r="FG8" s="327"/>
      <c r="FH8" s="327"/>
      <c r="FI8" s="327"/>
      <c r="FJ8" s="327"/>
      <c r="FK8" s="327"/>
      <c r="FL8" s="327"/>
      <c r="FM8" s="327"/>
      <c r="FN8" s="327"/>
      <c r="FO8" s="327"/>
      <c r="FP8" s="327"/>
      <c r="FQ8" s="327"/>
      <c r="FR8" s="327"/>
      <c r="FS8" s="327"/>
      <c r="FT8" s="327"/>
      <c r="FU8" s="327"/>
      <c r="FV8" s="327"/>
      <c r="FW8" s="327"/>
      <c r="FX8" s="327"/>
      <c r="FY8" s="327"/>
      <c r="FZ8" s="327"/>
      <c r="GA8" s="327"/>
      <c r="GB8" s="327"/>
      <c r="GC8" s="327"/>
      <c r="GD8" s="327"/>
      <c r="GE8" s="327"/>
      <c r="GF8" s="327"/>
      <c r="GG8" s="327"/>
      <c r="GH8" s="327"/>
      <c r="GI8" s="327"/>
      <c r="GJ8" s="327"/>
      <c r="GK8" s="327"/>
      <c r="GL8" s="327"/>
      <c r="GM8" s="327"/>
      <c r="GN8" s="327"/>
      <c r="GO8" s="327"/>
      <c r="GP8" s="327"/>
      <c r="GQ8" s="327"/>
      <c r="GR8" s="327"/>
      <c r="GS8" s="327"/>
      <c r="GT8" s="327"/>
      <c r="GU8" s="327"/>
      <c r="GV8" s="327"/>
      <c r="GW8" s="327"/>
      <c r="GX8" s="326"/>
      <c r="GY8" s="328"/>
      <c r="GZ8" s="327"/>
      <c r="HA8" s="327"/>
      <c r="HB8" s="327"/>
      <c r="HC8" s="327"/>
      <c r="HD8" s="327"/>
      <c r="HE8" s="327"/>
      <c r="HF8" s="327"/>
      <c r="HG8" s="327"/>
      <c r="HH8" s="327"/>
      <c r="HI8" s="327"/>
      <c r="HJ8" s="327"/>
      <c r="HK8" s="327"/>
      <c r="HL8" s="327"/>
      <c r="HM8" s="327"/>
      <c r="HN8" s="327"/>
      <c r="HO8" s="327"/>
      <c r="HP8" s="327"/>
      <c r="HQ8" s="327"/>
      <c r="HR8" s="327"/>
      <c r="HS8" s="327"/>
      <c r="HT8" s="327"/>
      <c r="HU8" s="327"/>
      <c r="HV8" s="327"/>
      <c r="HW8" s="327"/>
      <c r="HX8" s="327"/>
      <c r="HY8" s="327"/>
      <c r="HZ8" s="327"/>
      <c r="IA8" s="327"/>
      <c r="IB8" s="327"/>
      <c r="IC8" s="327"/>
      <c r="ID8" s="327"/>
      <c r="IE8" s="327"/>
      <c r="IF8" s="327"/>
      <c r="IG8" s="327"/>
      <c r="IH8" s="327"/>
      <c r="II8" s="327"/>
      <c r="IJ8" s="327"/>
      <c r="IK8" s="327"/>
      <c r="IL8" s="327"/>
      <c r="IM8" s="327"/>
      <c r="IN8" s="327"/>
      <c r="IO8" s="327"/>
      <c r="IP8" s="327"/>
      <c r="IQ8" s="327"/>
      <c r="IR8" s="327"/>
      <c r="IS8" s="327"/>
      <c r="IT8" s="327"/>
      <c r="IU8" s="327"/>
      <c r="IV8" s="327"/>
      <c r="IW8" s="327"/>
      <c r="IX8" s="327"/>
      <c r="IY8" s="327"/>
      <c r="IZ8" s="327"/>
      <c r="JA8" s="327"/>
      <c r="JB8" s="327"/>
      <c r="JC8" s="327"/>
      <c r="JD8" s="327"/>
      <c r="JE8" s="327"/>
      <c r="JF8" s="326"/>
    </row>
    <row r="9" spans="1:266" x14ac:dyDescent="0.25">
      <c r="A9" s="332" t="s">
        <v>1026</v>
      </c>
      <c r="B9" s="333" t="s">
        <v>1027</v>
      </c>
      <c r="C9" s="330"/>
      <c r="D9" s="329"/>
      <c r="E9" s="327"/>
      <c r="F9" s="327"/>
      <c r="G9" s="327"/>
      <c r="H9" s="327"/>
      <c r="I9" s="327"/>
      <c r="J9" s="327"/>
      <c r="K9" s="327"/>
      <c r="L9" s="327"/>
      <c r="M9" s="327"/>
      <c r="N9" s="326"/>
      <c r="O9" s="330"/>
      <c r="P9" s="329"/>
      <c r="Q9" s="327"/>
      <c r="R9" s="327"/>
      <c r="S9" s="327"/>
      <c r="T9" s="327"/>
      <c r="U9" s="327"/>
      <c r="V9" s="327"/>
      <c r="W9" s="328"/>
      <c r="X9" s="327"/>
      <c r="Y9" s="327"/>
      <c r="Z9" s="326"/>
      <c r="AA9" s="328"/>
      <c r="AB9" s="327"/>
      <c r="AC9" s="327"/>
      <c r="AD9" s="327"/>
      <c r="AE9" s="327"/>
      <c r="AF9" s="327"/>
      <c r="AG9" s="327"/>
      <c r="AH9" s="327"/>
      <c r="AI9" s="327"/>
      <c r="AJ9" s="327"/>
      <c r="AK9" s="327"/>
      <c r="AL9" s="327"/>
      <c r="AM9" s="327"/>
      <c r="AN9" s="327"/>
      <c r="AO9" s="327"/>
      <c r="AP9" s="327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BG9" s="327"/>
      <c r="BH9" s="327"/>
      <c r="BI9" s="327"/>
      <c r="BJ9" s="327"/>
      <c r="BK9" s="327"/>
      <c r="BL9" s="327"/>
      <c r="BM9" s="327"/>
      <c r="BN9" s="327"/>
      <c r="BO9" s="327"/>
      <c r="BP9" s="327"/>
      <c r="BQ9" s="327"/>
      <c r="BR9" s="327"/>
      <c r="BS9" s="327"/>
      <c r="BT9" s="327"/>
      <c r="BU9" s="327"/>
      <c r="BV9" s="327"/>
      <c r="BW9" s="327"/>
      <c r="BX9" s="327"/>
      <c r="BY9" s="327"/>
      <c r="BZ9" s="327"/>
      <c r="CA9" s="327"/>
      <c r="CB9" s="327"/>
      <c r="CC9" s="327"/>
      <c r="CD9" s="327"/>
      <c r="CE9" s="327"/>
      <c r="CF9" s="327"/>
      <c r="CG9" s="327"/>
      <c r="CH9" s="326"/>
      <c r="CI9" s="328"/>
      <c r="CJ9" s="327"/>
      <c r="CK9" s="327"/>
      <c r="CL9" s="327"/>
      <c r="CM9" s="327"/>
      <c r="CN9" s="327"/>
      <c r="CO9" s="327"/>
      <c r="CP9" s="327"/>
      <c r="CQ9" s="327"/>
      <c r="CR9" s="327"/>
      <c r="CS9" s="327"/>
      <c r="CT9" s="327"/>
      <c r="CU9" s="327"/>
      <c r="CV9" s="327"/>
      <c r="CW9" s="327"/>
      <c r="CX9" s="327"/>
      <c r="CY9" s="327"/>
      <c r="CZ9" s="327"/>
      <c r="DA9" s="327"/>
      <c r="DB9" s="327"/>
      <c r="DC9" s="327"/>
      <c r="DD9" s="327"/>
      <c r="DE9" s="327"/>
      <c r="DF9" s="327"/>
      <c r="DG9" s="327"/>
      <c r="DH9" s="327"/>
      <c r="DI9" s="327"/>
      <c r="DJ9" s="327"/>
      <c r="DK9" s="327"/>
      <c r="DL9" s="327"/>
      <c r="DM9" s="327"/>
      <c r="DN9" s="327"/>
      <c r="DO9" s="327"/>
      <c r="DP9" s="327"/>
      <c r="DQ9" s="327"/>
      <c r="DR9" s="327"/>
      <c r="DS9" s="327"/>
      <c r="DT9" s="327"/>
      <c r="DU9" s="327"/>
      <c r="DV9" s="327"/>
      <c r="DW9" s="327"/>
      <c r="DX9" s="327"/>
      <c r="DY9" s="327"/>
      <c r="DZ9" s="327"/>
      <c r="EA9" s="327"/>
      <c r="EB9" s="327"/>
      <c r="EC9" s="327"/>
      <c r="ED9" s="327"/>
      <c r="EE9" s="327"/>
      <c r="EF9" s="327"/>
      <c r="EG9" s="327"/>
      <c r="EH9" s="327"/>
      <c r="EI9" s="327"/>
      <c r="EJ9" s="327"/>
      <c r="EK9" s="327"/>
      <c r="EL9" s="327"/>
      <c r="EM9" s="327"/>
      <c r="EN9" s="327"/>
      <c r="EO9" s="327"/>
      <c r="EP9" s="326"/>
      <c r="EQ9" s="328"/>
      <c r="ER9" s="327"/>
      <c r="ES9" s="327"/>
      <c r="ET9" s="327"/>
      <c r="EU9" s="327"/>
      <c r="EV9" s="327"/>
      <c r="EW9" s="327"/>
      <c r="EX9" s="327"/>
      <c r="EY9" s="327"/>
      <c r="EZ9" s="327"/>
      <c r="FA9" s="327"/>
      <c r="FB9" s="327"/>
      <c r="FC9" s="327"/>
      <c r="FD9" s="327"/>
      <c r="FE9" s="327"/>
      <c r="FF9" s="327"/>
      <c r="FG9" s="327"/>
      <c r="FH9" s="327"/>
      <c r="FI9" s="327"/>
      <c r="FJ9" s="327"/>
      <c r="FK9" s="327"/>
      <c r="FL9" s="327"/>
      <c r="FM9" s="327"/>
      <c r="FN9" s="327"/>
      <c r="FO9" s="327"/>
      <c r="FP9" s="327"/>
      <c r="FQ9" s="327"/>
      <c r="FR9" s="327"/>
      <c r="FS9" s="327"/>
      <c r="FT9" s="327"/>
      <c r="FU9" s="327"/>
      <c r="FV9" s="327"/>
      <c r="FW9" s="327"/>
      <c r="FX9" s="327"/>
      <c r="FY9" s="327"/>
      <c r="FZ9" s="327"/>
      <c r="GA9" s="327"/>
      <c r="GB9" s="327"/>
      <c r="GC9" s="327"/>
      <c r="GD9" s="327"/>
      <c r="GE9" s="327"/>
      <c r="GF9" s="327"/>
      <c r="GG9" s="327"/>
      <c r="GH9" s="327"/>
      <c r="GI9" s="327"/>
      <c r="GJ9" s="327"/>
      <c r="GK9" s="327"/>
      <c r="GL9" s="327"/>
      <c r="GM9" s="327"/>
      <c r="GN9" s="327"/>
      <c r="GO9" s="327"/>
      <c r="GP9" s="327"/>
      <c r="GQ9" s="327"/>
      <c r="GR9" s="327"/>
      <c r="GS9" s="327"/>
      <c r="GT9" s="327"/>
      <c r="GU9" s="327"/>
      <c r="GV9" s="327"/>
      <c r="GW9" s="327"/>
      <c r="GX9" s="326"/>
      <c r="GY9" s="328"/>
      <c r="GZ9" s="327"/>
      <c r="HA9" s="327"/>
      <c r="HB9" s="327"/>
      <c r="HC9" s="327"/>
      <c r="HD9" s="327"/>
      <c r="HE9" s="327"/>
      <c r="HF9" s="327"/>
      <c r="HG9" s="327"/>
      <c r="HH9" s="327"/>
      <c r="HI9" s="327"/>
      <c r="HJ9" s="327"/>
      <c r="HK9" s="327"/>
      <c r="HL9" s="327"/>
      <c r="HM9" s="327"/>
      <c r="HN9" s="327"/>
      <c r="HO9" s="327"/>
      <c r="HP9" s="327"/>
      <c r="HQ9" s="327"/>
      <c r="HR9" s="327"/>
      <c r="HS9" s="327"/>
      <c r="HT9" s="327"/>
      <c r="HU9" s="327"/>
      <c r="HV9" s="327"/>
      <c r="HW9" s="327"/>
      <c r="HX9" s="327"/>
      <c r="HY9" s="327"/>
      <c r="HZ9" s="327"/>
      <c r="IA9" s="327"/>
      <c r="IB9" s="327"/>
      <c r="IC9" s="327"/>
      <c r="ID9" s="327"/>
      <c r="IE9" s="327"/>
      <c r="IF9" s="327"/>
      <c r="IG9" s="327"/>
      <c r="IH9" s="327"/>
      <c r="II9" s="327"/>
      <c r="IJ9" s="327"/>
      <c r="IK9" s="327"/>
      <c r="IL9" s="327"/>
      <c r="IM9" s="327"/>
      <c r="IN9" s="327"/>
      <c r="IO9" s="327"/>
      <c r="IP9" s="327"/>
      <c r="IQ9" s="327"/>
      <c r="IR9" s="327"/>
      <c r="IS9" s="327"/>
      <c r="IT9" s="327"/>
      <c r="IU9" s="327"/>
      <c r="IV9" s="327"/>
      <c r="IW9" s="327"/>
      <c r="IX9" s="327"/>
      <c r="IY9" s="327"/>
      <c r="IZ9" s="327"/>
      <c r="JA9" s="327"/>
      <c r="JB9" s="327"/>
      <c r="JC9" s="327"/>
      <c r="JD9" s="327"/>
      <c r="JE9" s="327"/>
      <c r="JF9" s="326"/>
    </row>
    <row r="10" spans="1:266" x14ac:dyDescent="0.25">
      <c r="A10" s="332" t="s">
        <v>1026</v>
      </c>
      <c r="B10" s="333" t="s">
        <v>1025</v>
      </c>
      <c r="C10" s="330"/>
      <c r="D10" s="329"/>
      <c r="E10" s="327"/>
      <c r="F10" s="327"/>
      <c r="G10" s="327"/>
      <c r="H10" s="327"/>
      <c r="I10" s="327"/>
      <c r="J10" s="327"/>
      <c r="K10" s="327"/>
      <c r="L10" s="327"/>
      <c r="M10" s="327"/>
      <c r="N10" s="326"/>
      <c r="O10" s="330"/>
      <c r="P10" s="329"/>
      <c r="Q10" s="327"/>
      <c r="R10" s="327"/>
      <c r="S10" s="327"/>
      <c r="T10" s="327"/>
      <c r="U10" s="327"/>
      <c r="V10" s="327"/>
      <c r="W10" s="328"/>
      <c r="X10" s="327"/>
      <c r="Y10" s="327"/>
      <c r="Z10" s="326"/>
      <c r="AA10" s="328"/>
      <c r="AB10" s="327"/>
      <c r="AC10" s="327"/>
      <c r="AD10" s="327"/>
      <c r="AE10" s="327"/>
      <c r="AF10" s="327"/>
      <c r="AG10" s="327"/>
      <c r="AH10" s="327"/>
      <c r="AI10" s="327"/>
      <c r="AJ10" s="327"/>
      <c r="AK10" s="327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BG10" s="327"/>
      <c r="BH10" s="327"/>
      <c r="BI10" s="327"/>
      <c r="BJ10" s="327"/>
      <c r="BK10" s="327"/>
      <c r="BL10" s="327"/>
      <c r="BM10" s="327"/>
      <c r="BN10" s="327"/>
      <c r="BO10" s="327"/>
      <c r="BP10" s="327"/>
      <c r="BQ10" s="327"/>
      <c r="BR10" s="327"/>
      <c r="BS10" s="327"/>
      <c r="BT10" s="327"/>
      <c r="BU10" s="327"/>
      <c r="BV10" s="327"/>
      <c r="BW10" s="327"/>
      <c r="BX10" s="327"/>
      <c r="BY10" s="327"/>
      <c r="BZ10" s="327"/>
      <c r="CA10" s="327"/>
      <c r="CB10" s="327"/>
      <c r="CC10" s="327"/>
      <c r="CD10" s="327"/>
      <c r="CE10" s="327"/>
      <c r="CF10" s="327"/>
      <c r="CG10" s="327"/>
      <c r="CH10" s="326"/>
      <c r="CI10" s="328"/>
      <c r="CJ10" s="327"/>
      <c r="CK10" s="327"/>
      <c r="CL10" s="327"/>
      <c r="CM10" s="327"/>
      <c r="CN10" s="327"/>
      <c r="CO10" s="327"/>
      <c r="CP10" s="327"/>
      <c r="CQ10" s="327"/>
      <c r="CR10" s="327"/>
      <c r="CS10" s="327"/>
      <c r="CT10" s="327"/>
      <c r="CU10" s="327"/>
      <c r="CV10" s="327"/>
      <c r="CW10" s="327"/>
      <c r="CX10" s="327"/>
      <c r="CY10" s="327"/>
      <c r="CZ10" s="327"/>
      <c r="DA10" s="327"/>
      <c r="DB10" s="327"/>
      <c r="DC10" s="327"/>
      <c r="DD10" s="327"/>
      <c r="DE10" s="327"/>
      <c r="DF10" s="327"/>
      <c r="DG10" s="327"/>
      <c r="DH10" s="327"/>
      <c r="DI10" s="327"/>
      <c r="DJ10" s="327"/>
      <c r="DK10" s="327"/>
      <c r="DL10" s="327"/>
      <c r="DM10" s="327"/>
      <c r="DN10" s="327"/>
      <c r="DO10" s="327"/>
      <c r="DP10" s="327"/>
      <c r="DQ10" s="327"/>
      <c r="DR10" s="327"/>
      <c r="DS10" s="327"/>
      <c r="DT10" s="327"/>
      <c r="DU10" s="327"/>
      <c r="DV10" s="327"/>
      <c r="DW10" s="327"/>
      <c r="DX10" s="327"/>
      <c r="DY10" s="327"/>
      <c r="DZ10" s="327"/>
      <c r="EA10" s="327"/>
      <c r="EB10" s="327"/>
      <c r="EC10" s="327"/>
      <c r="ED10" s="327"/>
      <c r="EE10" s="327"/>
      <c r="EF10" s="327"/>
      <c r="EG10" s="327"/>
      <c r="EH10" s="327"/>
      <c r="EI10" s="327"/>
      <c r="EJ10" s="327"/>
      <c r="EK10" s="327"/>
      <c r="EL10" s="327"/>
      <c r="EM10" s="327"/>
      <c r="EN10" s="327"/>
      <c r="EO10" s="327"/>
      <c r="EP10" s="326"/>
      <c r="EQ10" s="328"/>
      <c r="ER10" s="327"/>
      <c r="ES10" s="327"/>
      <c r="ET10" s="327"/>
      <c r="EU10" s="327"/>
      <c r="EV10" s="327"/>
      <c r="EW10" s="327"/>
      <c r="EX10" s="327"/>
      <c r="EY10" s="327"/>
      <c r="EZ10" s="327"/>
      <c r="FA10" s="327"/>
      <c r="FB10" s="327"/>
      <c r="FC10" s="327"/>
      <c r="FD10" s="327"/>
      <c r="FE10" s="327"/>
      <c r="FF10" s="327"/>
      <c r="FG10" s="327"/>
      <c r="FH10" s="327"/>
      <c r="FI10" s="327"/>
      <c r="FJ10" s="327"/>
      <c r="FK10" s="327"/>
      <c r="FL10" s="327"/>
      <c r="FM10" s="327"/>
      <c r="FN10" s="327"/>
      <c r="FO10" s="327"/>
      <c r="FP10" s="327"/>
      <c r="FQ10" s="327"/>
      <c r="FR10" s="327"/>
      <c r="FS10" s="327"/>
      <c r="FT10" s="327"/>
      <c r="FU10" s="327"/>
      <c r="FV10" s="327"/>
      <c r="FW10" s="327"/>
      <c r="FX10" s="327"/>
      <c r="FY10" s="327"/>
      <c r="FZ10" s="327"/>
      <c r="GA10" s="327"/>
      <c r="GB10" s="327"/>
      <c r="GC10" s="327"/>
      <c r="GD10" s="327"/>
      <c r="GE10" s="327"/>
      <c r="GF10" s="327"/>
      <c r="GG10" s="327"/>
      <c r="GH10" s="327"/>
      <c r="GI10" s="327"/>
      <c r="GJ10" s="327"/>
      <c r="GK10" s="327"/>
      <c r="GL10" s="327"/>
      <c r="GM10" s="327"/>
      <c r="GN10" s="327"/>
      <c r="GO10" s="327"/>
      <c r="GP10" s="327"/>
      <c r="GQ10" s="327"/>
      <c r="GR10" s="327"/>
      <c r="GS10" s="327"/>
      <c r="GT10" s="327"/>
      <c r="GU10" s="327"/>
      <c r="GV10" s="327"/>
      <c r="GW10" s="327"/>
      <c r="GX10" s="326"/>
      <c r="GY10" s="328"/>
      <c r="GZ10" s="327"/>
      <c r="HA10" s="327"/>
      <c r="HB10" s="327"/>
      <c r="HC10" s="327"/>
      <c r="HD10" s="327"/>
      <c r="HE10" s="327"/>
      <c r="HF10" s="327"/>
      <c r="HG10" s="327"/>
      <c r="HH10" s="327"/>
      <c r="HI10" s="327"/>
      <c r="HJ10" s="327"/>
      <c r="HK10" s="327"/>
      <c r="HL10" s="327"/>
      <c r="HM10" s="327"/>
      <c r="HN10" s="327"/>
      <c r="HO10" s="327"/>
      <c r="HP10" s="327"/>
      <c r="HQ10" s="327"/>
      <c r="HR10" s="327"/>
      <c r="HS10" s="327"/>
      <c r="HT10" s="327"/>
      <c r="HU10" s="327"/>
      <c r="HV10" s="327"/>
      <c r="HW10" s="327"/>
      <c r="HX10" s="327"/>
      <c r="HY10" s="327"/>
      <c r="HZ10" s="327"/>
      <c r="IA10" s="327"/>
      <c r="IB10" s="327"/>
      <c r="IC10" s="327"/>
      <c r="ID10" s="327"/>
      <c r="IE10" s="327"/>
      <c r="IF10" s="327"/>
      <c r="IG10" s="327"/>
      <c r="IH10" s="327"/>
      <c r="II10" s="327"/>
      <c r="IJ10" s="327"/>
      <c r="IK10" s="327"/>
      <c r="IL10" s="327"/>
      <c r="IM10" s="327"/>
      <c r="IN10" s="327"/>
      <c r="IO10" s="327"/>
      <c r="IP10" s="327"/>
      <c r="IQ10" s="327"/>
      <c r="IR10" s="327"/>
      <c r="IS10" s="327"/>
      <c r="IT10" s="327"/>
      <c r="IU10" s="327"/>
      <c r="IV10" s="327"/>
      <c r="IW10" s="327"/>
      <c r="IX10" s="327"/>
      <c r="IY10" s="327"/>
      <c r="IZ10" s="327"/>
      <c r="JA10" s="327"/>
      <c r="JB10" s="327"/>
      <c r="JC10" s="327"/>
      <c r="JD10" s="327"/>
      <c r="JE10" s="327"/>
      <c r="JF10" s="326"/>
    </row>
    <row r="11" spans="1:266" x14ac:dyDescent="0.25">
      <c r="A11" s="332" t="s">
        <v>1022</v>
      </c>
      <c r="B11" s="333" t="s">
        <v>1024</v>
      </c>
      <c r="C11" s="330"/>
      <c r="D11" s="329"/>
      <c r="E11" s="327"/>
      <c r="F11" s="327"/>
      <c r="G11" s="327"/>
      <c r="H11" s="327"/>
      <c r="I11" s="327"/>
      <c r="J11" s="327"/>
      <c r="K11" s="327"/>
      <c r="L11" s="327"/>
      <c r="M11" s="327"/>
      <c r="N11" s="326"/>
      <c r="O11" s="330"/>
      <c r="P11" s="329"/>
      <c r="Q11" s="327"/>
      <c r="R11" s="327"/>
      <c r="S11" s="327"/>
      <c r="T11" s="327"/>
      <c r="U11" s="327"/>
      <c r="V11" s="327"/>
      <c r="W11" s="328"/>
      <c r="X11" s="327"/>
      <c r="Y11" s="327"/>
      <c r="Z11" s="326"/>
      <c r="AA11" s="328"/>
      <c r="AB11" s="327"/>
      <c r="AC11" s="327"/>
      <c r="AD11" s="327"/>
      <c r="AE11" s="327"/>
      <c r="AF11" s="327"/>
      <c r="AG11" s="327"/>
      <c r="AH11" s="327"/>
      <c r="AI11" s="327"/>
      <c r="AJ11" s="327"/>
      <c r="AK11" s="327"/>
      <c r="AL11" s="327"/>
      <c r="AM11" s="327"/>
      <c r="AN11" s="327"/>
      <c r="AO11" s="327"/>
      <c r="AP11" s="327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BG11" s="327"/>
      <c r="BH11" s="327"/>
      <c r="BI11" s="327"/>
      <c r="BJ11" s="327"/>
      <c r="BK11" s="327"/>
      <c r="BL11" s="327"/>
      <c r="BM11" s="327"/>
      <c r="BN11" s="327"/>
      <c r="BO11" s="327"/>
      <c r="BP11" s="327"/>
      <c r="BQ11" s="327"/>
      <c r="BR11" s="327"/>
      <c r="BS11" s="327"/>
      <c r="BT11" s="327"/>
      <c r="BU11" s="327"/>
      <c r="BV11" s="327"/>
      <c r="BW11" s="327"/>
      <c r="BX11" s="327"/>
      <c r="BY11" s="327"/>
      <c r="BZ11" s="327"/>
      <c r="CA11" s="327"/>
      <c r="CB11" s="327"/>
      <c r="CC11" s="327"/>
      <c r="CD11" s="327"/>
      <c r="CE11" s="327"/>
      <c r="CF11" s="327"/>
      <c r="CG11" s="327"/>
      <c r="CH11" s="326"/>
      <c r="CI11" s="328"/>
      <c r="CJ11" s="327"/>
      <c r="CK11" s="327"/>
      <c r="CL11" s="327"/>
      <c r="CM11" s="327"/>
      <c r="CN11" s="327"/>
      <c r="CO11" s="327"/>
      <c r="CP11" s="327"/>
      <c r="CQ11" s="327"/>
      <c r="CR11" s="327"/>
      <c r="CS11" s="327"/>
      <c r="CT11" s="327"/>
      <c r="CU11" s="327"/>
      <c r="CV11" s="327"/>
      <c r="CW11" s="327"/>
      <c r="CX11" s="327"/>
      <c r="CY11" s="327"/>
      <c r="CZ11" s="327"/>
      <c r="DA11" s="327"/>
      <c r="DB11" s="327"/>
      <c r="DC11" s="327"/>
      <c r="DD11" s="327"/>
      <c r="DE11" s="327"/>
      <c r="DF11" s="327"/>
      <c r="DG11" s="327"/>
      <c r="DH11" s="327"/>
      <c r="DI11" s="327"/>
      <c r="DJ11" s="327"/>
      <c r="DK11" s="327"/>
      <c r="DL11" s="327"/>
      <c r="DM11" s="327"/>
      <c r="DN11" s="327"/>
      <c r="DO11" s="327"/>
      <c r="DP11" s="327"/>
      <c r="DQ11" s="327"/>
      <c r="DR11" s="327"/>
      <c r="DS11" s="327"/>
      <c r="DT11" s="327"/>
      <c r="DU11" s="327"/>
      <c r="DV11" s="327"/>
      <c r="DW11" s="327"/>
      <c r="DX11" s="327"/>
      <c r="DY11" s="327"/>
      <c r="DZ11" s="327"/>
      <c r="EA11" s="327"/>
      <c r="EB11" s="327"/>
      <c r="EC11" s="327"/>
      <c r="ED11" s="327"/>
      <c r="EE11" s="327"/>
      <c r="EF11" s="327"/>
      <c r="EG11" s="327"/>
      <c r="EH11" s="327"/>
      <c r="EI11" s="327"/>
      <c r="EJ11" s="327"/>
      <c r="EK11" s="327"/>
      <c r="EL11" s="327"/>
      <c r="EM11" s="327"/>
      <c r="EN11" s="327"/>
      <c r="EO11" s="327"/>
      <c r="EP11" s="326"/>
      <c r="EQ11" s="328"/>
      <c r="ER11" s="327"/>
      <c r="ES11" s="327"/>
      <c r="ET11" s="327"/>
      <c r="EU11" s="327"/>
      <c r="EV11" s="327"/>
      <c r="EW11" s="327"/>
      <c r="EX11" s="327"/>
      <c r="EY11" s="327"/>
      <c r="EZ11" s="327"/>
      <c r="FA11" s="327"/>
      <c r="FB11" s="327"/>
      <c r="FC11" s="327"/>
      <c r="FD11" s="327"/>
      <c r="FE11" s="327"/>
      <c r="FF11" s="327"/>
      <c r="FG11" s="327"/>
      <c r="FH11" s="327"/>
      <c r="FI11" s="327"/>
      <c r="FJ11" s="327"/>
      <c r="FK11" s="327"/>
      <c r="FL11" s="327"/>
      <c r="FM11" s="327"/>
      <c r="FN11" s="327"/>
      <c r="FO11" s="327"/>
      <c r="FP11" s="327"/>
      <c r="FQ11" s="327"/>
      <c r="FR11" s="327"/>
      <c r="FS11" s="327"/>
      <c r="FT11" s="327"/>
      <c r="FU11" s="327"/>
      <c r="FV11" s="327"/>
      <c r="FW11" s="327"/>
      <c r="FX11" s="327"/>
      <c r="FY11" s="327"/>
      <c r="FZ11" s="327"/>
      <c r="GA11" s="327"/>
      <c r="GB11" s="327"/>
      <c r="GC11" s="327"/>
      <c r="GD11" s="327"/>
      <c r="GE11" s="327"/>
      <c r="GF11" s="327"/>
      <c r="GG11" s="327"/>
      <c r="GH11" s="327"/>
      <c r="GI11" s="327"/>
      <c r="GJ11" s="327"/>
      <c r="GK11" s="327"/>
      <c r="GL11" s="327"/>
      <c r="GM11" s="327"/>
      <c r="GN11" s="327"/>
      <c r="GO11" s="327"/>
      <c r="GP11" s="327"/>
      <c r="GQ11" s="327"/>
      <c r="GR11" s="327"/>
      <c r="GS11" s="327"/>
      <c r="GT11" s="327"/>
      <c r="GU11" s="327"/>
      <c r="GV11" s="327"/>
      <c r="GW11" s="327"/>
      <c r="GX11" s="326"/>
      <c r="GY11" s="328"/>
      <c r="GZ11" s="327"/>
      <c r="HA11" s="327"/>
      <c r="HB11" s="327"/>
      <c r="HC11" s="327"/>
      <c r="HD11" s="327"/>
      <c r="HE11" s="327"/>
      <c r="HF11" s="327"/>
      <c r="HG11" s="327"/>
      <c r="HH11" s="327"/>
      <c r="HI11" s="327"/>
      <c r="HJ11" s="327"/>
      <c r="HK11" s="327"/>
      <c r="HL11" s="327"/>
      <c r="HM11" s="327"/>
      <c r="HN11" s="327"/>
      <c r="HO11" s="327"/>
      <c r="HP11" s="327"/>
      <c r="HQ11" s="327"/>
      <c r="HR11" s="327"/>
      <c r="HS11" s="327"/>
      <c r="HT11" s="327"/>
      <c r="HU11" s="327"/>
      <c r="HV11" s="327"/>
      <c r="HW11" s="327"/>
      <c r="HX11" s="327"/>
      <c r="HY11" s="327"/>
      <c r="HZ11" s="327"/>
      <c r="IA11" s="327"/>
      <c r="IB11" s="327"/>
      <c r="IC11" s="327"/>
      <c r="ID11" s="327"/>
      <c r="IE11" s="327"/>
      <c r="IF11" s="327"/>
      <c r="IG11" s="327"/>
      <c r="IH11" s="327"/>
      <c r="II11" s="327"/>
      <c r="IJ11" s="327"/>
      <c r="IK11" s="327"/>
      <c r="IL11" s="327"/>
      <c r="IM11" s="327"/>
      <c r="IN11" s="327"/>
      <c r="IO11" s="327"/>
      <c r="IP11" s="327"/>
      <c r="IQ11" s="327"/>
      <c r="IR11" s="327"/>
      <c r="IS11" s="327"/>
      <c r="IT11" s="327"/>
      <c r="IU11" s="327"/>
      <c r="IV11" s="327"/>
      <c r="IW11" s="327"/>
      <c r="IX11" s="327"/>
      <c r="IY11" s="327"/>
      <c r="IZ11" s="327"/>
      <c r="JA11" s="327"/>
      <c r="JB11" s="327"/>
      <c r="JC11" s="327"/>
      <c r="JD11" s="327"/>
      <c r="JE11" s="327"/>
      <c r="JF11" s="326"/>
    </row>
    <row r="12" spans="1:266" x14ac:dyDescent="0.25">
      <c r="A12" s="332" t="s">
        <v>1022</v>
      </c>
      <c r="B12" s="333" t="s">
        <v>1023</v>
      </c>
      <c r="C12" s="330"/>
      <c r="D12" s="329"/>
      <c r="E12" s="327"/>
      <c r="F12" s="327"/>
      <c r="G12" s="327"/>
      <c r="H12" s="327"/>
      <c r="I12" s="327"/>
      <c r="J12" s="327"/>
      <c r="K12" s="327"/>
      <c r="L12" s="327"/>
      <c r="M12" s="327"/>
      <c r="N12" s="326"/>
      <c r="O12" s="330"/>
      <c r="P12" s="329"/>
      <c r="Q12" s="327"/>
      <c r="R12" s="327"/>
      <c r="S12" s="327"/>
      <c r="T12" s="327"/>
      <c r="U12" s="327"/>
      <c r="V12" s="327"/>
      <c r="W12" s="328"/>
      <c r="X12" s="327"/>
      <c r="Y12" s="327"/>
      <c r="Z12" s="326"/>
      <c r="AA12" s="328"/>
      <c r="AB12" s="327"/>
      <c r="AC12" s="327"/>
      <c r="AD12" s="327"/>
      <c r="AE12" s="327"/>
      <c r="AF12" s="327"/>
      <c r="AG12" s="327"/>
      <c r="AH12" s="327"/>
      <c r="AI12" s="327"/>
      <c r="AJ12" s="327"/>
      <c r="AK12" s="327"/>
      <c r="AL12" s="327"/>
      <c r="AM12" s="327"/>
      <c r="AN12" s="327"/>
      <c r="AO12" s="327"/>
      <c r="AP12" s="327"/>
      <c r="AQ12" s="327"/>
      <c r="AR12" s="327"/>
      <c r="AS12" s="327"/>
      <c r="AT12" s="327"/>
      <c r="AU12" s="327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BG12" s="327"/>
      <c r="BH12" s="327"/>
      <c r="BI12" s="327"/>
      <c r="BJ12" s="327"/>
      <c r="BK12" s="327"/>
      <c r="BL12" s="327"/>
      <c r="BM12" s="327"/>
      <c r="BN12" s="327"/>
      <c r="BO12" s="327"/>
      <c r="BP12" s="327"/>
      <c r="BQ12" s="327"/>
      <c r="BR12" s="327"/>
      <c r="BS12" s="327"/>
      <c r="BT12" s="327"/>
      <c r="BU12" s="327"/>
      <c r="BV12" s="327"/>
      <c r="BW12" s="327"/>
      <c r="BX12" s="327"/>
      <c r="BY12" s="327"/>
      <c r="BZ12" s="327"/>
      <c r="CA12" s="327"/>
      <c r="CB12" s="327"/>
      <c r="CC12" s="327"/>
      <c r="CD12" s="327"/>
      <c r="CE12" s="327"/>
      <c r="CF12" s="327"/>
      <c r="CG12" s="327"/>
      <c r="CH12" s="326"/>
      <c r="CI12" s="328"/>
      <c r="CJ12" s="327"/>
      <c r="CK12" s="327"/>
      <c r="CL12" s="327"/>
      <c r="CM12" s="327"/>
      <c r="CN12" s="327"/>
      <c r="CO12" s="327"/>
      <c r="CP12" s="327"/>
      <c r="CQ12" s="327"/>
      <c r="CR12" s="327"/>
      <c r="CS12" s="327"/>
      <c r="CT12" s="327"/>
      <c r="CU12" s="327"/>
      <c r="CV12" s="327"/>
      <c r="CW12" s="327"/>
      <c r="CX12" s="327"/>
      <c r="CY12" s="327"/>
      <c r="CZ12" s="327"/>
      <c r="DA12" s="327"/>
      <c r="DB12" s="327"/>
      <c r="DC12" s="327"/>
      <c r="DD12" s="327"/>
      <c r="DE12" s="327"/>
      <c r="DF12" s="327"/>
      <c r="DG12" s="327"/>
      <c r="DH12" s="327"/>
      <c r="DI12" s="327"/>
      <c r="DJ12" s="327"/>
      <c r="DK12" s="327"/>
      <c r="DL12" s="327"/>
      <c r="DM12" s="327"/>
      <c r="DN12" s="327"/>
      <c r="DO12" s="327"/>
      <c r="DP12" s="327"/>
      <c r="DQ12" s="327"/>
      <c r="DR12" s="327"/>
      <c r="DS12" s="327"/>
      <c r="DT12" s="327"/>
      <c r="DU12" s="327"/>
      <c r="DV12" s="327"/>
      <c r="DW12" s="327"/>
      <c r="DX12" s="327"/>
      <c r="DY12" s="327"/>
      <c r="DZ12" s="327"/>
      <c r="EA12" s="327"/>
      <c r="EB12" s="327"/>
      <c r="EC12" s="327"/>
      <c r="ED12" s="327"/>
      <c r="EE12" s="327"/>
      <c r="EF12" s="327"/>
      <c r="EG12" s="327"/>
      <c r="EH12" s="327"/>
      <c r="EI12" s="327"/>
      <c r="EJ12" s="327"/>
      <c r="EK12" s="327"/>
      <c r="EL12" s="327"/>
      <c r="EM12" s="327"/>
      <c r="EN12" s="327"/>
      <c r="EO12" s="327"/>
      <c r="EP12" s="326"/>
      <c r="EQ12" s="328"/>
      <c r="ER12" s="327"/>
      <c r="ES12" s="327"/>
      <c r="ET12" s="327"/>
      <c r="EU12" s="327"/>
      <c r="EV12" s="327"/>
      <c r="EW12" s="327"/>
      <c r="EX12" s="327"/>
      <c r="EY12" s="327"/>
      <c r="EZ12" s="327"/>
      <c r="FA12" s="327"/>
      <c r="FB12" s="327"/>
      <c r="FC12" s="327"/>
      <c r="FD12" s="327"/>
      <c r="FE12" s="327"/>
      <c r="FF12" s="327"/>
      <c r="FG12" s="327"/>
      <c r="FH12" s="327"/>
      <c r="FI12" s="327"/>
      <c r="FJ12" s="327"/>
      <c r="FK12" s="327"/>
      <c r="FL12" s="327"/>
      <c r="FM12" s="327"/>
      <c r="FN12" s="327"/>
      <c r="FO12" s="327"/>
      <c r="FP12" s="327"/>
      <c r="FQ12" s="327"/>
      <c r="FR12" s="327"/>
      <c r="FS12" s="327"/>
      <c r="FT12" s="327"/>
      <c r="FU12" s="327"/>
      <c r="FV12" s="327"/>
      <c r="FW12" s="327"/>
      <c r="FX12" s="327"/>
      <c r="FY12" s="327"/>
      <c r="FZ12" s="327"/>
      <c r="GA12" s="327"/>
      <c r="GB12" s="327"/>
      <c r="GC12" s="327"/>
      <c r="GD12" s="327"/>
      <c r="GE12" s="327"/>
      <c r="GF12" s="327"/>
      <c r="GG12" s="327"/>
      <c r="GH12" s="327"/>
      <c r="GI12" s="327"/>
      <c r="GJ12" s="327"/>
      <c r="GK12" s="327"/>
      <c r="GL12" s="327"/>
      <c r="GM12" s="327"/>
      <c r="GN12" s="327"/>
      <c r="GO12" s="327"/>
      <c r="GP12" s="327"/>
      <c r="GQ12" s="327"/>
      <c r="GR12" s="327"/>
      <c r="GS12" s="327"/>
      <c r="GT12" s="327"/>
      <c r="GU12" s="327"/>
      <c r="GV12" s="327"/>
      <c r="GW12" s="327"/>
      <c r="GX12" s="326"/>
      <c r="GY12" s="328"/>
      <c r="GZ12" s="327"/>
      <c r="HA12" s="327"/>
      <c r="HB12" s="327"/>
      <c r="HC12" s="327"/>
      <c r="HD12" s="327"/>
      <c r="HE12" s="327"/>
      <c r="HF12" s="327"/>
      <c r="HG12" s="327"/>
      <c r="HH12" s="327"/>
      <c r="HI12" s="327"/>
      <c r="HJ12" s="327"/>
      <c r="HK12" s="327"/>
      <c r="HL12" s="327"/>
      <c r="HM12" s="327"/>
      <c r="HN12" s="327"/>
      <c r="HO12" s="327"/>
      <c r="HP12" s="327"/>
      <c r="HQ12" s="327"/>
      <c r="HR12" s="327"/>
      <c r="HS12" s="327"/>
      <c r="HT12" s="327"/>
      <c r="HU12" s="327"/>
      <c r="HV12" s="327"/>
      <c r="HW12" s="327"/>
      <c r="HX12" s="327"/>
      <c r="HY12" s="327"/>
      <c r="HZ12" s="327"/>
      <c r="IA12" s="327"/>
      <c r="IB12" s="327"/>
      <c r="IC12" s="327"/>
      <c r="ID12" s="327"/>
      <c r="IE12" s="327"/>
      <c r="IF12" s="327"/>
      <c r="IG12" s="327"/>
      <c r="IH12" s="327"/>
      <c r="II12" s="327"/>
      <c r="IJ12" s="327"/>
      <c r="IK12" s="327"/>
      <c r="IL12" s="327"/>
      <c r="IM12" s="327"/>
      <c r="IN12" s="327"/>
      <c r="IO12" s="327"/>
      <c r="IP12" s="327"/>
      <c r="IQ12" s="327"/>
      <c r="IR12" s="327"/>
      <c r="IS12" s="327"/>
      <c r="IT12" s="327"/>
      <c r="IU12" s="327"/>
      <c r="IV12" s="327"/>
      <c r="IW12" s="327"/>
      <c r="IX12" s="327"/>
      <c r="IY12" s="327"/>
      <c r="IZ12" s="327"/>
      <c r="JA12" s="327"/>
      <c r="JB12" s="327"/>
      <c r="JC12" s="327"/>
      <c r="JD12" s="327"/>
      <c r="JE12" s="327"/>
      <c r="JF12" s="326"/>
    </row>
    <row r="13" spans="1:266" x14ac:dyDescent="0.25">
      <c r="A13" s="332" t="s">
        <v>1022</v>
      </c>
      <c r="B13" s="331" t="s">
        <v>1021</v>
      </c>
      <c r="C13" s="330"/>
      <c r="D13" s="329"/>
      <c r="E13" s="327"/>
      <c r="F13" s="327"/>
      <c r="G13" s="327"/>
      <c r="H13" s="327"/>
      <c r="I13" s="327"/>
      <c r="J13" s="327"/>
      <c r="K13" s="327"/>
      <c r="L13" s="327"/>
      <c r="M13" s="327"/>
      <c r="N13" s="326"/>
      <c r="O13" s="330"/>
      <c r="P13" s="329"/>
      <c r="Q13" s="327"/>
      <c r="R13" s="327"/>
      <c r="S13" s="327"/>
      <c r="T13" s="327"/>
      <c r="U13" s="327"/>
      <c r="V13" s="327"/>
      <c r="W13" s="328"/>
      <c r="X13" s="327"/>
      <c r="Y13" s="327"/>
      <c r="Z13" s="326"/>
      <c r="AA13" s="328"/>
      <c r="AB13" s="327"/>
      <c r="AC13" s="327"/>
      <c r="AD13" s="327"/>
      <c r="AE13" s="327"/>
      <c r="AF13" s="327"/>
      <c r="AG13" s="327"/>
      <c r="AH13" s="327"/>
      <c r="AI13" s="327"/>
      <c r="AJ13" s="327"/>
      <c r="AK13" s="327"/>
      <c r="AL13" s="327"/>
      <c r="AM13" s="327"/>
      <c r="AN13" s="327"/>
      <c r="AO13" s="327"/>
      <c r="AP13" s="327"/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BG13" s="327"/>
      <c r="BH13" s="327"/>
      <c r="BI13" s="327"/>
      <c r="BJ13" s="327"/>
      <c r="BK13" s="327"/>
      <c r="BL13" s="327"/>
      <c r="BM13" s="327"/>
      <c r="BN13" s="327"/>
      <c r="BO13" s="327"/>
      <c r="BP13" s="327"/>
      <c r="BQ13" s="327"/>
      <c r="BR13" s="327"/>
      <c r="BS13" s="327"/>
      <c r="BT13" s="327"/>
      <c r="BU13" s="327"/>
      <c r="BV13" s="327"/>
      <c r="BW13" s="327"/>
      <c r="BX13" s="327"/>
      <c r="BY13" s="327"/>
      <c r="BZ13" s="327"/>
      <c r="CA13" s="327"/>
      <c r="CB13" s="327"/>
      <c r="CC13" s="327"/>
      <c r="CD13" s="327"/>
      <c r="CE13" s="327"/>
      <c r="CF13" s="327"/>
      <c r="CG13" s="327"/>
      <c r="CH13" s="326"/>
      <c r="CI13" s="328"/>
      <c r="CJ13" s="327"/>
      <c r="CK13" s="327"/>
      <c r="CL13" s="327"/>
      <c r="CM13" s="327"/>
      <c r="CN13" s="327"/>
      <c r="CO13" s="327"/>
      <c r="CP13" s="327"/>
      <c r="CQ13" s="327"/>
      <c r="CR13" s="327"/>
      <c r="CS13" s="327"/>
      <c r="CT13" s="327"/>
      <c r="CU13" s="327"/>
      <c r="CV13" s="327"/>
      <c r="CW13" s="327"/>
      <c r="CX13" s="327"/>
      <c r="CY13" s="327"/>
      <c r="CZ13" s="327"/>
      <c r="DA13" s="327"/>
      <c r="DB13" s="327"/>
      <c r="DC13" s="327"/>
      <c r="DD13" s="327"/>
      <c r="DE13" s="327"/>
      <c r="DF13" s="327"/>
      <c r="DG13" s="327"/>
      <c r="DH13" s="327"/>
      <c r="DI13" s="327"/>
      <c r="DJ13" s="327"/>
      <c r="DK13" s="327"/>
      <c r="DL13" s="327"/>
      <c r="DM13" s="327"/>
      <c r="DN13" s="327"/>
      <c r="DO13" s="327"/>
      <c r="DP13" s="327"/>
      <c r="DQ13" s="327"/>
      <c r="DR13" s="327"/>
      <c r="DS13" s="327"/>
      <c r="DT13" s="327"/>
      <c r="DU13" s="327"/>
      <c r="DV13" s="327"/>
      <c r="DW13" s="327"/>
      <c r="DX13" s="327"/>
      <c r="DY13" s="327"/>
      <c r="DZ13" s="327"/>
      <c r="EA13" s="327"/>
      <c r="EB13" s="327"/>
      <c r="EC13" s="327"/>
      <c r="ED13" s="327"/>
      <c r="EE13" s="327"/>
      <c r="EF13" s="327"/>
      <c r="EG13" s="327"/>
      <c r="EH13" s="327"/>
      <c r="EI13" s="327"/>
      <c r="EJ13" s="327"/>
      <c r="EK13" s="327"/>
      <c r="EL13" s="327"/>
      <c r="EM13" s="327"/>
      <c r="EN13" s="327"/>
      <c r="EO13" s="327"/>
      <c r="EP13" s="326"/>
      <c r="EQ13" s="328"/>
      <c r="ER13" s="327"/>
      <c r="ES13" s="327"/>
      <c r="ET13" s="327"/>
      <c r="EU13" s="327"/>
      <c r="EV13" s="327"/>
      <c r="EW13" s="327"/>
      <c r="EX13" s="327"/>
      <c r="EY13" s="327"/>
      <c r="EZ13" s="327"/>
      <c r="FA13" s="327"/>
      <c r="FB13" s="327"/>
      <c r="FC13" s="327"/>
      <c r="FD13" s="327"/>
      <c r="FE13" s="327"/>
      <c r="FF13" s="327"/>
      <c r="FG13" s="327"/>
      <c r="FH13" s="327"/>
      <c r="FI13" s="327"/>
      <c r="FJ13" s="327"/>
      <c r="FK13" s="327"/>
      <c r="FL13" s="327"/>
      <c r="FM13" s="327"/>
      <c r="FN13" s="327"/>
      <c r="FO13" s="327"/>
      <c r="FP13" s="327"/>
      <c r="FQ13" s="327"/>
      <c r="FR13" s="327"/>
      <c r="FS13" s="327"/>
      <c r="FT13" s="327"/>
      <c r="FU13" s="327"/>
      <c r="FV13" s="327"/>
      <c r="FW13" s="327"/>
      <c r="FX13" s="327"/>
      <c r="FY13" s="327"/>
      <c r="FZ13" s="327"/>
      <c r="GA13" s="327"/>
      <c r="GB13" s="327"/>
      <c r="GC13" s="327"/>
      <c r="GD13" s="327"/>
      <c r="GE13" s="327"/>
      <c r="GF13" s="327"/>
      <c r="GG13" s="327"/>
      <c r="GH13" s="327"/>
      <c r="GI13" s="327"/>
      <c r="GJ13" s="327"/>
      <c r="GK13" s="327"/>
      <c r="GL13" s="327"/>
      <c r="GM13" s="327"/>
      <c r="GN13" s="327"/>
      <c r="GO13" s="327"/>
      <c r="GP13" s="327"/>
      <c r="GQ13" s="327"/>
      <c r="GR13" s="327"/>
      <c r="GS13" s="327"/>
      <c r="GT13" s="327"/>
      <c r="GU13" s="327"/>
      <c r="GV13" s="327"/>
      <c r="GW13" s="327"/>
      <c r="GX13" s="326"/>
      <c r="GY13" s="328"/>
      <c r="GZ13" s="327"/>
      <c r="HA13" s="327"/>
      <c r="HB13" s="327"/>
      <c r="HC13" s="327"/>
      <c r="HD13" s="327"/>
      <c r="HE13" s="327"/>
      <c r="HF13" s="327"/>
      <c r="HG13" s="327"/>
      <c r="HH13" s="327"/>
      <c r="HI13" s="327"/>
      <c r="HJ13" s="327"/>
      <c r="HK13" s="327"/>
      <c r="HL13" s="327"/>
      <c r="HM13" s="327"/>
      <c r="HN13" s="327"/>
      <c r="HO13" s="327"/>
      <c r="HP13" s="327"/>
      <c r="HQ13" s="327"/>
      <c r="HR13" s="327"/>
      <c r="HS13" s="327"/>
      <c r="HT13" s="327"/>
      <c r="HU13" s="327"/>
      <c r="HV13" s="327"/>
      <c r="HW13" s="327"/>
      <c r="HX13" s="327"/>
      <c r="HY13" s="327"/>
      <c r="HZ13" s="327"/>
      <c r="IA13" s="327"/>
      <c r="IB13" s="327"/>
      <c r="IC13" s="327"/>
      <c r="ID13" s="327"/>
      <c r="IE13" s="327"/>
      <c r="IF13" s="327"/>
      <c r="IG13" s="327"/>
      <c r="IH13" s="327"/>
      <c r="II13" s="327"/>
      <c r="IJ13" s="327"/>
      <c r="IK13" s="327"/>
      <c r="IL13" s="327"/>
      <c r="IM13" s="327"/>
      <c r="IN13" s="327"/>
      <c r="IO13" s="327"/>
      <c r="IP13" s="327"/>
      <c r="IQ13" s="327"/>
      <c r="IR13" s="327"/>
      <c r="IS13" s="327"/>
      <c r="IT13" s="327"/>
      <c r="IU13" s="327"/>
      <c r="IV13" s="327"/>
      <c r="IW13" s="327"/>
      <c r="IX13" s="327"/>
      <c r="IY13" s="327"/>
      <c r="IZ13" s="327"/>
      <c r="JA13" s="327"/>
      <c r="JB13" s="327"/>
      <c r="JC13" s="327"/>
      <c r="JD13" s="327"/>
      <c r="JE13" s="327"/>
      <c r="JF13" s="326"/>
    </row>
    <row r="14" spans="1:266" x14ac:dyDescent="0.25">
      <c r="A14" s="332" t="s">
        <v>1018</v>
      </c>
      <c r="B14" s="333" t="s">
        <v>1020</v>
      </c>
      <c r="C14" s="330"/>
      <c r="D14" s="329"/>
      <c r="E14" s="327"/>
      <c r="F14" s="327"/>
      <c r="G14" s="327"/>
      <c r="H14" s="327"/>
      <c r="I14" s="327"/>
      <c r="J14" s="327"/>
      <c r="K14" s="327"/>
      <c r="L14" s="327"/>
      <c r="M14" s="327"/>
      <c r="N14" s="326"/>
      <c r="O14" s="330"/>
      <c r="P14" s="329"/>
      <c r="Q14" s="327"/>
      <c r="R14" s="327"/>
      <c r="S14" s="327"/>
      <c r="T14" s="327"/>
      <c r="U14" s="327"/>
      <c r="V14" s="327"/>
      <c r="W14" s="328"/>
      <c r="X14" s="327"/>
      <c r="Y14" s="327"/>
      <c r="Z14" s="326"/>
      <c r="AA14" s="328"/>
      <c r="AB14" s="327"/>
      <c r="AC14" s="327"/>
      <c r="AD14" s="327"/>
      <c r="AE14" s="327"/>
      <c r="AF14" s="327"/>
      <c r="AG14" s="327"/>
      <c r="AH14" s="327"/>
      <c r="AI14" s="327"/>
      <c r="AJ14" s="327"/>
      <c r="AK14" s="327"/>
      <c r="AL14" s="327"/>
      <c r="AM14" s="327"/>
      <c r="AN14" s="327"/>
      <c r="AO14" s="327"/>
      <c r="AP14" s="327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27"/>
      <c r="BC14" s="327"/>
      <c r="BD14" s="327"/>
      <c r="BE14" s="327"/>
      <c r="BF14" s="327"/>
      <c r="BG14" s="327"/>
      <c r="BH14" s="327"/>
      <c r="BI14" s="327"/>
      <c r="BJ14" s="327"/>
      <c r="BK14" s="327"/>
      <c r="BL14" s="327"/>
      <c r="BM14" s="327"/>
      <c r="BN14" s="327"/>
      <c r="BO14" s="327"/>
      <c r="BP14" s="327"/>
      <c r="BQ14" s="327"/>
      <c r="BR14" s="327"/>
      <c r="BS14" s="327"/>
      <c r="BT14" s="327"/>
      <c r="BU14" s="327"/>
      <c r="BV14" s="327"/>
      <c r="BW14" s="327"/>
      <c r="BX14" s="327"/>
      <c r="BY14" s="327"/>
      <c r="BZ14" s="327"/>
      <c r="CA14" s="327"/>
      <c r="CB14" s="327"/>
      <c r="CC14" s="327"/>
      <c r="CD14" s="327"/>
      <c r="CE14" s="327"/>
      <c r="CF14" s="327"/>
      <c r="CG14" s="327"/>
      <c r="CH14" s="326"/>
      <c r="CI14" s="328"/>
      <c r="CJ14" s="327"/>
      <c r="CK14" s="327"/>
      <c r="CL14" s="327"/>
      <c r="CM14" s="327"/>
      <c r="CN14" s="327"/>
      <c r="CO14" s="327"/>
      <c r="CP14" s="327"/>
      <c r="CQ14" s="327"/>
      <c r="CR14" s="327"/>
      <c r="CS14" s="327"/>
      <c r="CT14" s="327"/>
      <c r="CU14" s="327"/>
      <c r="CV14" s="327"/>
      <c r="CW14" s="327"/>
      <c r="CX14" s="327"/>
      <c r="CY14" s="327"/>
      <c r="CZ14" s="327"/>
      <c r="DA14" s="327"/>
      <c r="DB14" s="327"/>
      <c r="DC14" s="327"/>
      <c r="DD14" s="327"/>
      <c r="DE14" s="327"/>
      <c r="DF14" s="327"/>
      <c r="DG14" s="327"/>
      <c r="DH14" s="327"/>
      <c r="DI14" s="327"/>
      <c r="DJ14" s="327"/>
      <c r="DK14" s="327"/>
      <c r="DL14" s="327"/>
      <c r="DM14" s="327"/>
      <c r="DN14" s="327"/>
      <c r="DO14" s="327"/>
      <c r="DP14" s="327"/>
      <c r="DQ14" s="327"/>
      <c r="DR14" s="327"/>
      <c r="DS14" s="327"/>
      <c r="DT14" s="327"/>
      <c r="DU14" s="327"/>
      <c r="DV14" s="327"/>
      <c r="DW14" s="327"/>
      <c r="DX14" s="327"/>
      <c r="DY14" s="327"/>
      <c r="DZ14" s="327"/>
      <c r="EA14" s="327"/>
      <c r="EB14" s="327"/>
      <c r="EC14" s="327"/>
      <c r="ED14" s="327"/>
      <c r="EE14" s="327"/>
      <c r="EF14" s="327"/>
      <c r="EG14" s="327"/>
      <c r="EH14" s="327"/>
      <c r="EI14" s="327"/>
      <c r="EJ14" s="327"/>
      <c r="EK14" s="327"/>
      <c r="EL14" s="327"/>
      <c r="EM14" s="327"/>
      <c r="EN14" s="327"/>
      <c r="EO14" s="327"/>
      <c r="EP14" s="326"/>
      <c r="EQ14" s="328"/>
      <c r="ER14" s="327"/>
      <c r="ES14" s="327"/>
      <c r="ET14" s="327"/>
      <c r="EU14" s="327"/>
      <c r="EV14" s="327"/>
      <c r="EW14" s="327"/>
      <c r="EX14" s="327"/>
      <c r="EY14" s="327"/>
      <c r="EZ14" s="327"/>
      <c r="FA14" s="327"/>
      <c r="FB14" s="327"/>
      <c r="FC14" s="327"/>
      <c r="FD14" s="327"/>
      <c r="FE14" s="327"/>
      <c r="FF14" s="327"/>
      <c r="FG14" s="327"/>
      <c r="FH14" s="327"/>
      <c r="FI14" s="327"/>
      <c r="FJ14" s="327"/>
      <c r="FK14" s="327"/>
      <c r="FL14" s="327"/>
      <c r="FM14" s="327"/>
      <c r="FN14" s="327"/>
      <c r="FO14" s="327"/>
      <c r="FP14" s="327"/>
      <c r="FQ14" s="327"/>
      <c r="FR14" s="327"/>
      <c r="FS14" s="327"/>
      <c r="FT14" s="327"/>
      <c r="FU14" s="327"/>
      <c r="FV14" s="327"/>
      <c r="FW14" s="327"/>
      <c r="FX14" s="327"/>
      <c r="FY14" s="327"/>
      <c r="FZ14" s="327"/>
      <c r="GA14" s="327"/>
      <c r="GB14" s="327"/>
      <c r="GC14" s="327"/>
      <c r="GD14" s="327"/>
      <c r="GE14" s="327"/>
      <c r="GF14" s="327"/>
      <c r="GG14" s="327"/>
      <c r="GH14" s="327"/>
      <c r="GI14" s="327"/>
      <c r="GJ14" s="327"/>
      <c r="GK14" s="327"/>
      <c r="GL14" s="327"/>
      <c r="GM14" s="327"/>
      <c r="GN14" s="327"/>
      <c r="GO14" s="327"/>
      <c r="GP14" s="327"/>
      <c r="GQ14" s="327"/>
      <c r="GR14" s="327"/>
      <c r="GS14" s="327"/>
      <c r="GT14" s="327"/>
      <c r="GU14" s="327"/>
      <c r="GV14" s="327"/>
      <c r="GW14" s="327"/>
      <c r="GX14" s="326"/>
      <c r="GY14" s="328"/>
      <c r="GZ14" s="327"/>
      <c r="HA14" s="327"/>
      <c r="HB14" s="327"/>
      <c r="HC14" s="327"/>
      <c r="HD14" s="327"/>
      <c r="HE14" s="327"/>
      <c r="HF14" s="327"/>
      <c r="HG14" s="327"/>
      <c r="HH14" s="327"/>
      <c r="HI14" s="327"/>
      <c r="HJ14" s="327"/>
      <c r="HK14" s="327"/>
      <c r="HL14" s="327"/>
      <c r="HM14" s="327"/>
      <c r="HN14" s="327"/>
      <c r="HO14" s="327"/>
      <c r="HP14" s="327"/>
      <c r="HQ14" s="327"/>
      <c r="HR14" s="327"/>
      <c r="HS14" s="327"/>
      <c r="HT14" s="327"/>
      <c r="HU14" s="327"/>
      <c r="HV14" s="327"/>
      <c r="HW14" s="327"/>
      <c r="HX14" s="327"/>
      <c r="HY14" s="327"/>
      <c r="HZ14" s="327"/>
      <c r="IA14" s="327"/>
      <c r="IB14" s="327"/>
      <c r="IC14" s="327"/>
      <c r="ID14" s="327"/>
      <c r="IE14" s="327"/>
      <c r="IF14" s="327"/>
      <c r="IG14" s="327"/>
      <c r="IH14" s="327"/>
      <c r="II14" s="327"/>
      <c r="IJ14" s="327"/>
      <c r="IK14" s="327"/>
      <c r="IL14" s="327"/>
      <c r="IM14" s="327"/>
      <c r="IN14" s="327"/>
      <c r="IO14" s="327"/>
      <c r="IP14" s="327"/>
      <c r="IQ14" s="327"/>
      <c r="IR14" s="327"/>
      <c r="IS14" s="327"/>
      <c r="IT14" s="327"/>
      <c r="IU14" s="327"/>
      <c r="IV14" s="327"/>
      <c r="IW14" s="327"/>
      <c r="IX14" s="327"/>
      <c r="IY14" s="327"/>
      <c r="IZ14" s="327"/>
      <c r="JA14" s="327"/>
      <c r="JB14" s="327"/>
      <c r="JC14" s="327"/>
      <c r="JD14" s="327"/>
      <c r="JE14" s="327"/>
      <c r="JF14" s="326"/>
    </row>
    <row r="15" spans="1:266" x14ac:dyDescent="0.25">
      <c r="A15" s="332" t="s">
        <v>1018</v>
      </c>
      <c r="B15" s="333" t="s">
        <v>1019</v>
      </c>
      <c r="C15" s="330"/>
      <c r="D15" s="329"/>
      <c r="E15" s="327"/>
      <c r="F15" s="327"/>
      <c r="G15" s="327"/>
      <c r="H15" s="327"/>
      <c r="I15" s="327"/>
      <c r="J15" s="327"/>
      <c r="K15" s="327"/>
      <c r="L15" s="327"/>
      <c r="M15" s="327"/>
      <c r="N15" s="326"/>
      <c r="O15" s="330"/>
      <c r="P15" s="329"/>
      <c r="Q15" s="327"/>
      <c r="R15" s="327"/>
      <c r="S15" s="327"/>
      <c r="T15" s="327"/>
      <c r="U15" s="327"/>
      <c r="V15" s="327"/>
      <c r="W15" s="328"/>
      <c r="X15" s="327"/>
      <c r="Y15" s="327"/>
      <c r="Z15" s="326"/>
      <c r="AA15" s="328"/>
      <c r="AB15" s="327"/>
      <c r="AC15" s="327"/>
      <c r="AD15" s="327"/>
      <c r="AE15" s="327"/>
      <c r="AF15" s="327"/>
      <c r="AG15" s="327"/>
      <c r="AH15" s="327"/>
      <c r="AI15" s="327"/>
      <c r="AJ15" s="327"/>
      <c r="AK15" s="327"/>
      <c r="AL15" s="327"/>
      <c r="AM15" s="327"/>
      <c r="AN15" s="327"/>
      <c r="AO15" s="327"/>
      <c r="AP15" s="327"/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7"/>
      <c r="BB15" s="327"/>
      <c r="BC15" s="327"/>
      <c r="BD15" s="327"/>
      <c r="BE15" s="327"/>
      <c r="BF15" s="327"/>
      <c r="BG15" s="327"/>
      <c r="BH15" s="327"/>
      <c r="BI15" s="327"/>
      <c r="BJ15" s="327"/>
      <c r="BK15" s="327"/>
      <c r="BL15" s="327"/>
      <c r="BM15" s="327"/>
      <c r="BN15" s="327"/>
      <c r="BO15" s="327"/>
      <c r="BP15" s="327"/>
      <c r="BQ15" s="327"/>
      <c r="BR15" s="327"/>
      <c r="BS15" s="327"/>
      <c r="BT15" s="327"/>
      <c r="BU15" s="327"/>
      <c r="BV15" s="327"/>
      <c r="BW15" s="327"/>
      <c r="BX15" s="327"/>
      <c r="BY15" s="327"/>
      <c r="BZ15" s="327"/>
      <c r="CA15" s="327"/>
      <c r="CB15" s="327"/>
      <c r="CC15" s="327"/>
      <c r="CD15" s="327"/>
      <c r="CE15" s="327"/>
      <c r="CF15" s="327"/>
      <c r="CG15" s="327"/>
      <c r="CH15" s="326"/>
      <c r="CI15" s="328"/>
      <c r="CJ15" s="327"/>
      <c r="CK15" s="327"/>
      <c r="CL15" s="327"/>
      <c r="CM15" s="327"/>
      <c r="CN15" s="327"/>
      <c r="CO15" s="327"/>
      <c r="CP15" s="327"/>
      <c r="CQ15" s="327"/>
      <c r="CR15" s="327"/>
      <c r="CS15" s="327"/>
      <c r="CT15" s="327"/>
      <c r="CU15" s="327"/>
      <c r="CV15" s="327"/>
      <c r="CW15" s="327"/>
      <c r="CX15" s="327"/>
      <c r="CY15" s="327"/>
      <c r="CZ15" s="327"/>
      <c r="DA15" s="327"/>
      <c r="DB15" s="327"/>
      <c r="DC15" s="327"/>
      <c r="DD15" s="327"/>
      <c r="DE15" s="327"/>
      <c r="DF15" s="327"/>
      <c r="DG15" s="327"/>
      <c r="DH15" s="327"/>
      <c r="DI15" s="327"/>
      <c r="DJ15" s="327"/>
      <c r="DK15" s="327"/>
      <c r="DL15" s="327"/>
      <c r="DM15" s="327"/>
      <c r="DN15" s="327"/>
      <c r="DO15" s="327"/>
      <c r="DP15" s="327"/>
      <c r="DQ15" s="327"/>
      <c r="DR15" s="327"/>
      <c r="DS15" s="327"/>
      <c r="DT15" s="327"/>
      <c r="DU15" s="327"/>
      <c r="DV15" s="327"/>
      <c r="DW15" s="327"/>
      <c r="DX15" s="327"/>
      <c r="DY15" s="327"/>
      <c r="DZ15" s="327"/>
      <c r="EA15" s="327"/>
      <c r="EB15" s="327"/>
      <c r="EC15" s="327"/>
      <c r="ED15" s="327"/>
      <c r="EE15" s="327"/>
      <c r="EF15" s="327"/>
      <c r="EG15" s="327"/>
      <c r="EH15" s="327"/>
      <c r="EI15" s="327"/>
      <c r="EJ15" s="327"/>
      <c r="EK15" s="327"/>
      <c r="EL15" s="327"/>
      <c r="EM15" s="327"/>
      <c r="EN15" s="327"/>
      <c r="EO15" s="327"/>
      <c r="EP15" s="326"/>
      <c r="EQ15" s="328"/>
      <c r="ER15" s="327"/>
      <c r="ES15" s="327"/>
      <c r="ET15" s="327"/>
      <c r="EU15" s="327"/>
      <c r="EV15" s="327"/>
      <c r="EW15" s="327"/>
      <c r="EX15" s="327"/>
      <c r="EY15" s="327"/>
      <c r="EZ15" s="327"/>
      <c r="FA15" s="327"/>
      <c r="FB15" s="327"/>
      <c r="FC15" s="327"/>
      <c r="FD15" s="327"/>
      <c r="FE15" s="327"/>
      <c r="FF15" s="327"/>
      <c r="FG15" s="327"/>
      <c r="FH15" s="327"/>
      <c r="FI15" s="327"/>
      <c r="FJ15" s="327"/>
      <c r="FK15" s="327"/>
      <c r="FL15" s="327"/>
      <c r="FM15" s="327"/>
      <c r="FN15" s="327"/>
      <c r="FO15" s="327"/>
      <c r="FP15" s="327"/>
      <c r="FQ15" s="327"/>
      <c r="FR15" s="327"/>
      <c r="FS15" s="327"/>
      <c r="FT15" s="327"/>
      <c r="FU15" s="327"/>
      <c r="FV15" s="327"/>
      <c r="FW15" s="327"/>
      <c r="FX15" s="327"/>
      <c r="FY15" s="327"/>
      <c r="FZ15" s="327"/>
      <c r="GA15" s="327"/>
      <c r="GB15" s="327"/>
      <c r="GC15" s="327"/>
      <c r="GD15" s="327"/>
      <c r="GE15" s="327"/>
      <c r="GF15" s="327"/>
      <c r="GG15" s="327"/>
      <c r="GH15" s="327"/>
      <c r="GI15" s="327"/>
      <c r="GJ15" s="327"/>
      <c r="GK15" s="327"/>
      <c r="GL15" s="327"/>
      <c r="GM15" s="327"/>
      <c r="GN15" s="327"/>
      <c r="GO15" s="327"/>
      <c r="GP15" s="327"/>
      <c r="GQ15" s="327"/>
      <c r="GR15" s="327"/>
      <c r="GS15" s="327"/>
      <c r="GT15" s="327"/>
      <c r="GU15" s="327"/>
      <c r="GV15" s="327"/>
      <c r="GW15" s="327"/>
      <c r="GX15" s="326"/>
      <c r="GY15" s="328"/>
      <c r="GZ15" s="327"/>
      <c r="HA15" s="327"/>
      <c r="HB15" s="327"/>
      <c r="HC15" s="327"/>
      <c r="HD15" s="327"/>
      <c r="HE15" s="327"/>
      <c r="HF15" s="327"/>
      <c r="HG15" s="327"/>
      <c r="HH15" s="327"/>
      <c r="HI15" s="327"/>
      <c r="HJ15" s="327"/>
      <c r="HK15" s="327"/>
      <c r="HL15" s="327"/>
      <c r="HM15" s="327"/>
      <c r="HN15" s="327"/>
      <c r="HO15" s="327"/>
      <c r="HP15" s="327"/>
      <c r="HQ15" s="327"/>
      <c r="HR15" s="327"/>
      <c r="HS15" s="327"/>
      <c r="HT15" s="327"/>
      <c r="HU15" s="327"/>
      <c r="HV15" s="327"/>
      <c r="HW15" s="327"/>
      <c r="HX15" s="327"/>
      <c r="HY15" s="327"/>
      <c r="HZ15" s="327"/>
      <c r="IA15" s="327"/>
      <c r="IB15" s="327"/>
      <c r="IC15" s="327"/>
      <c r="ID15" s="327"/>
      <c r="IE15" s="327"/>
      <c r="IF15" s="327"/>
      <c r="IG15" s="327"/>
      <c r="IH15" s="327"/>
      <c r="II15" s="327"/>
      <c r="IJ15" s="327"/>
      <c r="IK15" s="327"/>
      <c r="IL15" s="327"/>
      <c r="IM15" s="327"/>
      <c r="IN15" s="327"/>
      <c r="IO15" s="327"/>
      <c r="IP15" s="327"/>
      <c r="IQ15" s="327"/>
      <c r="IR15" s="327"/>
      <c r="IS15" s="327"/>
      <c r="IT15" s="327"/>
      <c r="IU15" s="327"/>
      <c r="IV15" s="327"/>
      <c r="IW15" s="327"/>
      <c r="IX15" s="327"/>
      <c r="IY15" s="327"/>
      <c r="IZ15" s="327"/>
      <c r="JA15" s="327"/>
      <c r="JB15" s="327"/>
      <c r="JC15" s="327"/>
      <c r="JD15" s="327"/>
      <c r="JE15" s="327"/>
      <c r="JF15" s="326"/>
    </row>
    <row r="16" spans="1:266" x14ac:dyDescent="0.25">
      <c r="A16" s="332" t="s">
        <v>1018</v>
      </c>
      <c r="B16" s="331" t="s">
        <v>1017</v>
      </c>
      <c r="C16" s="330"/>
      <c r="D16" s="329"/>
      <c r="E16" s="327"/>
      <c r="F16" s="327"/>
      <c r="G16" s="327"/>
      <c r="H16" s="327"/>
      <c r="I16" s="327"/>
      <c r="J16" s="327"/>
      <c r="K16" s="327"/>
      <c r="L16" s="327"/>
      <c r="M16" s="327"/>
      <c r="N16" s="326"/>
      <c r="O16" s="330"/>
      <c r="P16" s="329"/>
      <c r="Q16" s="327"/>
      <c r="R16" s="327"/>
      <c r="S16" s="327"/>
      <c r="T16" s="327"/>
      <c r="U16" s="327"/>
      <c r="V16" s="327"/>
      <c r="W16" s="328"/>
      <c r="X16" s="327"/>
      <c r="Y16" s="327"/>
      <c r="Z16" s="326"/>
      <c r="AA16" s="328"/>
      <c r="AB16" s="327"/>
      <c r="AC16" s="327"/>
      <c r="AD16" s="327"/>
      <c r="AE16" s="327"/>
      <c r="AF16" s="327"/>
      <c r="AG16" s="327"/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27"/>
      <c r="BH16" s="327"/>
      <c r="BI16" s="327"/>
      <c r="BJ16" s="327"/>
      <c r="BK16" s="327"/>
      <c r="BL16" s="327"/>
      <c r="BM16" s="327"/>
      <c r="BN16" s="327"/>
      <c r="BO16" s="327"/>
      <c r="BP16" s="327"/>
      <c r="BQ16" s="327"/>
      <c r="BR16" s="327"/>
      <c r="BS16" s="327"/>
      <c r="BT16" s="327"/>
      <c r="BU16" s="327"/>
      <c r="BV16" s="327"/>
      <c r="BW16" s="327"/>
      <c r="BX16" s="327"/>
      <c r="BY16" s="327"/>
      <c r="BZ16" s="327"/>
      <c r="CA16" s="327"/>
      <c r="CB16" s="327"/>
      <c r="CC16" s="327"/>
      <c r="CD16" s="327"/>
      <c r="CE16" s="327"/>
      <c r="CF16" s="327"/>
      <c r="CG16" s="327"/>
      <c r="CH16" s="326"/>
      <c r="CI16" s="328"/>
      <c r="CJ16" s="327"/>
      <c r="CK16" s="327"/>
      <c r="CL16" s="327"/>
      <c r="CM16" s="327"/>
      <c r="CN16" s="327"/>
      <c r="CO16" s="327"/>
      <c r="CP16" s="327"/>
      <c r="CQ16" s="327"/>
      <c r="CR16" s="327"/>
      <c r="CS16" s="327"/>
      <c r="CT16" s="327"/>
      <c r="CU16" s="327"/>
      <c r="CV16" s="327"/>
      <c r="CW16" s="327"/>
      <c r="CX16" s="327"/>
      <c r="CY16" s="327"/>
      <c r="CZ16" s="327"/>
      <c r="DA16" s="327"/>
      <c r="DB16" s="327"/>
      <c r="DC16" s="327"/>
      <c r="DD16" s="327"/>
      <c r="DE16" s="327"/>
      <c r="DF16" s="327"/>
      <c r="DG16" s="327"/>
      <c r="DH16" s="327"/>
      <c r="DI16" s="327"/>
      <c r="DJ16" s="327"/>
      <c r="DK16" s="327"/>
      <c r="DL16" s="327"/>
      <c r="DM16" s="327"/>
      <c r="DN16" s="327"/>
      <c r="DO16" s="327"/>
      <c r="DP16" s="327"/>
      <c r="DQ16" s="327"/>
      <c r="DR16" s="327"/>
      <c r="DS16" s="327"/>
      <c r="DT16" s="327"/>
      <c r="DU16" s="327"/>
      <c r="DV16" s="327"/>
      <c r="DW16" s="327"/>
      <c r="DX16" s="327"/>
      <c r="DY16" s="327"/>
      <c r="DZ16" s="327"/>
      <c r="EA16" s="327"/>
      <c r="EB16" s="327"/>
      <c r="EC16" s="327"/>
      <c r="ED16" s="327"/>
      <c r="EE16" s="327"/>
      <c r="EF16" s="327"/>
      <c r="EG16" s="327"/>
      <c r="EH16" s="327"/>
      <c r="EI16" s="327"/>
      <c r="EJ16" s="327"/>
      <c r="EK16" s="327"/>
      <c r="EL16" s="327"/>
      <c r="EM16" s="327"/>
      <c r="EN16" s="327"/>
      <c r="EO16" s="327"/>
      <c r="EP16" s="326"/>
      <c r="EQ16" s="328"/>
      <c r="ER16" s="327"/>
      <c r="ES16" s="327"/>
      <c r="ET16" s="327"/>
      <c r="EU16" s="327"/>
      <c r="EV16" s="327"/>
      <c r="EW16" s="327"/>
      <c r="EX16" s="327"/>
      <c r="EY16" s="327"/>
      <c r="EZ16" s="327"/>
      <c r="FA16" s="327"/>
      <c r="FB16" s="327"/>
      <c r="FC16" s="327"/>
      <c r="FD16" s="327"/>
      <c r="FE16" s="327"/>
      <c r="FF16" s="327"/>
      <c r="FG16" s="327"/>
      <c r="FH16" s="327"/>
      <c r="FI16" s="327"/>
      <c r="FJ16" s="327"/>
      <c r="FK16" s="327"/>
      <c r="FL16" s="327"/>
      <c r="FM16" s="327"/>
      <c r="FN16" s="327"/>
      <c r="FO16" s="327"/>
      <c r="FP16" s="327"/>
      <c r="FQ16" s="327"/>
      <c r="FR16" s="327"/>
      <c r="FS16" s="327"/>
      <c r="FT16" s="327"/>
      <c r="FU16" s="327"/>
      <c r="FV16" s="327"/>
      <c r="FW16" s="327"/>
      <c r="FX16" s="327"/>
      <c r="FY16" s="327"/>
      <c r="FZ16" s="327"/>
      <c r="GA16" s="327"/>
      <c r="GB16" s="327"/>
      <c r="GC16" s="327"/>
      <c r="GD16" s="327"/>
      <c r="GE16" s="327"/>
      <c r="GF16" s="327"/>
      <c r="GG16" s="327"/>
      <c r="GH16" s="327"/>
      <c r="GI16" s="327"/>
      <c r="GJ16" s="327"/>
      <c r="GK16" s="327"/>
      <c r="GL16" s="327"/>
      <c r="GM16" s="327"/>
      <c r="GN16" s="327"/>
      <c r="GO16" s="327"/>
      <c r="GP16" s="327"/>
      <c r="GQ16" s="327"/>
      <c r="GR16" s="327"/>
      <c r="GS16" s="327"/>
      <c r="GT16" s="327"/>
      <c r="GU16" s="327"/>
      <c r="GV16" s="327"/>
      <c r="GW16" s="327"/>
      <c r="GX16" s="326"/>
      <c r="GY16" s="328"/>
      <c r="GZ16" s="327"/>
      <c r="HA16" s="327"/>
      <c r="HB16" s="327"/>
      <c r="HC16" s="327"/>
      <c r="HD16" s="327"/>
      <c r="HE16" s="327"/>
      <c r="HF16" s="327"/>
      <c r="HG16" s="327"/>
      <c r="HH16" s="327"/>
      <c r="HI16" s="327"/>
      <c r="HJ16" s="327"/>
      <c r="HK16" s="327"/>
      <c r="HL16" s="327"/>
      <c r="HM16" s="327"/>
      <c r="HN16" s="327"/>
      <c r="HO16" s="327"/>
      <c r="HP16" s="327"/>
      <c r="HQ16" s="327"/>
      <c r="HR16" s="327"/>
      <c r="HS16" s="327"/>
      <c r="HT16" s="327"/>
      <c r="HU16" s="327"/>
      <c r="HV16" s="327"/>
      <c r="HW16" s="327"/>
      <c r="HX16" s="327"/>
      <c r="HY16" s="327"/>
      <c r="HZ16" s="327"/>
      <c r="IA16" s="327"/>
      <c r="IB16" s="327"/>
      <c r="IC16" s="327"/>
      <c r="ID16" s="327"/>
      <c r="IE16" s="327"/>
      <c r="IF16" s="327"/>
      <c r="IG16" s="327"/>
      <c r="IH16" s="327"/>
      <c r="II16" s="327"/>
      <c r="IJ16" s="327"/>
      <c r="IK16" s="327"/>
      <c r="IL16" s="327"/>
      <c r="IM16" s="327"/>
      <c r="IN16" s="327"/>
      <c r="IO16" s="327"/>
      <c r="IP16" s="327"/>
      <c r="IQ16" s="327"/>
      <c r="IR16" s="327"/>
      <c r="IS16" s="327"/>
      <c r="IT16" s="327"/>
      <c r="IU16" s="327"/>
      <c r="IV16" s="327"/>
      <c r="IW16" s="327"/>
      <c r="IX16" s="327"/>
      <c r="IY16" s="327"/>
      <c r="IZ16" s="327"/>
      <c r="JA16" s="327"/>
      <c r="JB16" s="327"/>
      <c r="JC16" s="327"/>
      <c r="JD16" s="327"/>
      <c r="JE16" s="327"/>
      <c r="JF16" s="326"/>
    </row>
    <row r="17" spans="1:266" x14ac:dyDescent="0.25">
      <c r="A17" s="332" t="s">
        <v>1015</v>
      </c>
      <c r="B17" s="333" t="s">
        <v>1016</v>
      </c>
      <c r="C17" s="330"/>
      <c r="D17" s="329"/>
      <c r="E17" s="327"/>
      <c r="F17" s="327"/>
      <c r="G17" s="327"/>
      <c r="H17" s="327"/>
      <c r="I17" s="327"/>
      <c r="J17" s="327"/>
      <c r="K17" s="327"/>
      <c r="L17" s="327"/>
      <c r="M17" s="327"/>
      <c r="N17" s="326"/>
      <c r="O17" s="330"/>
      <c r="P17" s="329"/>
      <c r="Q17" s="327"/>
      <c r="R17" s="327"/>
      <c r="S17" s="327"/>
      <c r="T17" s="327"/>
      <c r="U17" s="327"/>
      <c r="V17" s="327"/>
      <c r="W17" s="328"/>
      <c r="X17" s="327"/>
      <c r="Y17" s="327"/>
      <c r="Z17" s="326"/>
      <c r="AA17" s="328"/>
      <c r="AB17" s="327"/>
      <c r="AC17" s="327"/>
      <c r="AD17" s="327"/>
      <c r="AE17" s="327"/>
      <c r="AF17" s="327"/>
      <c r="AG17" s="327"/>
      <c r="AH17" s="327"/>
      <c r="AI17" s="327"/>
      <c r="AJ17" s="327"/>
      <c r="AK17" s="327"/>
      <c r="AL17" s="327"/>
      <c r="AM17" s="327"/>
      <c r="AN17" s="327"/>
      <c r="AO17" s="327"/>
      <c r="AP17" s="327"/>
      <c r="AQ17" s="327"/>
      <c r="AR17" s="327"/>
      <c r="AS17" s="327"/>
      <c r="AT17" s="327"/>
      <c r="AU17" s="327"/>
      <c r="AV17" s="327"/>
      <c r="AW17" s="327"/>
      <c r="AX17" s="327"/>
      <c r="AY17" s="327"/>
      <c r="AZ17" s="327"/>
      <c r="BA17" s="327"/>
      <c r="BB17" s="327"/>
      <c r="BC17" s="327"/>
      <c r="BD17" s="327"/>
      <c r="BE17" s="327"/>
      <c r="BF17" s="327"/>
      <c r="BG17" s="327"/>
      <c r="BH17" s="327"/>
      <c r="BI17" s="327"/>
      <c r="BJ17" s="327"/>
      <c r="BK17" s="327"/>
      <c r="BL17" s="327"/>
      <c r="BM17" s="327"/>
      <c r="BN17" s="327"/>
      <c r="BO17" s="327"/>
      <c r="BP17" s="327"/>
      <c r="BQ17" s="327"/>
      <c r="BR17" s="327"/>
      <c r="BS17" s="327"/>
      <c r="BT17" s="327"/>
      <c r="BU17" s="327"/>
      <c r="BV17" s="327"/>
      <c r="BW17" s="327"/>
      <c r="BX17" s="327"/>
      <c r="BY17" s="327"/>
      <c r="BZ17" s="327"/>
      <c r="CA17" s="327"/>
      <c r="CB17" s="327"/>
      <c r="CC17" s="327"/>
      <c r="CD17" s="327"/>
      <c r="CE17" s="327"/>
      <c r="CF17" s="327"/>
      <c r="CG17" s="327"/>
      <c r="CH17" s="326"/>
      <c r="CI17" s="328"/>
      <c r="CJ17" s="327"/>
      <c r="CK17" s="327"/>
      <c r="CL17" s="327"/>
      <c r="CM17" s="327"/>
      <c r="CN17" s="327"/>
      <c r="CO17" s="327"/>
      <c r="CP17" s="327"/>
      <c r="CQ17" s="327"/>
      <c r="CR17" s="327"/>
      <c r="CS17" s="327"/>
      <c r="CT17" s="327"/>
      <c r="CU17" s="327"/>
      <c r="CV17" s="327"/>
      <c r="CW17" s="327"/>
      <c r="CX17" s="327"/>
      <c r="CY17" s="327"/>
      <c r="CZ17" s="327"/>
      <c r="DA17" s="327"/>
      <c r="DB17" s="327"/>
      <c r="DC17" s="327"/>
      <c r="DD17" s="327"/>
      <c r="DE17" s="327"/>
      <c r="DF17" s="327"/>
      <c r="DG17" s="327"/>
      <c r="DH17" s="327"/>
      <c r="DI17" s="327"/>
      <c r="DJ17" s="327"/>
      <c r="DK17" s="327"/>
      <c r="DL17" s="327"/>
      <c r="DM17" s="327"/>
      <c r="DN17" s="327"/>
      <c r="DO17" s="327"/>
      <c r="DP17" s="327"/>
      <c r="DQ17" s="327"/>
      <c r="DR17" s="327"/>
      <c r="DS17" s="327"/>
      <c r="DT17" s="327"/>
      <c r="DU17" s="327"/>
      <c r="DV17" s="327"/>
      <c r="DW17" s="327"/>
      <c r="DX17" s="327"/>
      <c r="DY17" s="327"/>
      <c r="DZ17" s="327"/>
      <c r="EA17" s="327"/>
      <c r="EB17" s="327"/>
      <c r="EC17" s="327"/>
      <c r="ED17" s="327"/>
      <c r="EE17" s="327"/>
      <c r="EF17" s="327"/>
      <c r="EG17" s="327"/>
      <c r="EH17" s="327"/>
      <c r="EI17" s="327"/>
      <c r="EJ17" s="327"/>
      <c r="EK17" s="327"/>
      <c r="EL17" s="327"/>
      <c r="EM17" s="327"/>
      <c r="EN17" s="327"/>
      <c r="EO17" s="327"/>
      <c r="EP17" s="326"/>
      <c r="EQ17" s="328"/>
      <c r="ER17" s="327"/>
      <c r="ES17" s="327"/>
      <c r="ET17" s="327"/>
      <c r="EU17" s="327"/>
      <c r="EV17" s="327"/>
      <c r="EW17" s="327"/>
      <c r="EX17" s="327"/>
      <c r="EY17" s="327"/>
      <c r="EZ17" s="327"/>
      <c r="FA17" s="327"/>
      <c r="FB17" s="327"/>
      <c r="FC17" s="327"/>
      <c r="FD17" s="327"/>
      <c r="FE17" s="327"/>
      <c r="FF17" s="327"/>
      <c r="FG17" s="327"/>
      <c r="FH17" s="327"/>
      <c r="FI17" s="327"/>
      <c r="FJ17" s="327"/>
      <c r="FK17" s="327"/>
      <c r="FL17" s="327"/>
      <c r="FM17" s="327"/>
      <c r="FN17" s="327"/>
      <c r="FO17" s="327"/>
      <c r="FP17" s="327"/>
      <c r="FQ17" s="327"/>
      <c r="FR17" s="327"/>
      <c r="FS17" s="327"/>
      <c r="FT17" s="327"/>
      <c r="FU17" s="327"/>
      <c r="FV17" s="327"/>
      <c r="FW17" s="327"/>
      <c r="FX17" s="327"/>
      <c r="FY17" s="327"/>
      <c r="FZ17" s="327"/>
      <c r="GA17" s="327"/>
      <c r="GB17" s="327"/>
      <c r="GC17" s="327"/>
      <c r="GD17" s="327"/>
      <c r="GE17" s="327"/>
      <c r="GF17" s="327"/>
      <c r="GG17" s="327"/>
      <c r="GH17" s="327"/>
      <c r="GI17" s="327"/>
      <c r="GJ17" s="327"/>
      <c r="GK17" s="327"/>
      <c r="GL17" s="327"/>
      <c r="GM17" s="327"/>
      <c r="GN17" s="327"/>
      <c r="GO17" s="327"/>
      <c r="GP17" s="327"/>
      <c r="GQ17" s="327"/>
      <c r="GR17" s="327"/>
      <c r="GS17" s="327"/>
      <c r="GT17" s="327"/>
      <c r="GU17" s="327"/>
      <c r="GV17" s="327"/>
      <c r="GW17" s="327"/>
      <c r="GX17" s="326"/>
      <c r="GY17" s="328"/>
      <c r="GZ17" s="327"/>
      <c r="HA17" s="327"/>
      <c r="HB17" s="327"/>
      <c r="HC17" s="327"/>
      <c r="HD17" s="327"/>
      <c r="HE17" s="327"/>
      <c r="HF17" s="327"/>
      <c r="HG17" s="327"/>
      <c r="HH17" s="327"/>
      <c r="HI17" s="327"/>
      <c r="HJ17" s="327"/>
      <c r="HK17" s="327"/>
      <c r="HL17" s="327"/>
      <c r="HM17" s="327"/>
      <c r="HN17" s="327"/>
      <c r="HO17" s="327"/>
      <c r="HP17" s="327"/>
      <c r="HQ17" s="327"/>
      <c r="HR17" s="327"/>
      <c r="HS17" s="327"/>
      <c r="HT17" s="327"/>
      <c r="HU17" s="327"/>
      <c r="HV17" s="327"/>
      <c r="HW17" s="327"/>
      <c r="HX17" s="327"/>
      <c r="HY17" s="327"/>
      <c r="HZ17" s="327"/>
      <c r="IA17" s="327"/>
      <c r="IB17" s="327"/>
      <c r="IC17" s="327"/>
      <c r="ID17" s="327"/>
      <c r="IE17" s="327"/>
      <c r="IF17" s="327"/>
      <c r="IG17" s="327"/>
      <c r="IH17" s="327"/>
      <c r="II17" s="327"/>
      <c r="IJ17" s="327"/>
      <c r="IK17" s="327"/>
      <c r="IL17" s="327"/>
      <c r="IM17" s="327"/>
      <c r="IN17" s="327"/>
      <c r="IO17" s="327"/>
      <c r="IP17" s="327"/>
      <c r="IQ17" s="327"/>
      <c r="IR17" s="327"/>
      <c r="IS17" s="327"/>
      <c r="IT17" s="327"/>
      <c r="IU17" s="327"/>
      <c r="IV17" s="327"/>
      <c r="IW17" s="327"/>
      <c r="IX17" s="327"/>
      <c r="IY17" s="327"/>
      <c r="IZ17" s="327"/>
      <c r="JA17" s="327"/>
      <c r="JB17" s="327"/>
      <c r="JC17" s="327"/>
      <c r="JD17" s="327"/>
      <c r="JE17" s="327"/>
      <c r="JF17" s="326"/>
    </row>
    <row r="18" spans="1:266" x14ac:dyDescent="0.25">
      <c r="A18" s="332" t="s">
        <v>1015</v>
      </c>
      <c r="B18" s="333" t="s">
        <v>1014</v>
      </c>
      <c r="C18" s="330"/>
      <c r="D18" s="329"/>
      <c r="E18" s="327"/>
      <c r="F18" s="327"/>
      <c r="G18" s="327"/>
      <c r="H18" s="327"/>
      <c r="I18" s="327"/>
      <c r="J18" s="327"/>
      <c r="K18" s="327"/>
      <c r="L18" s="327"/>
      <c r="M18" s="327"/>
      <c r="N18" s="326"/>
      <c r="O18" s="330"/>
      <c r="P18" s="329"/>
      <c r="Q18" s="327"/>
      <c r="R18" s="327"/>
      <c r="S18" s="327"/>
      <c r="T18" s="327"/>
      <c r="U18" s="327"/>
      <c r="V18" s="327"/>
      <c r="W18" s="328"/>
      <c r="X18" s="327"/>
      <c r="Y18" s="327"/>
      <c r="Z18" s="326"/>
      <c r="AA18" s="328"/>
      <c r="AB18" s="327"/>
      <c r="AC18" s="327"/>
      <c r="AD18" s="327"/>
      <c r="AE18" s="327"/>
      <c r="AF18" s="327"/>
      <c r="AG18" s="327"/>
      <c r="AH18" s="327"/>
      <c r="AI18" s="327"/>
      <c r="AJ18" s="327"/>
      <c r="AK18" s="327"/>
      <c r="AL18" s="327"/>
      <c r="AM18" s="327"/>
      <c r="AN18" s="327"/>
      <c r="AO18" s="327"/>
      <c r="AP18" s="327"/>
      <c r="AQ18" s="327"/>
      <c r="AR18" s="327"/>
      <c r="AS18" s="327"/>
      <c r="AT18" s="327"/>
      <c r="AU18" s="327"/>
      <c r="AV18" s="327"/>
      <c r="AW18" s="327"/>
      <c r="AX18" s="327"/>
      <c r="AY18" s="327"/>
      <c r="AZ18" s="327"/>
      <c r="BA18" s="327"/>
      <c r="BB18" s="327"/>
      <c r="BC18" s="327"/>
      <c r="BD18" s="327"/>
      <c r="BE18" s="327"/>
      <c r="BF18" s="327"/>
      <c r="BG18" s="327"/>
      <c r="BH18" s="327"/>
      <c r="BI18" s="327"/>
      <c r="BJ18" s="327"/>
      <c r="BK18" s="327"/>
      <c r="BL18" s="327"/>
      <c r="BM18" s="327"/>
      <c r="BN18" s="327"/>
      <c r="BO18" s="327"/>
      <c r="BP18" s="327"/>
      <c r="BQ18" s="327"/>
      <c r="BR18" s="327"/>
      <c r="BS18" s="327"/>
      <c r="BT18" s="327"/>
      <c r="BU18" s="327"/>
      <c r="BV18" s="327"/>
      <c r="BW18" s="327"/>
      <c r="BX18" s="327"/>
      <c r="BY18" s="327"/>
      <c r="BZ18" s="327"/>
      <c r="CA18" s="327"/>
      <c r="CB18" s="327"/>
      <c r="CC18" s="327"/>
      <c r="CD18" s="327"/>
      <c r="CE18" s="327"/>
      <c r="CF18" s="327"/>
      <c r="CG18" s="327"/>
      <c r="CH18" s="326"/>
      <c r="CI18" s="328"/>
      <c r="CJ18" s="327"/>
      <c r="CK18" s="327"/>
      <c r="CL18" s="327"/>
      <c r="CM18" s="327"/>
      <c r="CN18" s="327"/>
      <c r="CO18" s="327"/>
      <c r="CP18" s="327"/>
      <c r="CQ18" s="327"/>
      <c r="CR18" s="327"/>
      <c r="CS18" s="327"/>
      <c r="CT18" s="327"/>
      <c r="CU18" s="327"/>
      <c r="CV18" s="327"/>
      <c r="CW18" s="327"/>
      <c r="CX18" s="327"/>
      <c r="CY18" s="327"/>
      <c r="CZ18" s="327"/>
      <c r="DA18" s="327"/>
      <c r="DB18" s="327"/>
      <c r="DC18" s="327"/>
      <c r="DD18" s="327"/>
      <c r="DE18" s="327"/>
      <c r="DF18" s="327"/>
      <c r="DG18" s="327"/>
      <c r="DH18" s="327"/>
      <c r="DI18" s="327"/>
      <c r="DJ18" s="327"/>
      <c r="DK18" s="327"/>
      <c r="DL18" s="327"/>
      <c r="DM18" s="327"/>
      <c r="DN18" s="327"/>
      <c r="DO18" s="327"/>
      <c r="DP18" s="327"/>
      <c r="DQ18" s="327"/>
      <c r="DR18" s="327"/>
      <c r="DS18" s="327"/>
      <c r="DT18" s="327"/>
      <c r="DU18" s="327"/>
      <c r="DV18" s="327"/>
      <c r="DW18" s="327"/>
      <c r="DX18" s="327"/>
      <c r="DY18" s="327"/>
      <c r="DZ18" s="327"/>
      <c r="EA18" s="327"/>
      <c r="EB18" s="327"/>
      <c r="EC18" s="327"/>
      <c r="ED18" s="327"/>
      <c r="EE18" s="327"/>
      <c r="EF18" s="327"/>
      <c r="EG18" s="327"/>
      <c r="EH18" s="327"/>
      <c r="EI18" s="327"/>
      <c r="EJ18" s="327"/>
      <c r="EK18" s="327"/>
      <c r="EL18" s="327"/>
      <c r="EM18" s="327"/>
      <c r="EN18" s="327"/>
      <c r="EO18" s="327"/>
      <c r="EP18" s="326"/>
      <c r="EQ18" s="328"/>
      <c r="ER18" s="327"/>
      <c r="ES18" s="327"/>
      <c r="ET18" s="327"/>
      <c r="EU18" s="327"/>
      <c r="EV18" s="327"/>
      <c r="EW18" s="327"/>
      <c r="EX18" s="327"/>
      <c r="EY18" s="327"/>
      <c r="EZ18" s="327"/>
      <c r="FA18" s="327"/>
      <c r="FB18" s="327"/>
      <c r="FC18" s="327"/>
      <c r="FD18" s="327"/>
      <c r="FE18" s="327"/>
      <c r="FF18" s="327"/>
      <c r="FG18" s="327"/>
      <c r="FH18" s="327"/>
      <c r="FI18" s="327"/>
      <c r="FJ18" s="327"/>
      <c r="FK18" s="327"/>
      <c r="FL18" s="327"/>
      <c r="FM18" s="327"/>
      <c r="FN18" s="327"/>
      <c r="FO18" s="327"/>
      <c r="FP18" s="327"/>
      <c r="FQ18" s="327"/>
      <c r="FR18" s="327"/>
      <c r="FS18" s="327"/>
      <c r="FT18" s="327"/>
      <c r="FU18" s="327"/>
      <c r="FV18" s="327"/>
      <c r="FW18" s="327"/>
      <c r="FX18" s="327"/>
      <c r="FY18" s="327"/>
      <c r="FZ18" s="327"/>
      <c r="GA18" s="327"/>
      <c r="GB18" s="327"/>
      <c r="GC18" s="327"/>
      <c r="GD18" s="327"/>
      <c r="GE18" s="327"/>
      <c r="GF18" s="327"/>
      <c r="GG18" s="327"/>
      <c r="GH18" s="327"/>
      <c r="GI18" s="327"/>
      <c r="GJ18" s="327"/>
      <c r="GK18" s="327"/>
      <c r="GL18" s="327"/>
      <c r="GM18" s="327"/>
      <c r="GN18" s="327"/>
      <c r="GO18" s="327"/>
      <c r="GP18" s="327"/>
      <c r="GQ18" s="327"/>
      <c r="GR18" s="327"/>
      <c r="GS18" s="327"/>
      <c r="GT18" s="327"/>
      <c r="GU18" s="327"/>
      <c r="GV18" s="327"/>
      <c r="GW18" s="327"/>
      <c r="GX18" s="326"/>
      <c r="GY18" s="328"/>
      <c r="GZ18" s="327"/>
      <c r="HA18" s="327"/>
      <c r="HB18" s="327"/>
      <c r="HC18" s="327"/>
      <c r="HD18" s="327"/>
      <c r="HE18" s="327"/>
      <c r="HF18" s="327"/>
      <c r="HG18" s="327"/>
      <c r="HH18" s="327"/>
      <c r="HI18" s="327"/>
      <c r="HJ18" s="327"/>
      <c r="HK18" s="327"/>
      <c r="HL18" s="327"/>
      <c r="HM18" s="327"/>
      <c r="HN18" s="327"/>
      <c r="HO18" s="327"/>
      <c r="HP18" s="327"/>
      <c r="HQ18" s="327"/>
      <c r="HR18" s="327"/>
      <c r="HS18" s="327"/>
      <c r="HT18" s="327"/>
      <c r="HU18" s="327"/>
      <c r="HV18" s="327"/>
      <c r="HW18" s="327"/>
      <c r="HX18" s="327"/>
      <c r="HY18" s="327"/>
      <c r="HZ18" s="327"/>
      <c r="IA18" s="327"/>
      <c r="IB18" s="327"/>
      <c r="IC18" s="327"/>
      <c r="ID18" s="327"/>
      <c r="IE18" s="327"/>
      <c r="IF18" s="327"/>
      <c r="IG18" s="327"/>
      <c r="IH18" s="327"/>
      <c r="II18" s="327"/>
      <c r="IJ18" s="327"/>
      <c r="IK18" s="327"/>
      <c r="IL18" s="327"/>
      <c r="IM18" s="327"/>
      <c r="IN18" s="327"/>
      <c r="IO18" s="327"/>
      <c r="IP18" s="327"/>
      <c r="IQ18" s="327"/>
      <c r="IR18" s="327"/>
      <c r="IS18" s="327"/>
      <c r="IT18" s="327"/>
      <c r="IU18" s="327"/>
      <c r="IV18" s="327"/>
      <c r="IW18" s="327"/>
      <c r="IX18" s="327"/>
      <c r="IY18" s="327"/>
      <c r="IZ18" s="327"/>
      <c r="JA18" s="327"/>
      <c r="JB18" s="327"/>
      <c r="JC18" s="327"/>
      <c r="JD18" s="327"/>
      <c r="JE18" s="327"/>
      <c r="JF18" s="326"/>
    </row>
    <row r="19" spans="1:266" x14ac:dyDescent="0.25">
      <c r="A19" s="332" t="s">
        <v>1012</v>
      </c>
      <c r="B19" s="333" t="s">
        <v>1013</v>
      </c>
      <c r="C19" s="330"/>
      <c r="D19" s="329"/>
      <c r="E19" s="327"/>
      <c r="F19" s="327"/>
      <c r="G19" s="327"/>
      <c r="H19" s="327"/>
      <c r="I19" s="327"/>
      <c r="J19" s="327"/>
      <c r="K19" s="327"/>
      <c r="L19" s="327"/>
      <c r="M19" s="327"/>
      <c r="N19" s="326"/>
      <c r="O19" s="330"/>
      <c r="P19" s="329"/>
      <c r="Q19" s="327"/>
      <c r="R19" s="327"/>
      <c r="S19" s="327"/>
      <c r="T19" s="327"/>
      <c r="U19" s="327"/>
      <c r="V19" s="327"/>
      <c r="W19" s="328"/>
      <c r="X19" s="327"/>
      <c r="Y19" s="327"/>
      <c r="Z19" s="326"/>
      <c r="AA19" s="328"/>
      <c r="AB19" s="327"/>
      <c r="AC19" s="327"/>
      <c r="AD19" s="327"/>
      <c r="AE19" s="327"/>
      <c r="AF19" s="327"/>
      <c r="AG19" s="327"/>
      <c r="AH19" s="327"/>
      <c r="AI19" s="327"/>
      <c r="AJ19" s="327"/>
      <c r="AK19" s="327"/>
      <c r="AL19" s="327"/>
      <c r="AM19" s="327"/>
      <c r="AN19" s="327"/>
      <c r="AO19" s="327"/>
      <c r="AP19" s="327"/>
      <c r="AQ19" s="327"/>
      <c r="AR19" s="327"/>
      <c r="AS19" s="327"/>
      <c r="AT19" s="327"/>
      <c r="AU19" s="327"/>
      <c r="AV19" s="327"/>
      <c r="AW19" s="327"/>
      <c r="AX19" s="327"/>
      <c r="AY19" s="327"/>
      <c r="AZ19" s="327"/>
      <c r="BA19" s="327"/>
      <c r="BB19" s="327"/>
      <c r="BC19" s="327"/>
      <c r="BD19" s="327"/>
      <c r="BE19" s="327"/>
      <c r="BF19" s="327"/>
      <c r="BG19" s="327"/>
      <c r="BH19" s="327"/>
      <c r="BI19" s="327"/>
      <c r="BJ19" s="327"/>
      <c r="BK19" s="327"/>
      <c r="BL19" s="327"/>
      <c r="BM19" s="327"/>
      <c r="BN19" s="327"/>
      <c r="BO19" s="327"/>
      <c r="BP19" s="327"/>
      <c r="BQ19" s="327"/>
      <c r="BR19" s="327"/>
      <c r="BS19" s="327"/>
      <c r="BT19" s="327"/>
      <c r="BU19" s="327"/>
      <c r="BV19" s="327"/>
      <c r="BW19" s="327"/>
      <c r="BX19" s="327"/>
      <c r="BY19" s="327"/>
      <c r="BZ19" s="327"/>
      <c r="CA19" s="327"/>
      <c r="CB19" s="327"/>
      <c r="CC19" s="327"/>
      <c r="CD19" s="327"/>
      <c r="CE19" s="327"/>
      <c r="CF19" s="327"/>
      <c r="CG19" s="327"/>
      <c r="CH19" s="326"/>
      <c r="CI19" s="328"/>
      <c r="CJ19" s="327"/>
      <c r="CK19" s="327"/>
      <c r="CL19" s="327"/>
      <c r="CM19" s="327"/>
      <c r="CN19" s="327"/>
      <c r="CO19" s="327"/>
      <c r="CP19" s="327"/>
      <c r="CQ19" s="327"/>
      <c r="CR19" s="327"/>
      <c r="CS19" s="327"/>
      <c r="CT19" s="327"/>
      <c r="CU19" s="327"/>
      <c r="CV19" s="327"/>
      <c r="CW19" s="327"/>
      <c r="CX19" s="327"/>
      <c r="CY19" s="327"/>
      <c r="CZ19" s="327"/>
      <c r="DA19" s="327"/>
      <c r="DB19" s="327"/>
      <c r="DC19" s="327"/>
      <c r="DD19" s="327"/>
      <c r="DE19" s="327"/>
      <c r="DF19" s="327"/>
      <c r="DG19" s="327"/>
      <c r="DH19" s="327"/>
      <c r="DI19" s="327"/>
      <c r="DJ19" s="327"/>
      <c r="DK19" s="327"/>
      <c r="DL19" s="327"/>
      <c r="DM19" s="327"/>
      <c r="DN19" s="327"/>
      <c r="DO19" s="327"/>
      <c r="DP19" s="327"/>
      <c r="DQ19" s="327"/>
      <c r="DR19" s="327"/>
      <c r="DS19" s="327"/>
      <c r="DT19" s="327"/>
      <c r="DU19" s="327"/>
      <c r="DV19" s="327"/>
      <c r="DW19" s="327"/>
      <c r="DX19" s="327"/>
      <c r="DY19" s="327"/>
      <c r="DZ19" s="327"/>
      <c r="EA19" s="327"/>
      <c r="EB19" s="327"/>
      <c r="EC19" s="327"/>
      <c r="ED19" s="327"/>
      <c r="EE19" s="327"/>
      <c r="EF19" s="327"/>
      <c r="EG19" s="327"/>
      <c r="EH19" s="327"/>
      <c r="EI19" s="327"/>
      <c r="EJ19" s="327"/>
      <c r="EK19" s="327"/>
      <c r="EL19" s="327"/>
      <c r="EM19" s="327"/>
      <c r="EN19" s="327"/>
      <c r="EO19" s="327"/>
      <c r="EP19" s="326"/>
      <c r="EQ19" s="328"/>
      <c r="ER19" s="327"/>
      <c r="ES19" s="327"/>
      <c r="ET19" s="327"/>
      <c r="EU19" s="327"/>
      <c r="EV19" s="327"/>
      <c r="EW19" s="327"/>
      <c r="EX19" s="327"/>
      <c r="EY19" s="327"/>
      <c r="EZ19" s="327"/>
      <c r="FA19" s="327"/>
      <c r="FB19" s="327"/>
      <c r="FC19" s="327"/>
      <c r="FD19" s="327"/>
      <c r="FE19" s="327"/>
      <c r="FF19" s="327"/>
      <c r="FG19" s="327"/>
      <c r="FH19" s="327"/>
      <c r="FI19" s="327"/>
      <c r="FJ19" s="327"/>
      <c r="FK19" s="327"/>
      <c r="FL19" s="327"/>
      <c r="FM19" s="327"/>
      <c r="FN19" s="327"/>
      <c r="FO19" s="327"/>
      <c r="FP19" s="327"/>
      <c r="FQ19" s="327"/>
      <c r="FR19" s="327"/>
      <c r="FS19" s="327"/>
      <c r="FT19" s="327"/>
      <c r="FU19" s="327"/>
      <c r="FV19" s="327"/>
      <c r="FW19" s="327"/>
      <c r="FX19" s="327"/>
      <c r="FY19" s="327"/>
      <c r="FZ19" s="327"/>
      <c r="GA19" s="327"/>
      <c r="GB19" s="327"/>
      <c r="GC19" s="327"/>
      <c r="GD19" s="327"/>
      <c r="GE19" s="327"/>
      <c r="GF19" s="327"/>
      <c r="GG19" s="327"/>
      <c r="GH19" s="327"/>
      <c r="GI19" s="327"/>
      <c r="GJ19" s="327"/>
      <c r="GK19" s="327"/>
      <c r="GL19" s="327"/>
      <c r="GM19" s="327"/>
      <c r="GN19" s="327"/>
      <c r="GO19" s="327"/>
      <c r="GP19" s="327"/>
      <c r="GQ19" s="327"/>
      <c r="GR19" s="327"/>
      <c r="GS19" s="327"/>
      <c r="GT19" s="327"/>
      <c r="GU19" s="327"/>
      <c r="GV19" s="327"/>
      <c r="GW19" s="327"/>
      <c r="GX19" s="326"/>
      <c r="GY19" s="328"/>
      <c r="GZ19" s="327"/>
      <c r="HA19" s="327"/>
      <c r="HB19" s="327"/>
      <c r="HC19" s="327"/>
      <c r="HD19" s="327"/>
      <c r="HE19" s="327"/>
      <c r="HF19" s="327"/>
      <c r="HG19" s="327"/>
      <c r="HH19" s="327"/>
      <c r="HI19" s="327"/>
      <c r="HJ19" s="327"/>
      <c r="HK19" s="327"/>
      <c r="HL19" s="327"/>
      <c r="HM19" s="327"/>
      <c r="HN19" s="327"/>
      <c r="HO19" s="327"/>
      <c r="HP19" s="327"/>
      <c r="HQ19" s="327"/>
      <c r="HR19" s="327"/>
      <c r="HS19" s="327"/>
      <c r="HT19" s="327"/>
      <c r="HU19" s="327"/>
      <c r="HV19" s="327"/>
      <c r="HW19" s="327"/>
      <c r="HX19" s="327"/>
      <c r="HY19" s="327"/>
      <c r="HZ19" s="327"/>
      <c r="IA19" s="327"/>
      <c r="IB19" s="327"/>
      <c r="IC19" s="327"/>
      <c r="ID19" s="327"/>
      <c r="IE19" s="327"/>
      <c r="IF19" s="327"/>
      <c r="IG19" s="327"/>
      <c r="IH19" s="327"/>
      <c r="II19" s="327"/>
      <c r="IJ19" s="327"/>
      <c r="IK19" s="327"/>
      <c r="IL19" s="327"/>
      <c r="IM19" s="327"/>
      <c r="IN19" s="327"/>
      <c r="IO19" s="327"/>
      <c r="IP19" s="327"/>
      <c r="IQ19" s="327"/>
      <c r="IR19" s="327"/>
      <c r="IS19" s="327"/>
      <c r="IT19" s="327"/>
      <c r="IU19" s="327"/>
      <c r="IV19" s="327"/>
      <c r="IW19" s="327"/>
      <c r="IX19" s="327"/>
      <c r="IY19" s="327"/>
      <c r="IZ19" s="327"/>
      <c r="JA19" s="327"/>
      <c r="JB19" s="327"/>
      <c r="JC19" s="327"/>
      <c r="JD19" s="327"/>
      <c r="JE19" s="327"/>
      <c r="JF19" s="326"/>
    </row>
    <row r="20" spans="1:266" x14ac:dyDescent="0.25">
      <c r="A20" s="332" t="s">
        <v>1012</v>
      </c>
      <c r="B20" s="333" t="s">
        <v>1011</v>
      </c>
      <c r="C20" s="330"/>
      <c r="D20" s="329"/>
      <c r="E20" s="327"/>
      <c r="F20" s="327"/>
      <c r="G20" s="327"/>
      <c r="H20" s="327"/>
      <c r="I20" s="327"/>
      <c r="J20" s="327"/>
      <c r="K20" s="327"/>
      <c r="L20" s="327"/>
      <c r="M20" s="327"/>
      <c r="N20" s="326"/>
      <c r="O20" s="330"/>
      <c r="P20" s="329"/>
      <c r="Q20" s="327"/>
      <c r="R20" s="327"/>
      <c r="S20" s="327"/>
      <c r="T20" s="327"/>
      <c r="U20" s="327"/>
      <c r="V20" s="327"/>
      <c r="W20" s="328"/>
      <c r="X20" s="327"/>
      <c r="Y20" s="327"/>
      <c r="Z20" s="326"/>
      <c r="AA20" s="328"/>
      <c r="AB20" s="327"/>
      <c r="AC20" s="327"/>
      <c r="AD20" s="327"/>
      <c r="AE20" s="327"/>
      <c r="AF20" s="327"/>
      <c r="AG20" s="327"/>
      <c r="AH20" s="327"/>
      <c r="AI20" s="327"/>
      <c r="AJ20" s="327"/>
      <c r="AK20" s="327"/>
      <c r="AL20" s="327"/>
      <c r="AM20" s="327"/>
      <c r="AN20" s="327"/>
      <c r="AO20" s="327"/>
      <c r="AP20" s="327"/>
      <c r="AQ20" s="327"/>
      <c r="AR20" s="327"/>
      <c r="AS20" s="327"/>
      <c r="AT20" s="327"/>
      <c r="AU20" s="327"/>
      <c r="AV20" s="327"/>
      <c r="AW20" s="327"/>
      <c r="AX20" s="327"/>
      <c r="AY20" s="327"/>
      <c r="AZ20" s="327"/>
      <c r="BA20" s="327"/>
      <c r="BB20" s="327"/>
      <c r="BC20" s="327"/>
      <c r="BD20" s="327"/>
      <c r="BE20" s="327"/>
      <c r="BF20" s="327"/>
      <c r="BG20" s="327"/>
      <c r="BH20" s="327"/>
      <c r="BI20" s="327"/>
      <c r="BJ20" s="327"/>
      <c r="BK20" s="327"/>
      <c r="BL20" s="327"/>
      <c r="BM20" s="327"/>
      <c r="BN20" s="327"/>
      <c r="BO20" s="327"/>
      <c r="BP20" s="327"/>
      <c r="BQ20" s="327"/>
      <c r="BR20" s="327"/>
      <c r="BS20" s="327"/>
      <c r="BT20" s="327"/>
      <c r="BU20" s="327"/>
      <c r="BV20" s="327"/>
      <c r="BW20" s="327"/>
      <c r="BX20" s="327"/>
      <c r="BY20" s="327"/>
      <c r="BZ20" s="327"/>
      <c r="CA20" s="327"/>
      <c r="CB20" s="327"/>
      <c r="CC20" s="327"/>
      <c r="CD20" s="327"/>
      <c r="CE20" s="327"/>
      <c r="CF20" s="327"/>
      <c r="CG20" s="327"/>
      <c r="CH20" s="326"/>
      <c r="CI20" s="328"/>
      <c r="CJ20" s="327"/>
      <c r="CK20" s="327"/>
      <c r="CL20" s="327"/>
      <c r="CM20" s="327"/>
      <c r="CN20" s="327"/>
      <c r="CO20" s="327"/>
      <c r="CP20" s="327"/>
      <c r="CQ20" s="327"/>
      <c r="CR20" s="327"/>
      <c r="CS20" s="327"/>
      <c r="CT20" s="327"/>
      <c r="CU20" s="327"/>
      <c r="CV20" s="327"/>
      <c r="CW20" s="327"/>
      <c r="CX20" s="327"/>
      <c r="CY20" s="327"/>
      <c r="CZ20" s="327"/>
      <c r="DA20" s="327"/>
      <c r="DB20" s="327"/>
      <c r="DC20" s="327"/>
      <c r="DD20" s="327"/>
      <c r="DE20" s="327"/>
      <c r="DF20" s="327"/>
      <c r="DG20" s="327"/>
      <c r="DH20" s="327"/>
      <c r="DI20" s="327"/>
      <c r="DJ20" s="327"/>
      <c r="DK20" s="327"/>
      <c r="DL20" s="327"/>
      <c r="DM20" s="327"/>
      <c r="DN20" s="327"/>
      <c r="DO20" s="327"/>
      <c r="DP20" s="327"/>
      <c r="DQ20" s="327"/>
      <c r="DR20" s="327"/>
      <c r="DS20" s="327"/>
      <c r="DT20" s="327"/>
      <c r="DU20" s="327"/>
      <c r="DV20" s="327"/>
      <c r="DW20" s="327"/>
      <c r="DX20" s="327"/>
      <c r="DY20" s="327"/>
      <c r="DZ20" s="327"/>
      <c r="EA20" s="327"/>
      <c r="EB20" s="327"/>
      <c r="EC20" s="327"/>
      <c r="ED20" s="327"/>
      <c r="EE20" s="327"/>
      <c r="EF20" s="327"/>
      <c r="EG20" s="327"/>
      <c r="EH20" s="327"/>
      <c r="EI20" s="327"/>
      <c r="EJ20" s="327"/>
      <c r="EK20" s="327"/>
      <c r="EL20" s="327"/>
      <c r="EM20" s="327"/>
      <c r="EN20" s="327"/>
      <c r="EO20" s="327"/>
      <c r="EP20" s="326"/>
      <c r="EQ20" s="328"/>
      <c r="ER20" s="327"/>
      <c r="ES20" s="327"/>
      <c r="ET20" s="327"/>
      <c r="EU20" s="327"/>
      <c r="EV20" s="327"/>
      <c r="EW20" s="327"/>
      <c r="EX20" s="327"/>
      <c r="EY20" s="327"/>
      <c r="EZ20" s="327"/>
      <c r="FA20" s="327"/>
      <c r="FB20" s="327"/>
      <c r="FC20" s="327"/>
      <c r="FD20" s="327"/>
      <c r="FE20" s="327"/>
      <c r="FF20" s="327"/>
      <c r="FG20" s="327"/>
      <c r="FH20" s="327"/>
      <c r="FI20" s="327"/>
      <c r="FJ20" s="327"/>
      <c r="FK20" s="327"/>
      <c r="FL20" s="327"/>
      <c r="FM20" s="327"/>
      <c r="FN20" s="327"/>
      <c r="FO20" s="327"/>
      <c r="FP20" s="327"/>
      <c r="FQ20" s="327"/>
      <c r="FR20" s="327"/>
      <c r="FS20" s="327"/>
      <c r="FT20" s="327"/>
      <c r="FU20" s="327"/>
      <c r="FV20" s="327"/>
      <c r="FW20" s="327"/>
      <c r="FX20" s="327"/>
      <c r="FY20" s="327"/>
      <c r="FZ20" s="327"/>
      <c r="GA20" s="327"/>
      <c r="GB20" s="327"/>
      <c r="GC20" s="327"/>
      <c r="GD20" s="327"/>
      <c r="GE20" s="327"/>
      <c r="GF20" s="327"/>
      <c r="GG20" s="327"/>
      <c r="GH20" s="327"/>
      <c r="GI20" s="327"/>
      <c r="GJ20" s="327"/>
      <c r="GK20" s="327"/>
      <c r="GL20" s="327"/>
      <c r="GM20" s="327"/>
      <c r="GN20" s="327"/>
      <c r="GO20" s="327"/>
      <c r="GP20" s="327"/>
      <c r="GQ20" s="327"/>
      <c r="GR20" s="327"/>
      <c r="GS20" s="327"/>
      <c r="GT20" s="327"/>
      <c r="GU20" s="327"/>
      <c r="GV20" s="327"/>
      <c r="GW20" s="327"/>
      <c r="GX20" s="326"/>
      <c r="GY20" s="328"/>
      <c r="GZ20" s="327"/>
      <c r="HA20" s="327"/>
      <c r="HB20" s="327"/>
      <c r="HC20" s="327"/>
      <c r="HD20" s="327"/>
      <c r="HE20" s="327"/>
      <c r="HF20" s="327"/>
      <c r="HG20" s="327"/>
      <c r="HH20" s="327"/>
      <c r="HI20" s="327"/>
      <c r="HJ20" s="327"/>
      <c r="HK20" s="327"/>
      <c r="HL20" s="327"/>
      <c r="HM20" s="327"/>
      <c r="HN20" s="327"/>
      <c r="HO20" s="327"/>
      <c r="HP20" s="327"/>
      <c r="HQ20" s="327"/>
      <c r="HR20" s="327"/>
      <c r="HS20" s="327"/>
      <c r="HT20" s="327"/>
      <c r="HU20" s="327"/>
      <c r="HV20" s="327"/>
      <c r="HW20" s="327"/>
      <c r="HX20" s="327"/>
      <c r="HY20" s="327"/>
      <c r="HZ20" s="327"/>
      <c r="IA20" s="327"/>
      <c r="IB20" s="327"/>
      <c r="IC20" s="327"/>
      <c r="ID20" s="327"/>
      <c r="IE20" s="327"/>
      <c r="IF20" s="327"/>
      <c r="IG20" s="327"/>
      <c r="IH20" s="327"/>
      <c r="II20" s="327"/>
      <c r="IJ20" s="327"/>
      <c r="IK20" s="327"/>
      <c r="IL20" s="327"/>
      <c r="IM20" s="327"/>
      <c r="IN20" s="327"/>
      <c r="IO20" s="327"/>
      <c r="IP20" s="327"/>
      <c r="IQ20" s="327"/>
      <c r="IR20" s="327"/>
      <c r="IS20" s="327"/>
      <c r="IT20" s="327"/>
      <c r="IU20" s="327"/>
      <c r="IV20" s="327"/>
      <c r="IW20" s="327"/>
      <c r="IX20" s="327"/>
      <c r="IY20" s="327"/>
      <c r="IZ20" s="327"/>
      <c r="JA20" s="327"/>
      <c r="JB20" s="327"/>
      <c r="JC20" s="327"/>
      <c r="JD20" s="327"/>
      <c r="JE20" s="327"/>
      <c r="JF20" s="326"/>
    </row>
    <row r="21" spans="1:266" x14ac:dyDescent="0.25">
      <c r="A21" s="332" t="s">
        <v>1010</v>
      </c>
      <c r="B21" s="333" t="s">
        <v>1009</v>
      </c>
      <c r="C21" s="330"/>
      <c r="D21" s="329"/>
      <c r="E21" s="327"/>
      <c r="F21" s="327"/>
      <c r="G21" s="327"/>
      <c r="H21" s="327"/>
      <c r="I21" s="327"/>
      <c r="J21" s="327"/>
      <c r="K21" s="327"/>
      <c r="L21" s="327"/>
      <c r="M21" s="327"/>
      <c r="N21" s="326"/>
      <c r="O21" s="330"/>
      <c r="P21" s="329"/>
      <c r="Q21" s="327"/>
      <c r="R21" s="327"/>
      <c r="S21" s="327"/>
      <c r="T21" s="327"/>
      <c r="U21" s="327"/>
      <c r="V21" s="327"/>
      <c r="W21" s="328"/>
      <c r="X21" s="327"/>
      <c r="Y21" s="327"/>
      <c r="Z21" s="326"/>
      <c r="AA21" s="328"/>
      <c r="AB21" s="327"/>
      <c r="AC21" s="327"/>
      <c r="AD21" s="327"/>
      <c r="AE21" s="327"/>
      <c r="AF21" s="327"/>
      <c r="AG21" s="327"/>
      <c r="AH21" s="327"/>
      <c r="AI21" s="327"/>
      <c r="AJ21" s="327"/>
      <c r="AK21" s="327"/>
      <c r="AL21" s="327"/>
      <c r="AM21" s="327"/>
      <c r="AN21" s="327"/>
      <c r="AO21" s="327"/>
      <c r="AP21" s="327"/>
      <c r="AQ21" s="327"/>
      <c r="AR21" s="327"/>
      <c r="AS21" s="327"/>
      <c r="AT21" s="327"/>
      <c r="AU21" s="327"/>
      <c r="AV21" s="327"/>
      <c r="AW21" s="327"/>
      <c r="AX21" s="327"/>
      <c r="AY21" s="327"/>
      <c r="AZ21" s="327"/>
      <c r="BA21" s="327"/>
      <c r="BB21" s="327"/>
      <c r="BC21" s="327"/>
      <c r="BD21" s="327"/>
      <c r="BE21" s="327"/>
      <c r="BF21" s="327"/>
      <c r="BG21" s="327"/>
      <c r="BH21" s="327"/>
      <c r="BI21" s="327"/>
      <c r="BJ21" s="327"/>
      <c r="BK21" s="327"/>
      <c r="BL21" s="327"/>
      <c r="BM21" s="327"/>
      <c r="BN21" s="327"/>
      <c r="BO21" s="327"/>
      <c r="BP21" s="327"/>
      <c r="BQ21" s="327"/>
      <c r="BR21" s="327"/>
      <c r="BS21" s="327"/>
      <c r="BT21" s="327"/>
      <c r="BU21" s="327"/>
      <c r="BV21" s="327"/>
      <c r="BW21" s="327"/>
      <c r="BX21" s="327"/>
      <c r="BY21" s="327"/>
      <c r="BZ21" s="327"/>
      <c r="CA21" s="327"/>
      <c r="CB21" s="327"/>
      <c r="CC21" s="327"/>
      <c r="CD21" s="327"/>
      <c r="CE21" s="327"/>
      <c r="CF21" s="327"/>
      <c r="CG21" s="327"/>
      <c r="CH21" s="326"/>
      <c r="CI21" s="328"/>
      <c r="CJ21" s="327"/>
      <c r="CK21" s="327"/>
      <c r="CL21" s="327"/>
      <c r="CM21" s="327"/>
      <c r="CN21" s="327"/>
      <c r="CO21" s="327"/>
      <c r="CP21" s="327"/>
      <c r="CQ21" s="327"/>
      <c r="CR21" s="327"/>
      <c r="CS21" s="327"/>
      <c r="CT21" s="327"/>
      <c r="CU21" s="327"/>
      <c r="CV21" s="327"/>
      <c r="CW21" s="327"/>
      <c r="CX21" s="327"/>
      <c r="CY21" s="327"/>
      <c r="CZ21" s="327"/>
      <c r="DA21" s="327"/>
      <c r="DB21" s="327"/>
      <c r="DC21" s="327"/>
      <c r="DD21" s="327"/>
      <c r="DE21" s="327"/>
      <c r="DF21" s="327"/>
      <c r="DG21" s="327"/>
      <c r="DH21" s="327"/>
      <c r="DI21" s="327"/>
      <c r="DJ21" s="327"/>
      <c r="DK21" s="327"/>
      <c r="DL21" s="327"/>
      <c r="DM21" s="327"/>
      <c r="DN21" s="327"/>
      <c r="DO21" s="327"/>
      <c r="DP21" s="327"/>
      <c r="DQ21" s="327"/>
      <c r="DR21" s="327"/>
      <c r="DS21" s="327"/>
      <c r="DT21" s="327"/>
      <c r="DU21" s="327"/>
      <c r="DV21" s="327"/>
      <c r="DW21" s="327"/>
      <c r="DX21" s="327"/>
      <c r="DY21" s="327"/>
      <c r="DZ21" s="327"/>
      <c r="EA21" s="327"/>
      <c r="EB21" s="327"/>
      <c r="EC21" s="327"/>
      <c r="ED21" s="327"/>
      <c r="EE21" s="327"/>
      <c r="EF21" s="327"/>
      <c r="EG21" s="327"/>
      <c r="EH21" s="327"/>
      <c r="EI21" s="327"/>
      <c r="EJ21" s="327"/>
      <c r="EK21" s="327"/>
      <c r="EL21" s="327"/>
      <c r="EM21" s="327"/>
      <c r="EN21" s="327"/>
      <c r="EO21" s="327"/>
      <c r="EP21" s="326"/>
      <c r="EQ21" s="328"/>
      <c r="ER21" s="327"/>
      <c r="ES21" s="327"/>
      <c r="ET21" s="327"/>
      <c r="EU21" s="327"/>
      <c r="EV21" s="327"/>
      <c r="EW21" s="327"/>
      <c r="EX21" s="327"/>
      <c r="EY21" s="327"/>
      <c r="EZ21" s="327"/>
      <c r="FA21" s="327"/>
      <c r="FB21" s="327"/>
      <c r="FC21" s="327"/>
      <c r="FD21" s="327"/>
      <c r="FE21" s="327"/>
      <c r="FF21" s="327"/>
      <c r="FG21" s="327"/>
      <c r="FH21" s="327"/>
      <c r="FI21" s="327"/>
      <c r="FJ21" s="327"/>
      <c r="FK21" s="327"/>
      <c r="FL21" s="327"/>
      <c r="FM21" s="327"/>
      <c r="FN21" s="327"/>
      <c r="FO21" s="327"/>
      <c r="FP21" s="327"/>
      <c r="FQ21" s="327"/>
      <c r="FR21" s="327"/>
      <c r="FS21" s="327"/>
      <c r="FT21" s="327"/>
      <c r="FU21" s="327"/>
      <c r="FV21" s="327"/>
      <c r="FW21" s="327"/>
      <c r="FX21" s="327"/>
      <c r="FY21" s="327"/>
      <c r="FZ21" s="327"/>
      <c r="GA21" s="327"/>
      <c r="GB21" s="327"/>
      <c r="GC21" s="327"/>
      <c r="GD21" s="327"/>
      <c r="GE21" s="327"/>
      <c r="GF21" s="327"/>
      <c r="GG21" s="327"/>
      <c r="GH21" s="327"/>
      <c r="GI21" s="327"/>
      <c r="GJ21" s="327"/>
      <c r="GK21" s="327"/>
      <c r="GL21" s="327"/>
      <c r="GM21" s="327"/>
      <c r="GN21" s="327"/>
      <c r="GO21" s="327"/>
      <c r="GP21" s="327"/>
      <c r="GQ21" s="327"/>
      <c r="GR21" s="327"/>
      <c r="GS21" s="327"/>
      <c r="GT21" s="327"/>
      <c r="GU21" s="327"/>
      <c r="GV21" s="327"/>
      <c r="GW21" s="327"/>
      <c r="GX21" s="326"/>
      <c r="GY21" s="328"/>
      <c r="GZ21" s="327"/>
      <c r="HA21" s="327"/>
      <c r="HB21" s="327"/>
      <c r="HC21" s="327"/>
      <c r="HD21" s="327"/>
      <c r="HE21" s="327"/>
      <c r="HF21" s="327"/>
      <c r="HG21" s="327"/>
      <c r="HH21" s="327"/>
      <c r="HI21" s="327"/>
      <c r="HJ21" s="327"/>
      <c r="HK21" s="327"/>
      <c r="HL21" s="327"/>
      <c r="HM21" s="327"/>
      <c r="HN21" s="327"/>
      <c r="HO21" s="327"/>
      <c r="HP21" s="327"/>
      <c r="HQ21" s="327"/>
      <c r="HR21" s="327"/>
      <c r="HS21" s="327"/>
      <c r="HT21" s="327"/>
      <c r="HU21" s="327"/>
      <c r="HV21" s="327"/>
      <c r="HW21" s="327"/>
      <c r="HX21" s="327"/>
      <c r="HY21" s="327"/>
      <c r="HZ21" s="327"/>
      <c r="IA21" s="327"/>
      <c r="IB21" s="327"/>
      <c r="IC21" s="327"/>
      <c r="ID21" s="327"/>
      <c r="IE21" s="327"/>
      <c r="IF21" s="327"/>
      <c r="IG21" s="327"/>
      <c r="IH21" s="327"/>
      <c r="II21" s="327"/>
      <c r="IJ21" s="327"/>
      <c r="IK21" s="327"/>
      <c r="IL21" s="327"/>
      <c r="IM21" s="327"/>
      <c r="IN21" s="327"/>
      <c r="IO21" s="327"/>
      <c r="IP21" s="327"/>
      <c r="IQ21" s="327"/>
      <c r="IR21" s="327"/>
      <c r="IS21" s="327"/>
      <c r="IT21" s="327"/>
      <c r="IU21" s="327"/>
      <c r="IV21" s="327"/>
      <c r="IW21" s="327"/>
      <c r="IX21" s="327"/>
      <c r="IY21" s="327"/>
      <c r="IZ21" s="327"/>
      <c r="JA21" s="327"/>
      <c r="JB21" s="327"/>
      <c r="JC21" s="327"/>
      <c r="JD21" s="327"/>
      <c r="JE21" s="327"/>
      <c r="JF21" s="326"/>
    </row>
    <row r="22" spans="1:266" x14ac:dyDescent="0.25">
      <c r="A22" s="332" t="s">
        <v>1007</v>
      </c>
      <c r="B22" s="333" t="s">
        <v>1008</v>
      </c>
      <c r="C22" s="330"/>
      <c r="D22" s="329"/>
      <c r="E22" s="327"/>
      <c r="F22" s="327"/>
      <c r="G22" s="327"/>
      <c r="H22" s="327"/>
      <c r="I22" s="327"/>
      <c r="J22" s="327"/>
      <c r="K22" s="327"/>
      <c r="L22" s="327"/>
      <c r="M22" s="327"/>
      <c r="N22" s="326"/>
      <c r="O22" s="330"/>
      <c r="P22" s="329"/>
      <c r="Q22" s="327"/>
      <c r="R22" s="327"/>
      <c r="S22" s="327"/>
      <c r="T22" s="327"/>
      <c r="U22" s="327"/>
      <c r="V22" s="327"/>
      <c r="W22" s="328"/>
      <c r="X22" s="327"/>
      <c r="Y22" s="327"/>
      <c r="Z22" s="326"/>
      <c r="AA22" s="328"/>
      <c r="AB22" s="327"/>
      <c r="AC22" s="327"/>
      <c r="AD22" s="327"/>
      <c r="AE22" s="327"/>
      <c r="AF22" s="327"/>
      <c r="AG22" s="327"/>
      <c r="AH22" s="327"/>
      <c r="AI22" s="327"/>
      <c r="AJ22" s="327"/>
      <c r="AK22" s="327"/>
      <c r="AL22" s="327"/>
      <c r="AM22" s="327"/>
      <c r="AN22" s="327"/>
      <c r="AO22" s="327"/>
      <c r="AP22" s="327"/>
      <c r="AQ22" s="327"/>
      <c r="AR22" s="327"/>
      <c r="AS22" s="327"/>
      <c r="AT22" s="327"/>
      <c r="AU22" s="327"/>
      <c r="AV22" s="327"/>
      <c r="AW22" s="327"/>
      <c r="AX22" s="327"/>
      <c r="AY22" s="327"/>
      <c r="AZ22" s="327"/>
      <c r="BA22" s="327"/>
      <c r="BB22" s="327"/>
      <c r="BC22" s="327"/>
      <c r="BD22" s="327"/>
      <c r="BE22" s="327"/>
      <c r="BF22" s="327"/>
      <c r="BG22" s="327"/>
      <c r="BH22" s="327"/>
      <c r="BI22" s="327"/>
      <c r="BJ22" s="327"/>
      <c r="BK22" s="327"/>
      <c r="BL22" s="327"/>
      <c r="BM22" s="327"/>
      <c r="BN22" s="327"/>
      <c r="BO22" s="327"/>
      <c r="BP22" s="327"/>
      <c r="BQ22" s="327"/>
      <c r="BR22" s="327"/>
      <c r="BS22" s="327"/>
      <c r="BT22" s="327"/>
      <c r="BU22" s="327"/>
      <c r="BV22" s="327"/>
      <c r="BW22" s="327"/>
      <c r="BX22" s="327"/>
      <c r="BY22" s="327"/>
      <c r="BZ22" s="327"/>
      <c r="CA22" s="327"/>
      <c r="CB22" s="327"/>
      <c r="CC22" s="327"/>
      <c r="CD22" s="327"/>
      <c r="CE22" s="327"/>
      <c r="CF22" s="327"/>
      <c r="CG22" s="327"/>
      <c r="CH22" s="326"/>
      <c r="CI22" s="328"/>
      <c r="CJ22" s="327"/>
      <c r="CK22" s="327"/>
      <c r="CL22" s="327"/>
      <c r="CM22" s="327"/>
      <c r="CN22" s="327"/>
      <c r="CO22" s="327"/>
      <c r="CP22" s="327"/>
      <c r="CQ22" s="327"/>
      <c r="CR22" s="327"/>
      <c r="CS22" s="327"/>
      <c r="CT22" s="327"/>
      <c r="CU22" s="327"/>
      <c r="CV22" s="327"/>
      <c r="CW22" s="327"/>
      <c r="CX22" s="327"/>
      <c r="CY22" s="327"/>
      <c r="CZ22" s="327"/>
      <c r="DA22" s="327"/>
      <c r="DB22" s="327"/>
      <c r="DC22" s="327"/>
      <c r="DD22" s="327"/>
      <c r="DE22" s="327"/>
      <c r="DF22" s="327"/>
      <c r="DG22" s="327"/>
      <c r="DH22" s="327"/>
      <c r="DI22" s="327"/>
      <c r="DJ22" s="327"/>
      <c r="DK22" s="327"/>
      <c r="DL22" s="327"/>
      <c r="DM22" s="327"/>
      <c r="DN22" s="327"/>
      <c r="DO22" s="327"/>
      <c r="DP22" s="327"/>
      <c r="DQ22" s="327"/>
      <c r="DR22" s="327"/>
      <c r="DS22" s="327"/>
      <c r="DT22" s="327"/>
      <c r="DU22" s="327"/>
      <c r="DV22" s="327"/>
      <c r="DW22" s="327"/>
      <c r="DX22" s="327"/>
      <c r="DY22" s="327"/>
      <c r="DZ22" s="327"/>
      <c r="EA22" s="327"/>
      <c r="EB22" s="327"/>
      <c r="EC22" s="327"/>
      <c r="ED22" s="327"/>
      <c r="EE22" s="327"/>
      <c r="EF22" s="327"/>
      <c r="EG22" s="327"/>
      <c r="EH22" s="327"/>
      <c r="EI22" s="327"/>
      <c r="EJ22" s="327"/>
      <c r="EK22" s="327"/>
      <c r="EL22" s="327"/>
      <c r="EM22" s="327"/>
      <c r="EN22" s="327"/>
      <c r="EO22" s="327"/>
      <c r="EP22" s="326"/>
      <c r="EQ22" s="328"/>
      <c r="ER22" s="327"/>
      <c r="ES22" s="327"/>
      <c r="ET22" s="327"/>
      <c r="EU22" s="327"/>
      <c r="EV22" s="327"/>
      <c r="EW22" s="327"/>
      <c r="EX22" s="327"/>
      <c r="EY22" s="327"/>
      <c r="EZ22" s="327"/>
      <c r="FA22" s="327"/>
      <c r="FB22" s="327"/>
      <c r="FC22" s="327"/>
      <c r="FD22" s="327"/>
      <c r="FE22" s="327"/>
      <c r="FF22" s="327"/>
      <c r="FG22" s="327"/>
      <c r="FH22" s="327"/>
      <c r="FI22" s="327"/>
      <c r="FJ22" s="327"/>
      <c r="FK22" s="327"/>
      <c r="FL22" s="327"/>
      <c r="FM22" s="327"/>
      <c r="FN22" s="327"/>
      <c r="FO22" s="327"/>
      <c r="FP22" s="327"/>
      <c r="FQ22" s="327"/>
      <c r="FR22" s="327"/>
      <c r="FS22" s="327"/>
      <c r="FT22" s="327"/>
      <c r="FU22" s="327"/>
      <c r="FV22" s="327"/>
      <c r="FW22" s="327"/>
      <c r="FX22" s="327"/>
      <c r="FY22" s="327"/>
      <c r="FZ22" s="327"/>
      <c r="GA22" s="327"/>
      <c r="GB22" s="327"/>
      <c r="GC22" s="327"/>
      <c r="GD22" s="327"/>
      <c r="GE22" s="327"/>
      <c r="GF22" s="327"/>
      <c r="GG22" s="327"/>
      <c r="GH22" s="327"/>
      <c r="GI22" s="327"/>
      <c r="GJ22" s="327"/>
      <c r="GK22" s="327"/>
      <c r="GL22" s="327"/>
      <c r="GM22" s="327"/>
      <c r="GN22" s="327"/>
      <c r="GO22" s="327"/>
      <c r="GP22" s="327"/>
      <c r="GQ22" s="327"/>
      <c r="GR22" s="327"/>
      <c r="GS22" s="327"/>
      <c r="GT22" s="327"/>
      <c r="GU22" s="327"/>
      <c r="GV22" s="327"/>
      <c r="GW22" s="327"/>
      <c r="GX22" s="326"/>
      <c r="GY22" s="328"/>
      <c r="GZ22" s="327"/>
      <c r="HA22" s="327"/>
      <c r="HB22" s="327"/>
      <c r="HC22" s="327"/>
      <c r="HD22" s="327"/>
      <c r="HE22" s="327"/>
      <c r="HF22" s="327"/>
      <c r="HG22" s="327"/>
      <c r="HH22" s="327"/>
      <c r="HI22" s="327"/>
      <c r="HJ22" s="327"/>
      <c r="HK22" s="327"/>
      <c r="HL22" s="327"/>
      <c r="HM22" s="327"/>
      <c r="HN22" s="327"/>
      <c r="HO22" s="327"/>
      <c r="HP22" s="327"/>
      <c r="HQ22" s="327"/>
      <c r="HR22" s="327"/>
      <c r="HS22" s="327"/>
      <c r="HT22" s="327"/>
      <c r="HU22" s="327"/>
      <c r="HV22" s="327"/>
      <c r="HW22" s="327"/>
      <c r="HX22" s="327"/>
      <c r="HY22" s="327"/>
      <c r="HZ22" s="327"/>
      <c r="IA22" s="327"/>
      <c r="IB22" s="327"/>
      <c r="IC22" s="327"/>
      <c r="ID22" s="327"/>
      <c r="IE22" s="327"/>
      <c r="IF22" s="327"/>
      <c r="IG22" s="327"/>
      <c r="IH22" s="327"/>
      <c r="II22" s="327"/>
      <c r="IJ22" s="327"/>
      <c r="IK22" s="327"/>
      <c r="IL22" s="327"/>
      <c r="IM22" s="327"/>
      <c r="IN22" s="327"/>
      <c r="IO22" s="327"/>
      <c r="IP22" s="327"/>
      <c r="IQ22" s="327"/>
      <c r="IR22" s="327"/>
      <c r="IS22" s="327"/>
      <c r="IT22" s="327"/>
      <c r="IU22" s="327"/>
      <c r="IV22" s="327"/>
      <c r="IW22" s="327"/>
      <c r="IX22" s="327"/>
      <c r="IY22" s="327"/>
      <c r="IZ22" s="327"/>
      <c r="JA22" s="327"/>
      <c r="JB22" s="327"/>
      <c r="JC22" s="327"/>
      <c r="JD22" s="327"/>
      <c r="JE22" s="327"/>
      <c r="JF22" s="326"/>
    </row>
    <row r="23" spans="1:266" x14ac:dyDescent="0.25">
      <c r="A23" s="332" t="s">
        <v>1007</v>
      </c>
      <c r="B23" s="333" t="s">
        <v>1006</v>
      </c>
      <c r="C23" s="330"/>
      <c r="D23" s="329"/>
      <c r="E23" s="327"/>
      <c r="F23" s="327"/>
      <c r="G23" s="327"/>
      <c r="H23" s="327"/>
      <c r="I23" s="327"/>
      <c r="J23" s="327"/>
      <c r="K23" s="327"/>
      <c r="L23" s="327"/>
      <c r="M23" s="327"/>
      <c r="N23" s="326"/>
      <c r="O23" s="330"/>
      <c r="P23" s="329"/>
      <c r="Q23" s="327"/>
      <c r="R23" s="327"/>
      <c r="S23" s="327"/>
      <c r="T23" s="327"/>
      <c r="U23" s="327"/>
      <c r="V23" s="327"/>
      <c r="W23" s="328"/>
      <c r="X23" s="327"/>
      <c r="Y23" s="327"/>
      <c r="Z23" s="326"/>
      <c r="AA23" s="328"/>
      <c r="AB23" s="327"/>
      <c r="AC23" s="327"/>
      <c r="AD23" s="327"/>
      <c r="AE23" s="327"/>
      <c r="AF23" s="327"/>
      <c r="AG23" s="327"/>
      <c r="AH23" s="327"/>
      <c r="AI23" s="327"/>
      <c r="AJ23" s="327"/>
      <c r="AK23" s="327"/>
      <c r="AL23" s="327"/>
      <c r="AM23" s="327"/>
      <c r="AN23" s="327"/>
      <c r="AO23" s="327"/>
      <c r="AP23" s="327"/>
      <c r="AQ23" s="327"/>
      <c r="AR23" s="327"/>
      <c r="AS23" s="327"/>
      <c r="AT23" s="327"/>
      <c r="AU23" s="327"/>
      <c r="AV23" s="327"/>
      <c r="AW23" s="327"/>
      <c r="AX23" s="327"/>
      <c r="AY23" s="327"/>
      <c r="AZ23" s="327"/>
      <c r="BA23" s="327"/>
      <c r="BB23" s="327"/>
      <c r="BC23" s="327"/>
      <c r="BD23" s="327"/>
      <c r="BE23" s="327"/>
      <c r="BF23" s="327"/>
      <c r="BG23" s="327"/>
      <c r="BH23" s="327"/>
      <c r="BI23" s="327"/>
      <c r="BJ23" s="327"/>
      <c r="BK23" s="327"/>
      <c r="BL23" s="327"/>
      <c r="BM23" s="327"/>
      <c r="BN23" s="327"/>
      <c r="BO23" s="327"/>
      <c r="BP23" s="327"/>
      <c r="BQ23" s="327"/>
      <c r="BR23" s="327"/>
      <c r="BS23" s="327"/>
      <c r="BT23" s="327"/>
      <c r="BU23" s="327"/>
      <c r="BV23" s="327"/>
      <c r="BW23" s="327"/>
      <c r="BX23" s="327"/>
      <c r="BY23" s="327"/>
      <c r="BZ23" s="327"/>
      <c r="CA23" s="327"/>
      <c r="CB23" s="327"/>
      <c r="CC23" s="327"/>
      <c r="CD23" s="327"/>
      <c r="CE23" s="327"/>
      <c r="CF23" s="327"/>
      <c r="CG23" s="327"/>
      <c r="CH23" s="326"/>
      <c r="CI23" s="328"/>
      <c r="CJ23" s="327"/>
      <c r="CK23" s="327"/>
      <c r="CL23" s="327"/>
      <c r="CM23" s="327"/>
      <c r="CN23" s="327"/>
      <c r="CO23" s="327"/>
      <c r="CP23" s="327"/>
      <c r="CQ23" s="327"/>
      <c r="CR23" s="327"/>
      <c r="CS23" s="327"/>
      <c r="CT23" s="327"/>
      <c r="CU23" s="327"/>
      <c r="CV23" s="327"/>
      <c r="CW23" s="327"/>
      <c r="CX23" s="327"/>
      <c r="CY23" s="327"/>
      <c r="CZ23" s="327"/>
      <c r="DA23" s="327"/>
      <c r="DB23" s="327"/>
      <c r="DC23" s="327"/>
      <c r="DD23" s="327"/>
      <c r="DE23" s="327"/>
      <c r="DF23" s="327"/>
      <c r="DG23" s="327"/>
      <c r="DH23" s="327"/>
      <c r="DI23" s="327"/>
      <c r="DJ23" s="327"/>
      <c r="DK23" s="327"/>
      <c r="DL23" s="327"/>
      <c r="DM23" s="327"/>
      <c r="DN23" s="327"/>
      <c r="DO23" s="327"/>
      <c r="DP23" s="327"/>
      <c r="DQ23" s="327"/>
      <c r="DR23" s="327"/>
      <c r="DS23" s="327"/>
      <c r="DT23" s="327"/>
      <c r="DU23" s="327"/>
      <c r="DV23" s="327"/>
      <c r="DW23" s="327"/>
      <c r="DX23" s="327"/>
      <c r="DY23" s="327"/>
      <c r="DZ23" s="327"/>
      <c r="EA23" s="327"/>
      <c r="EB23" s="327"/>
      <c r="EC23" s="327"/>
      <c r="ED23" s="327"/>
      <c r="EE23" s="327"/>
      <c r="EF23" s="327"/>
      <c r="EG23" s="327"/>
      <c r="EH23" s="327"/>
      <c r="EI23" s="327"/>
      <c r="EJ23" s="327"/>
      <c r="EK23" s="327"/>
      <c r="EL23" s="327"/>
      <c r="EM23" s="327"/>
      <c r="EN23" s="327"/>
      <c r="EO23" s="327"/>
      <c r="EP23" s="326"/>
      <c r="EQ23" s="328"/>
      <c r="ER23" s="327"/>
      <c r="ES23" s="327"/>
      <c r="ET23" s="327"/>
      <c r="EU23" s="327"/>
      <c r="EV23" s="327"/>
      <c r="EW23" s="327"/>
      <c r="EX23" s="327"/>
      <c r="EY23" s="327"/>
      <c r="EZ23" s="327"/>
      <c r="FA23" s="327"/>
      <c r="FB23" s="327"/>
      <c r="FC23" s="327"/>
      <c r="FD23" s="327"/>
      <c r="FE23" s="327"/>
      <c r="FF23" s="327"/>
      <c r="FG23" s="327"/>
      <c r="FH23" s="327"/>
      <c r="FI23" s="327"/>
      <c r="FJ23" s="327"/>
      <c r="FK23" s="327"/>
      <c r="FL23" s="327"/>
      <c r="FM23" s="327"/>
      <c r="FN23" s="327"/>
      <c r="FO23" s="327"/>
      <c r="FP23" s="327"/>
      <c r="FQ23" s="327"/>
      <c r="FR23" s="327"/>
      <c r="FS23" s="327"/>
      <c r="FT23" s="327"/>
      <c r="FU23" s="327"/>
      <c r="FV23" s="327"/>
      <c r="FW23" s="327"/>
      <c r="FX23" s="327"/>
      <c r="FY23" s="327"/>
      <c r="FZ23" s="327"/>
      <c r="GA23" s="327"/>
      <c r="GB23" s="327"/>
      <c r="GC23" s="327"/>
      <c r="GD23" s="327"/>
      <c r="GE23" s="327"/>
      <c r="GF23" s="327"/>
      <c r="GG23" s="327"/>
      <c r="GH23" s="327"/>
      <c r="GI23" s="327"/>
      <c r="GJ23" s="327"/>
      <c r="GK23" s="327"/>
      <c r="GL23" s="327"/>
      <c r="GM23" s="327"/>
      <c r="GN23" s="327"/>
      <c r="GO23" s="327"/>
      <c r="GP23" s="327"/>
      <c r="GQ23" s="327"/>
      <c r="GR23" s="327"/>
      <c r="GS23" s="327"/>
      <c r="GT23" s="327"/>
      <c r="GU23" s="327"/>
      <c r="GV23" s="327"/>
      <c r="GW23" s="327"/>
      <c r="GX23" s="326"/>
      <c r="GY23" s="328"/>
      <c r="GZ23" s="327"/>
      <c r="HA23" s="327"/>
      <c r="HB23" s="327"/>
      <c r="HC23" s="327"/>
      <c r="HD23" s="327"/>
      <c r="HE23" s="327"/>
      <c r="HF23" s="327"/>
      <c r="HG23" s="327"/>
      <c r="HH23" s="327"/>
      <c r="HI23" s="327"/>
      <c r="HJ23" s="327"/>
      <c r="HK23" s="327"/>
      <c r="HL23" s="327"/>
      <c r="HM23" s="327"/>
      <c r="HN23" s="327"/>
      <c r="HO23" s="327"/>
      <c r="HP23" s="327"/>
      <c r="HQ23" s="327"/>
      <c r="HR23" s="327"/>
      <c r="HS23" s="327"/>
      <c r="HT23" s="327"/>
      <c r="HU23" s="327"/>
      <c r="HV23" s="327"/>
      <c r="HW23" s="327"/>
      <c r="HX23" s="327"/>
      <c r="HY23" s="327"/>
      <c r="HZ23" s="327"/>
      <c r="IA23" s="327"/>
      <c r="IB23" s="327"/>
      <c r="IC23" s="327"/>
      <c r="ID23" s="327"/>
      <c r="IE23" s="327"/>
      <c r="IF23" s="327"/>
      <c r="IG23" s="327"/>
      <c r="IH23" s="327"/>
      <c r="II23" s="327"/>
      <c r="IJ23" s="327"/>
      <c r="IK23" s="327"/>
      <c r="IL23" s="327"/>
      <c r="IM23" s="327"/>
      <c r="IN23" s="327"/>
      <c r="IO23" s="327"/>
      <c r="IP23" s="327"/>
      <c r="IQ23" s="327"/>
      <c r="IR23" s="327"/>
      <c r="IS23" s="327"/>
      <c r="IT23" s="327"/>
      <c r="IU23" s="327"/>
      <c r="IV23" s="327"/>
      <c r="IW23" s="327"/>
      <c r="IX23" s="327"/>
      <c r="IY23" s="327"/>
      <c r="IZ23" s="327"/>
      <c r="JA23" s="327"/>
      <c r="JB23" s="327"/>
      <c r="JC23" s="327"/>
      <c r="JD23" s="327"/>
      <c r="JE23" s="327"/>
      <c r="JF23" s="326"/>
    </row>
    <row r="24" spans="1:266" x14ac:dyDescent="0.25">
      <c r="A24" s="332" t="s">
        <v>1003</v>
      </c>
      <c r="B24" s="331" t="s">
        <v>1005</v>
      </c>
      <c r="C24" s="330"/>
      <c r="D24" s="329"/>
      <c r="E24" s="327"/>
      <c r="F24" s="327"/>
      <c r="G24" s="327"/>
      <c r="H24" s="327"/>
      <c r="I24" s="327"/>
      <c r="J24" s="327"/>
      <c r="K24" s="327"/>
      <c r="L24" s="327"/>
      <c r="M24" s="327"/>
      <c r="N24" s="326"/>
      <c r="O24" s="330"/>
      <c r="P24" s="329"/>
      <c r="Q24" s="327"/>
      <c r="R24" s="327"/>
      <c r="S24" s="327"/>
      <c r="T24" s="327"/>
      <c r="U24" s="327"/>
      <c r="V24" s="327"/>
      <c r="W24" s="328"/>
      <c r="X24" s="327"/>
      <c r="Y24" s="327"/>
      <c r="Z24" s="326"/>
      <c r="AA24" s="328"/>
      <c r="AB24" s="327"/>
      <c r="AC24" s="327"/>
      <c r="AD24" s="327"/>
      <c r="AE24" s="327"/>
      <c r="AF24" s="327"/>
      <c r="AG24" s="327"/>
      <c r="AH24" s="327"/>
      <c r="AI24" s="327"/>
      <c r="AJ24" s="327"/>
      <c r="AK24" s="327"/>
      <c r="AL24" s="327"/>
      <c r="AM24" s="327"/>
      <c r="AN24" s="327"/>
      <c r="AO24" s="327"/>
      <c r="AP24" s="327"/>
      <c r="AQ24" s="327"/>
      <c r="AR24" s="327"/>
      <c r="AS24" s="327"/>
      <c r="AT24" s="327"/>
      <c r="AU24" s="327"/>
      <c r="AV24" s="327"/>
      <c r="AW24" s="327"/>
      <c r="AX24" s="327"/>
      <c r="AY24" s="327"/>
      <c r="AZ24" s="327"/>
      <c r="BA24" s="327"/>
      <c r="BB24" s="327"/>
      <c r="BC24" s="327"/>
      <c r="BD24" s="327"/>
      <c r="BE24" s="327"/>
      <c r="BF24" s="327"/>
      <c r="BG24" s="327"/>
      <c r="BH24" s="327"/>
      <c r="BI24" s="327"/>
      <c r="BJ24" s="327"/>
      <c r="BK24" s="327"/>
      <c r="BL24" s="327"/>
      <c r="BM24" s="327"/>
      <c r="BN24" s="327"/>
      <c r="BO24" s="327"/>
      <c r="BP24" s="327"/>
      <c r="BQ24" s="327"/>
      <c r="BR24" s="327"/>
      <c r="BS24" s="327"/>
      <c r="BT24" s="327"/>
      <c r="BU24" s="327"/>
      <c r="BV24" s="327"/>
      <c r="BW24" s="327"/>
      <c r="BX24" s="327"/>
      <c r="BY24" s="327"/>
      <c r="BZ24" s="327"/>
      <c r="CA24" s="327"/>
      <c r="CB24" s="327"/>
      <c r="CC24" s="327"/>
      <c r="CD24" s="327"/>
      <c r="CE24" s="327"/>
      <c r="CF24" s="327"/>
      <c r="CG24" s="327"/>
      <c r="CH24" s="326"/>
      <c r="CI24" s="328"/>
      <c r="CJ24" s="327"/>
      <c r="CK24" s="327"/>
      <c r="CL24" s="327"/>
      <c r="CM24" s="327"/>
      <c r="CN24" s="327"/>
      <c r="CO24" s="327"/>
      <c r="CP24" s="327"/>
      <c r="CQ24" s="327"/>
      <c r="CR24" s="327"/>
      <c r="CS24" s="327"/>
      <c r="CT24" s="327"/>
      <c r="CU24" s="327"/>
      <c r="CV24" s="327"/>
      <c r="CW24" s="327"/>
      <c r="CX24" s="327"/>
      <c r="CY24" s="327"/>
      <c r="CZ24" s="327"/>
      <c r="DA24" s="327"/>
      <c r="DB24" s="327"/>
      <c r="DC24" s="327"/>
      <c r="DD24" s="327"/>
      <c r="DE24" s="327"/>
      <c r="DF24" s="327"/>
      <c r="DG24" s="327"/>
      <c r="DH24" s="327"/>
      <c r="DI24" s="327"/>
      <c r="DJ24" s="327"/>
      <c r="DK24" s="327"/>
      <c r="DL24" s="327"/>
      <c r="DM24" s="327"/>
      <c r="DN24" s="327"/>
      <c r="DO24" s="327"/>
      <c r="DP24" s="327"/>
      <c r="DQ24" s="327"/>
      <c r="DR24" s="327"/>
      <c r="DS24" s="327"/>
      <c r="DT24" s="327"/>
      <c r="DU24" s="327"/>
      <c r="DV24" s="327"/>
      <c r="DW24" s="327"/>
      <c r="DX24" s="327"/>
      <c r="DY24" s="327"/>
      <c r="DZ24" s="327"/>
      <c r="EA24" s="327"/>
      <c r="EB24" s="327"/>
      <c r="EC24" s="327"/>
      <c r="ED24" s="327"/>
      <c r="EE24" s="327"/>
      <c r="EF24" s="327"/>
      <c r="EG24" s="327"/>
      <c r="EH24" s="327"/>
      <c r="EI24" s="327"/>
      <c r="EJ24" s="327"/>
      <c r="EK24" s="327"/>
      <c r="EL24" s="327"/>
      <c r="EM24" s="327"/>
      <c r="EN24" s="327"/>
      <c r="EO24" s="327"/>
      <c r="EP24" s="326"/>
      <c r="EQ24" s="328"/>
      <c r="ER24" s="327"/>
      <c r="ES24" s="327"/>
      <c r="ET24" s="327"/>
      <c r="EU24" s="327"/>
      <c r="EV24" s="327"/>
      <c r="EW24" s="327"/>
      <c r="EX24" s="327"/>
      <c r="EY24" s="327"/>
      <c r="EZ24" s="327"/>
      <c r="FA24" s="327"/>
      <c r="FB24" s="327"/>
      <c r="FC24" s="327"/>
      <c r="FD24" s="327"/>
      <c r="FE24" s="327"/>
      <c r="FF24" s="327"/>
      <c r="FG24" s="327"/>
      <c r="FH24" s="327"/>
      <c r="FI24" s="327"/>
      <c r="FJ24" s="327"/>
      <c r="FK24" s="327"/>
      <c r="FL24" s="327"/>
      <c r="FM24" s="327"/>
      <c r="FN24" s="327"/>
      <c r="FO24" s="327"/>
      <c r="FP24" s="327"/>
      <c r="FQ24" s="327"/>
      <c r="FR24" s="327"/>
      <c r="FS24" s="327"/>
      <c r="FT24" s="327"/>
      <c r="FU24" s="327"/>
      <c r="FV24" s="327"/>
      <c r="FW24" s="327"/>
      <c r="FX24" s="327"/>
      <c r="FY24" s="327"/>
      <c r="FZ24" s="327"/>
      <c r="GA24" s="327"/>
      <c r="GB24" s="327"/>
      <c r="GC24" s="327"/>
      <c r="GD24" s="327"/>
      <c r="GE24" s="327"/>
      <c r="GF24" s="327"/>
      <c r="GG24" s="327"/>
      <c r="GH24" s="327"/>
      <c r="GI24" s="327"/>
      <c r="GJ24" s="327"/>
      <c r="GK24" s="327"/>
      <c r="GL24" s="327"/>
      <c r="GM24" s="327"/>
      <c r="GN24" s="327"/>
      <c r="GO24" s="327"/>
      <c r="GP24" s="327"/>
      <c r="GQ24" s="327"/>
      <c r="GR24" s="327"/>
      <c r="GS24" s="327"/>
      <c r="GT24" s="327"/>
      <c r="GU24" s="327"/>
      <c r="GV24" s="327"/>
      <c r="GW24" s="327"/>
      <c r="GX24" s="326"/>
      <c r="GY24" s="328"/>
      <c r="GZ24" s="327"/>
      <c r="HA24" s="327"/>
      <c r="HB24" s="327"/>
      <c r="HC24" s="327"/>
      <c r="HD24" s="327"/>
      <c r="HE24" s="327"/>
      <c r="HF24" s="327"/>
      <c r="HG24" s="327"/>
      <c r="HH24" s="327"/>
      <c r="HI24" s="327"/>
      <c r="HJ24" s="327"/>
      <c r="HK24" s="327"/>
      <c r="HL24" s="327"/>
      <c r="HM24" s="327"/>
      <c r="HN24" s="327"/>
      <c r="HO24" s="327"/>
      <c r="HP24" s="327"/>
      <c r="HQ24" s="327"/>
      <c r="HR24" s="327"/>
      <c r="HS24" s="327"/>
      <c r="HT24" s="327"/>
      <c r="HU24" s="327"/>
      <c r="HV24" s="327"/>
      <c r="HW24" s="327"/>
      <c r="HX24" s="327"/>
      <c r="HY24" s="327"/>
      <c r="HZ24" s="327"/>
      <c r="IA24" s="327"/>
      <c r="IB24" s="327"/>
      <c r="IC24" s="327"/>
      <c r="ID24" s="327"/>
      <c r="IE24" s="327"/>
      <c r="IF24" s="327"/>
      <c r="IG24" s="327"/>
      <c r="IH24" s="327"/>
      <c r="II24" s="327"/>
      <c r="IJ24" s="327"/>
      <c r="IK24" s="327"/>
      <c r="IL24" s="327"/>
      <c r="IM24" s="327"/>
      <c r="IN24" s="327"/>
      <c r="IO24" s="327"/>
      <c r="IP24" s="327"/>
      <c r="IQ24" s="327"/>
      <c r="IR24" s="327"/>
      <c r="IS24" s="327"/>
      <c r="IT24" s="327"/>
      <c r="IU24" s="327"/>
      <c r="IV24" s="327"/>
      <c r="IW24" s="327"/>
      <c r="IX24" s="327"/>
      <c r="IY24" s="327"/>
      <c r="IZ24" s="327"/>
      <c r="JA24" s="327"/>
      <c r="JB24" s="327"/>
      <c r="JC24" s="327"/>
      <c r="JD24" s="327"/>
      <c r="JE24" s="327"/>
      <c r="JF24" s="326"/>
    </row>
    <row r="25" spans="1:266" x14ac:dyDescent="0.25">
      <c r="A25" s="332" t="s">
        <v>1003</v>
      </c>
      <c r="B25" s="333" t="s">
        <v>1004</v>
      </c>
      <c r="C25" s="330"/>
      <c r="D25" s="329"/>
      <c r="E25" s="327"/>
      <c r="F25" s="327"/>
      <c r="G25" s="327"/>
      <c r="H25" s="327"/>
      <c r="I25" s="327"/>
      <c r="J25" s="327"/>
      <c r="K25" s="327"/>
      <c r="L25" s="327"/>
      <c r="M25" s="327"/>
      <c r="N25" s="326"/>
      <c r="O25" s="330"/>
      <c r="P25" s="329"/>
      <c r="Q25" s="327"/>
      <c r="R25" s="327"/>
      <c r="S25" s="327"/>
      <c r="T25" s="327"/>
      <c r="U25" s="327"/>
      <c r="V25" s="327"/>
      <c r="W25" s="328"/>
      <c r="X25" s="327"/>
      <c r="Y25" s="327"/>
      <c r="Z25" s="326"/>
      <c r="AA25" s="328"/>
      <c r="AB25" s="327"/>
      <c r="AC25" s="327"/>
      <c r="AD25" s="327"/>
      <c r="AE25" s="327"/>
      <c r="AF25" s="327"/>
      <c r="AG25" s="327"/>
      <c r="AH25" s="327"/>
      <c r="AI25" s="327"/>
      <c r="AJ25" s="327"/>
      <c r="AK25" s="327"/>
      <c r="AL25" s="327"/>
      <c r="AM25" s="327"/>
      <c r="AN25" s="327"/>
      <c r="AO25" s="327"/>
      <c r="AP25" s="327"/>
      <c r="AQ25" s="327"/>
      <c r="AR25" s="327"/>
      <c r="AS25" s="327"/>
      <c r="AT25" s="327"/>
      <c r="AU25" s="327"/>
      <c r="AV25" s="327"/>
      <c r="AW25" s="327"/>
      <c r="AX25" s="327"/>
      <c r="AY25" s="327"/>
      <c r="AZ25" s="327"/>
      <c r="BA25" s="327"/>
      <c r="BB25" s="327"/>
      <c r="BC25" s="327"/>
      <c r="BD25" s="327"/>
      <c r="BE25" s="327"/>
      <c r="BF25" s="327"/>
      <c r="BG25" s="327"/>
      <c r="BH25" s="327"/>
      <c r="BI25" s="327"/>
      <c r="BJ25" s="327"/>
      <c r="BK25" s="327"/>
      <c r="BL25" s="327"/>
      <c r="BM25" s="327"/>
      <c r="BN25" s="327"/>
      <c r="BO25" s="327"/>
      <c r="BP25" s="327"/>
      <c r="BQ25" s="327"/>
      <c r="BR25" s="327"/>
      <c r="BS25" s="327"/>
      <c r="BT25" s="327"/>
      <c r="BU25" s="327"/>
      <c r="BV25" s="327"/>
      <c r="BW25" s="327"/>
      <c r="BX25" s="327"/>
      <c r="BY25" s="327"/>
      <c r="BZ25" s="327"/>
      <c r="CA25" s="327"/>
      <c r="CB25" s="327"/>
      <c r="CC25" s="327"/>
      <c r="CD25" s="327"/>
      <c r="CE25" s="327"/>
      <c r="CF25" s="327"/>
      <c r="CG25" s="327"/>
      <c r="CH25" s="326"/>
      <c r="CI25" s="328"/>
      <c r="CJ25" s="327"/>
      <c r="CK25" s="327"/>
      <c r="CL25" s="327"/>
      <c r="CM25" s="327"/>
      <c r="CN25" s="327"/>
      <c r="CO25" s="327"/>
      <c r="CP25" s="327"/>
      <c r="CQ25" s="327"/>
      <c r="CR25" s="327"/>
      <c r="CS25" s="327"/>
      <c r="CT25" s="327"/>
      <c r="CU25" s="327"/>
      <c r="CV25" s="327"/>
      <c r="CW25" s="327"/>
      <c r="CX25" s="327"/>
      <c r="CY25" s="327"/>
      <c r="CZ25" s="327"/>
      <c r="DA25" s="327"/>
      <c r="DB25" s="327"/>
      <c r="DC25" s="327"/>
      <c r="DD25" s="327"/>
      <c r="DE25" s="327"/>
      <c r="DF25" s="327"/>
      <c r="DG25" s="327"/>
      <c r="DH25" s="327"/>
      <c r="DI25" s="327"/>
      <c r="DJ25" s="327"/>
      <c r="DK25" s="327"/>
      <c r="DL25" s="327"/>
      <c r="DM25" s="327"/>
      <c r="DN25" s="327"/>
      <c r="DO25" s="327"/>
      <c r="DP25" s="327"/>
      <c r="DQ25" s="327"/>
      <c r="DR25" s="327"/>
      <c r="DS25" s="327"/>
      <c r="DT25" s="327"/>
      <c r="DU25" s="327"/>
      <c r="DV25" s="327"/>
      <c r="DW25" s="327"/>
      <c r="DX25" s="327"/>
      <c r="DY25" s="327"/>
      <c r="DZ25" s="327"/>
      <c r="EA25" s="327"/>
      <c r="EB25" s="327"/>
      <c r="EC25" s="327"/>
      <c r="ED25" s="327"/>
      <c r="EE25" s="327"/>
      <c r="EF25" s="327"/>
      <c r="EG25" s="327"/>
      <c r="EH25" s="327"/>
      <c r="EI25" s="327"/>
      <c r="EJ25" s="327"/>
      <c r="EK25" s="327"/>
      <c r="EL25" s="327"/>
      <c r="EM25" s="327"/>
      <c r="EN25" s="327"/>
      <c r="EO25" s="327"/>
      <c r="EP25" s="326"/>
      <c r="EQ25" s="328"/>
      <c r="ER25" s="327"/>
      <c r="ES25" s="327"/>
      <c r="ET25" s="327"/>
      <c r="EU25" s="327"/>
      <c r="EV25" s="327"/>
      <c r="EW25" s="327"/>
      <c r="EX25" s="327"/>
      <c r="EY25" s="327"/>
      <c r="EZ25" s="327"/>
      <c r="FA25" s="327"/>
      <c r="FB25" s="327"/>
      <c r="FC25" s="327"/>
      <c r="FD25" s="327"/>
      <c r="FE25" s="327"/>
      <c r="FF25" s="327"/>
      <c r="FG25" s="327"/>
      <c r="FH25" s="327"/>
      <c r="FI25" s="327"/>
      <c r="FJ25" s="327"/>
      <c r="FK25" s="327"/>
      <c r="FL25" s="327"/>
      <c r="FM25" s="327"/>
      <c r="FN25" s="327"/>
      <c r="FO25" s="327"/>
      <c r="FP25" s="327"/>
      <c r="FQ25" s="327"/>
      <c r="FR25" s="327"/>
      <c r="FS25" s="327"/>
      <c r="FT25" s="327"/>
      <c r="FU25" s="327"/>
      <c r="FV25" s="327"/>
      <c r="FW25" s="327"/>
      <c r="FX25" s="327"/>
      <c r="FY25" s="327"/>
      <c r="FZ25" s="327"/>
      <c r="GA25" s="327"/>
      <c r="GB25" s="327"/>
      <c r="GC25" s="327"/>
      <c r="GD25" s="327"/>
      <c r="GE25" s="327"/>
      <c r="GF25" s="327"/>
      <c r="GG25" s="327"/>
      <c r="GH25" s="327"/>
      <c r="GI25" s="327"/>
      <c r="GJ25" s="327"/>
      <c r="GK25" s="327"/>
      <c r="GL25" s="327"/>
      <c r="GM25" s="327"/>
      <c r="GN25" s="327"/>
      <c r="GO25" s="327"/>
      <c r="GP25" s="327"/>
      <c r="GQ25" s="327"/>
      <c r="GR25" s="327"/>
      <c r="GS25" s="327"/>
      <c r="GT25" s="327"/>
      <c r="GU25" s="327"/>
      <c r="GV25" s="327"/>
      <c r="GW25" s="327"/>
      <c r="GX25" s="326"/>
      <c r="GY25" s="328"/>
      <c r="GZ25" s="327"/>
      <c r="HA25" s="327"/>
      <c r="HB25" s="327"/>
      <c r="HC25" s="327"/>
      <c r="HD25" s="327"/>
      <c r="HE25" s="327"/>
      <c r="HF25" s="327"/>
      <c r="HG25" s="327"/>
      <c r="HH25" s="327"/>
      <c r="HI25" s="327"/>
      <c r="HJ25" s="327"/>
      <c r="HK25" s="327"/>
      <c r="HL25" s="327"/>
      <c r="HM25" s="327"/>
      <c r="HN25" s="327"/>
      <c r="HO25" s="327"/>
      <c r="HP25" s="327"/>
      <c r="HQ25" s="327"/>
      <c r="HR25" s="327"/>
      <c r="HS25" s="327"/>
      <c r="HT25" s="327"/>
      <c r="HU25" s="327"/>
      <c r="HV25" s="327"/>
      <c r="HW25" s="327"/>
      <c r="HX25" s="327"/>
      <c r="HY25" s="327"/>
      <c r="HZ25" s="327"/>
      <c r="IA25" s="327"/>
      <c r="IB25" s="327"/>
      <c r="IC25" s="327"/>
      <c r="ID25" s="327"/>
      <c r="IE25" s="327"/>
      <c r="IF25" s="327"/>
      <c r="IG25" s="327"/>
      <c r="IH25" s="327"/>
      <c r="II25" s="327"/>
      <c r="IJ25" s="327"/>
      <c r="IK25" s="327"/>
      <c r="IL25" s="327"/>
      <c r="IM25" s="327"/>
      <c r="IN25" s="327"/>
      <c r="IO25" s="327"/>
      <c r="IP25" s="327"/>
      <c r="IQ25" s="327"/>
      <c r="IR25" s="327"/>
      <c r="IS25" s="327"/>
      <c r="IT25" s="327"/>
      <c r="IU25" s="327"/>
      <c r="IV25" s="327"/>
      <c r="IW25" s="327"/>
      <c r="IX25" s="327"/>
      <c r="IY25" s="327"/>
      <c r="IZ25" s="327"/>
      <c r="JA25" s="327"/>
      <c r="JB25" s="327"/>
      <c r="JC25" s="327"/>
      <c r="JD25" s="327"/>
      <c r="JE25" s="327"/>
      <c r="JF25" s="326"/>
    </row>
    <row r="26" spans="1:266" x14ac:dyDescent="0.25">
      <c r="A26" s="332" t="s">
        <v>1003</v>
      </c>
      <c r="B26" s="333" t="s">
        <v>1002</v>
      </c>
      <c r="C26" s="330"/>
      <c r="D26" s="329"/>
      <c r="E26" s="327"/>
      <c r="F26" s="327"/>
      <c r="G26" s="327"/>
      <c r="H26" s="327"/>
      <c r="I26" s="327"/>
      <c r="J26" s="327"/>
      <c r="K26" s="327"/>
      <c r="L26" s="327"/>
      <c r="M26" s="327"/>
      <c r="N26" s="326"/>
      <c r="O26" s="330"/>
      <c r="P26" s="329"/>
      <c r="Q26" s="327"/>
      <c r="R26" s="327"/>
      <c r="S26" s="327"/>
      <c r="T26" s="327"/>
      <c r="U26" s="327"/>
      <c r="V26" s="327"/>
      <c r="W26" s="328"/>
      <c r="X26" s="327"/>
      <c r="Y26" s="327"/>
      <c r="Z26" s="326"/>
      <c r="AA26" s="328"/>
      <c r="AB26" s="327"/>
      <c r="AC26" s="327"/>
      <c r="AD26" s="327"/>
      <c r="AE26" s="327"/>
      <c r="AF26" s="327"/>
      <c r="AG26" s="327"/>
      <c r="AH26" s="327"/>
      <c r="AI26" s="327"/>
      <c r="AJ26" s="327"/>
      <c r="AK26" s="327"/>
      <c r="AL26" s="327"/>
      <c r="AM26" s="327"/>
      <c r="AN26" s="327"/>
      <c r="AO26" s="327"/>
      <c r="AP26" s="327"/>
      <c r="AQ26" s="327"/>
      <c r="AR26" s="327"/>
      <c r="AS26" s="327"/>
      <c r="AT26" s="327"/>
      <c r="AU26" s="327"/>
      <c r="AV26" s="327"/>
      <c r="AW26" s="327"/>
      <c r="AX26" s="327"/>
      <c r="AY26" s="327"/>
      <c r="AZ26" s="327"/>
      <c r="BA26" s="327"/>
      <c r="BB26" s="327"/>
      <c r="BC26" s="327"/>
      <c r="BD26" s="327"/>
      <c r="BE26" s="327"/>
      <c r="BF26" s="327"/>
      <c r="BG26" s="327"/>
      <c r="BH26" s="327"/>
      <c r="BI26" s="327"/>
      <c r="BJ26" s="327"/>
      <c r="BK26" s="327"/>
      <c r="BL26" s="327"/>
      <c r="BM26" s="327"/>
      <c r="BN26" s="327"/>
      <c r="BO26" s="327"/>
      <c r="BP26" s="327"/>
      <c r="BQ26" s="327"/>
      <c r="BR26" s="327"/>
      <c r="BS26" s="327"/>
      <c r="BT26" s="327"/>
      <c r="BU26" s="327"/>
      <c r="BV26" s="327"/>
      <c r="BW26" s="327"/>
      <c r="BX26" s="327"/>
      <c r="BY26" s="327"/>
      <c r="BZ26" s="327"/>
      <c r="CA26" s="327"/>
      <c r="CB26" s="327"/>
      <c r="CC26" s="327"/>
      <c r="CD26" s="327"/>
      <c r="CE26" s="327"/>
      <c r="CF26" s="327"/>
      <c r="CG26" s="327"/>
      <c r="CH26" s="326"/>
      <c r="CI26" s="328"/>
      <c r="CJ26" s="327"/>
      <c r="CK26" s="327"/>
      <c r="CL26" s="327"/>
      <c r="CM26" s="327"/>
      <c r="CN26" s="327"/>
      <c r="CO26" s="327"/>
      <c r="CP26" s="327"/>
      <c r="CQ26" s="327"/>
      <c r="CR26" s="327"/>
      <c r="CS26" s="327"/>
      <c r="CT26" s="327"/>
      <c r="CU26" s="327"/>
      <c r="CV26" s="327"/>
      <c r="CW26" s="327"/>
      <c r="CX26" s="327"/>
      <c r="CY26" s="327"/>
      <c r="CZ26" s="327"/>
      <c r="DA26" s="327"/>
      <c r="DB26" s="327"/>
      <c r="DC26" s="327"/>
      <c r="DD26" s="327"/>
      <c r="DE26" s="327"/>
      <c r="DF26" s="327"/>
      <c r="DG26" s="327"/>
      <c r="DH26" s="327"/>
      <c r="DI26" s="327"/>
      <c r="DJ26" s="327"/>
      <c r="DK26" s="327"/>
      <c r="DL26" s="327"/>
      <c r="DM26" s="327"/>
      <c r="DN26" s="327"/>
      <c r="DO26" s="327"/>
      <c r="DP26" s="327"/>
      <c r="DQ26" s="327"/>
      <c r="DR26" s="327"/>
      <c r="DS26" s="327"/>
      <c r="DT26" s="327"/>
      <c r="DU26" s="327"/>
      <c r="DV26" s="327"/>
      <c r="DW26" s="327"/>
      <c r="DX26" s="327"/>
      <c r="DY26" s="327"/>
      <c r="DZ26" s="327"/>
      <c r="EA26" s="327"/>
      <c r="EB26" s="327"/>
      <c r="EC26" s="327"/>
      <c r="ED26" s="327"/>
      <c r="EE26" s="327"/>
      <c r="EF26" s="327"/>
      <c r="EG26" s="327"/>
      <c r="EH26" s="327"/>
      <c r="EI26" s="327"/>
      <c r="EJ26" s="327"/>
      <c r="EK26" s="327"/>
      <c r="EL26" s="327"/>
      <c r="EM26" s="327"/>
      <c r="EN26" s="327"/>
      <c r="EO26" s="327"/>
      <c r="EP26" s="326"/>
      <c r="EQ26" s="328"/>
      <c r="ER26" s="327"/>
      <c r="ES26" s="327"/>
      <c r="ET26" s="327"/>
      <c r="EU26" s="327"/>
      <c r="EV26" s="327"/>
      <c r="EW26" s="327"/>
      <c r="EX26" s="327"/>
      <c r="EY26" s="327"/>
      <c r="EZ26" s="327"/>
      <c r="FA26" s="327"/>
      <c r="FB26" s="327"/>
      <c r="FC26" s="327"/>
      <c r="FD26" s="327"/>
      <c r="FE26" s="327"/>
      <c r="FF26" s="327"/>
      <c r="FG26" s="327"/>
      <c r="FH26" s="327"/>
      <c r="FI26" s="327"/>
      <c r="FJ26" s="327"/>
      <c r="FK26" s="327"/>
      <c r="FL26" s="327"/>
      <c r="FM26" s="327"/>
      <c r="FN26" s="327"/>
      <c r="FO26" s="327"/>
      <c r="FP26" s="327"/>
      <c r="FQ26" s="327"/>
      <c r="FR26" s="327"/>
      <c r="FS26" s="327"/>
      <c r="FT26" s="327"/>
      <c r="FU26" s="327"/>
      <c r="FV26" s="327"/>
      <c r="FW26" s="327"/>
      <c r="FX26" s="327"/>
      <c r="FY26" s="327"/>
      <c r="FZ26" s="327"/>
      <c r="GA26" s="327"/>
      <c r="GB26" s="327"/>
      <c r="GC26" s="327"/>
      <c r="GD26" s="327"/>
      <c r="GE26" s="327"/>
      <c r="GF26" s="327"/>
      <c r="GG26" s="327"/>
      <c r="GH26" s="327"/>
      <c r="GI26" s="327"/>
      <c r="GJ26" s="327"/>
      <c r="GK26" s="327"/>
      <c r="GL26" s="327"/>
      <c r="GM26" s="327"/>
      <c r="GN26" s="327"/>
      <c r="GO26" s="327"/>
      <c r="GP26" s="327"/>
      <c r="GQ26" s="327"/>
      <c r="GR26" s="327"/>
      <c r="GS26" s="327"/>
      <c r="GT26" s="327"/>
      <c r="GU26" s="327"/>
      <c r="GV26" s="327"/>
      <c r="GW26" s="327"/>
      <c r="GX26" s="326"/>
      <c r="GY26" s="328"/>
      <c r="GZ26" s="327"/>
      <c r="HA26" s="327"/>
      <c r="HB26" s="327"/>
      <c r="HC26" s="327"/>
      <c r="HD26" s="327"/>
      <c r="HE26" s="327"/>
      <c r="HF26" s="327"/>
      <c r="HG26" s="327"/>
      <c r="HH26" s="327"/>
      <c r="HI26" s="327"/>
      <c r="HJ26" s="327"/>
      <c r="HK26" s="327"/>
      <c r="HL26" s="327"/>
      <c r="HM26" s="327"/>
      <c r="HN26" s="327"/>
      <c r="HO26" s="327"/>
      <c r="HP26" s="327"/>
      <c r="HQ26" s="327"/>
      <c r="HR26" s="327"/>
      <c r="HS26" s="327"/>
      <c r="HT26" s="327"/>
      <c r="HU26" s="327"/>
      <c r="HV26" s="327"/>
      <c r="HW26" s="327"/>
      <c r="HX26" s="327"/>
      <c r="HY26" s="327"/>
      <c r="HZ26" s="327"/>
      <c r="IA26" s="327"/>
      <c r="IB26" s="327"/>
      <c r="IC26" s="327"/>
      <c r="ID26" s="327"/>
      <c r="IE26" s="327"/>
      <c r="IF26" s="327"/>
      <c r="IG26" s="327"/>
      <c r="IH26" s="327"/>
      <c r="II26" s="327"/>
      <c r="IJ26" s="327"/>
      <c r="IK26" s="327"/>
      <c r="IL26" s="327"/>
      <c r="IM26" s="327"/>
      <c r="IN26" s="327"/>
      <c r="IO26" s="327"/>
      <c r="IP26" s="327"/>
      <c r="IQ26" s="327"/>
      <c r="IR26" s="327"/>
      <c r="IS26" s="327"/>
      <c r="IT26" s="327"/>
      <c r="IU26" s="327"/>
      <c r="IV26" s="327"/>
      <c r="IW26" s="327"/>
      <c r="IX26" s="327"/>
      <c r="IY26" s="327"/>
      <c r="IZ26" s="327"/>
      <c r="JA26" s="327"/>
      <c r="JB26" s="327"/>
      <c r="JC26" s="327"/>
      <c r="JD26" s="327"/>
      <c r="JE26" s="327"/>
      <c r="JF26" s="326"/>
    </row>
    <row r="27" spans="1:266" x14ac:dyDescent="0.25">
      <c r="A27" s="332" t="s">
        <v>998</v>
      </c>
      <c r="B27" s="333" t="s">
        <v>1001</v>
      </c>
      <c r="C27" s="330"/>
      <c r="D27" s="329"/>
      <c r="E27" s="327"/>
      <c r="F27" s="327"/>
      <c r="G27" s="327"/>
      <c r="H27" s="327"/>
      <c r="I27" s="327"/>
      <c r="J27" s="327"/>
      <c r="K27" s="327"/>
      <c r="L27" s="327"/>
      <c r="M27" s="327"/>
      <c r="N27" s="326"/>
      <c r="O27" s="330"/>
      <c r="P27" s="329"/>
      <c r="Q27" s="327"/>
      <c r="R27" s="327"/>
      <c r="S27" s="327"/>
      <c r="T27" s="327"/>
      <c r="U27" s="327"/>
      <c r="V27" s="327"/>
      <c r="W27" s="328"/>
      <c r="X27" s="327"/>
      <c r="Y27" s="327"/>
      <c r="Z27" s="326"/>
      <c r="AA27" s="328"/>
      <c r="AB27" s="327"/>
      <c r="AC27" s="327"/>
      <c r="AD27" s="327"/>
      <c r="AE27" s="327"/>
      <c r="AF27" s="327"/>
      <c r="AG27" s="327"/>
      <c r="AH27" s="327"/>
      <c r="AI27" s="327"/>
      <c r="AJ27" s="327"/>
      <c r="AK27" s="327"/>
      <c r="AL27" s="327"/>
      <c r="AM27" s="327"/>
      <c r="AN27" s="327"/>
      <c r="AO27" s="327"/>
      <c r="AP27" s="327"/>
      <c r="AQ27" s="327"/>
      <c r="AR27" s="327"/>
      <c r="AS27" s="327"/>
      <c r="AT27" s="327"/>
      <c r="AU27" s="327"/>
      <c r="AV27" s="327"/>
      <c r="AW27" s="327"/>
      <c r="AX27" s="327"/>
      <c r="AY27" s="327"/>
      <c r="AZ27" s="327"/>
      <c r="BA27" s="327"/>
      <c r="BB27" s="327"/>
      <c r="BC27" s="327"/>
      <c r="BD27" s="327"/>
      <c r="BE27" s="327"/>
      <c r="BF27" s="327"/>
      <c r="BG27" s="327"/>
      <c r="BH27" s="327"/>
      <c r="BI27" s="327"/>
      <c r="BJ27" s="327"/>
      <c r="BK27" s="327"/>
      <c r="BL27" s="327"/>
      <c r="BM27" s="327"/>
      <c r="BN27" s="327"/>
      <c r="BO27" s="327"/>
      <c r="BP27" s="327"/>
      <c r="BQ27" s="327"/>
      <c r="BR27" s="327"/>
      <c r="BS27" s="327"/>
      <c r="BT27" s="327"/>
      <c r="BU27" s="327"/>
      <c r="BV27" s="327"/>
      <c r="BW27" s="327"/>
      <c r="BX27" s="327"/>
      <c r="BY27" s="327"/>
      <c r="BZ27" s="327"/>
      <c r="CA27" s="327"/>
      <c r="CB27" s="327"/>
      <c r="CC27" s="327"/>
      <c r="CD27" s="327"/>
      <c r="CE27" s="327"/>
      <c r="CF27" s="327"/>
      <c r="CG27" s="327"/>
      <c r="CH27" s="326"/>
      <c r="CI27" s="328"/>
      <c r="CJ27" s="327"/>
      <c r="CK27" s="327"/>
      <c r="CL27" s="327"/>
      <c r="CM27" s="327"/>
      <c r="CN27" s="327"/>
      <c r="CO27" s="327"/>
      <c r="CP27" s="327"/>
      <c r="CQ27" s="327"/>
      <c r="CR27" s="327"/>
      <c r="CS27" s="327"/>
      <c r="CT27" s="327"/>
      <c r="CU27" s="327"/>
      <c r="CV27" s="327"/>
      <c r="CW27" s="327"/>
      <c r="CX27" s="327"/>
      <c r="CY27" s="327"/>
      <c r="CZ27" s="327"/>
      <c r="DA27" s="327"/>
      <c r="DB27" s="327"/>
      <c r="DC27" s="327"/>
      <c r="DD27" s="327"/>
      <c r="DE27" s="327"/>
      <c r="DF27" s="327"/>
      <c r="DG27" s="327"/>
      <c r="DH27" s="327"/>
      <c r="DI27" s="327"/>
      <c r="DJ27" s="327"/>
      <c r="DK27" s="327"/>
      <c r="DL27" s="327"/>
      <c r="DM27" s="327"/>
      <c r="DN27" s="327"/>
      <c r="DO27" s="327"/>
      <c r="DP27" s="327"/>
      <c r="DQ27" s="327"/>
      <c r="DR27" s="327"/>
      <c r="DS27" s="327"/>
      <c r="DT27" s="327"/>
      <c r="DU27" s="327"/>
      <c r="DV27" s="327"/>
      <c r="DW27" s="327"/>
      <c r="DX27" s="327"/>
      <c r="DY27" s="327"/>
      <c r="DZ27" s="327"/>
      <c r="EA27" s="327"/>
      <c r="EB27" s="327"/>
      <c r="EC27" s="327"/>
      <c r="ED27" s="327"/>
      <c r="EE27" s="327"/>
      <c r="EF27" s="327"/>
      <c r="EG27" s="327"/>
      <c r="EH27" s="327"/>
      <c r="EI27" s="327"/>
      <c r="EJ27" s="327"/>
      <c r="EK27" s="327"/>
      <c r="EL27" s="327"/>
      <c r="EM27" s="327"/>
      <c r="EN27" s="327"/>
      <c r="EO27" s="327"/>
      <c r="EP27" s="326"/>
      <c r="EQ27" s="328"/>
      <c r="ER27" s="327"/>
      <c r="ES27" s="327"/>
      <c r="ET27" s="327"/>
      <c r="EU27" s="327"/>
      <c r="EV27" s="327"/>
      <c r="EW27" s="327"/>
      <c r="EX27" s="327"/>
      <c r="EY27" s="327"/>
      <c r="EZ27" s="327"/>
      <c r="FA27" s="327"/>
      <c r="FB27" s="327"/>
      <c r="FC27" s="327"/>
      <c r="FD27" s="327"/>
      <c r="FE27" s="327"/>
      <c r="FF27" s="327"/>
      <c r="FG27" s="327"/>
      <c r="FH27" s="327"/>
      <c r="FI27" s="327"/>
      <c r="FJ27" s="327"/>
      <c r="FK27" s="327"/>
      <c r="FL27" s="327"/>
      <c r="FM27" s="327"/>
      <c r="FN27" s="327"/>
      <c r="FO27" s="327"/>
      <c r="FP27" s="327"/>
      <c r="FQ27" s="327"/>
      <c r="FR27" s="327"/>
      <c r="FS27" s="327"/>
      <c r="FT27" s="327"/>
      <c r="FU27" s="327"/>
      <c r="FV27" s="327"/>
      <c r="FW27" s="327"/>
      <c r="FX27" s="327"/>
      <c r="FY27" s="327"/>
      <c r="FZ27" s="327"/>
      <c r="GA27" s="327"/>
      <c r="GB27" s="327"/>
      <c r="GC27" s="327"/>
      <c r="GD27" s="327"/>
      <c r="GE27" s="327"/>
      <c r="GF27" s="327"/>
      <c r="GG27" s="327"/>
      <c r="GH27" s="327"/>
      <c r="GI27" s="327"/>
      <c r="GJ27" s="327"/>
      <c r="GK27" s="327"/>
      <c r="GL27" s="327"/>
      <c r="GM27" s="327"/>
      <c r="GN27" s="327"/>
      <c r="GO27" s="327"/>
      <c r="GP27" s="327"/>
      <c r="GQ27" s="327"/>
      <c r="GR27" s="327"/>
      <c r="GS27" s="327"/>
      <c r="GT27" s="327"/>
      <c r="GU27" s="327"/>
      <c r="GV27" s="327"/>
      <c r="GW27" s="327"/>
      <c r="GX27" s="326"/>
      <c r="GY27" s="328"/>
      <c r="GZ27" s="327"/>
      <c r="HA27" s="327"/>
      <c r="HB27" s="327"/>
      <c r="HC27" s="327"/>
      <c r="HD27" s="327"/>
      <c r="HE27" s="327"/>
      <c r="HF27" s="327"/>
      <c r="HG27" s="327"/>
      <c r="HH27" s="327"/>
      <c r="HI27" s="327"/>
      <c r="HJ27" s="327"/>
      <c r="HK27" s="327"/>
      <c r="HL27" s="327"/>
      <c r="HM27" s="327"/>
      <c r="HN27" s="327"/>
      <c r="HO27" s="327"/>
      <c r="HP27" s="327"/>
      <c r="HQ27" s="327"/>
      <c r="HR27" s="327"/>
      <c r="HS27" s="327"/>
      <c r="HT27" s="327"/>
      <c r="HU27" s="327"/>
      <c r="HV27" s="327"/>
      <c r="HW27" s="327"/>
      <c r="HX27" s="327"/>
      <c r="HY27" s="327"/>
      <c r="HZ27" s="327"/>
      <c r="IA27" s="327"/>
      <c r="IB27" s="327"/>
      <c r="IC27" s="327"/>
      <c r="ID27" s="327"/>
      <c r="IE27" s="327"/>
      <c r="IF27" s="327"/>
      <c r="IG27" s="327"/>
      <c r="IH27" s="327"/>
      <c r="II27" s="327"/>
      <c r="IJ27" s="327"/>
      <c r="IK27" s="327"/>
      <c r="IL27" s="327"/>
      <c r="IM27" s="327"/>
      <c r="IN27" s="327"/>
      <c r="IO27" s="327"/>
      <c r="IP27" s="327"/>
      <c r="IQ27" s="327"/>
      <c r="IR27" s="327"/>
      <c r="IS27" s="327"/>
      <c r="IT27" s="327"/>
      <c r="IU27" s="327"/>
      <c r="IV27" s="327"/>
      <c r="IW27" s="327"/>
      <c r="IX27" s="327"/>
      <c r="IY27" s="327"/>
      <c r="IZ27" s="327"/>
      <c r="JA27" s="327"/>
      <c r="JB27" s="327"/>
      <c r="JC27" s="327"/>
      <c r="JD27" s="327"/>
      <c r="JE27" s="327"/>
      <c r="JF27" s="326"/>
    </row>
    <row r="28" spans="1:266" x14ac:dyDescent="0.25">
      <c r="A28" s="332" t="s">
        <v>998</v>
      </c>
      <c r="B28" s="331" t="s">
        <v>1000</v>
      </c>
      <c r="C28" s="330"/>
      <c r="D28" s="329"/>
      <c r="E28" s="327"/>
      <c r="F28" s="327"/>
      <c r="G28" s="327"/>
      <c r="H28" s="327"/>
      <c r="I28" s="327"/>
      <c r="J28" s="327"/>
      <c r="K28" s="327"/>
      <c r="L28" s="327"/>
      <c r="M28" s="327"/>
      <c r="N28" s="326"/>
      <c r="O28" s="330"/>
      <c r="P28" s="329"/>
      <c r="Q28" s="327"/>
      <c r="R28" s="327"/>
      <c r="S28" s="327"/>
      <c r="T28" s="327"/>
      <c r="U28" s="327"/>
      <c r="V28" s="327"/>
      <c r="W28" s="328"/>
      <c r="X28" s="327"/>
      <c r="Y28" s="327"/>
      <c r="Z28" s="326"/>
      <c r="AA28" s="328"/>
      <c r="AB28" s="327"/>
      <c r="AC28" s="327"/>
      <c r="AD28" s="327"/>
      <c r="AE28" s="327"/>
      <c r="AF28" s="327"/>
      <c r="AG28" s="327"/>
      <c r="AH28" s="327"/>
      <c r="AI28" s="327"/>
      <c r="AJ28" s="327"/>
      <c r="AK28" s="327"/>
      <c r="AL28" s="327"/>
      <c r="AM28" s="327"/>
      <c r="AN28" s="327"/>
      <c r="AO28" s="327"/>
      <c r="AP28" s="327"/>
      <c r="AQ28" s="327"/>
      <c r="AR28" s="327"/>
      <c r="AS28" s="327"/>
      <c r="AT28" s="327"/>
      <c r="AU28" s="327"/>
      <c r="AV28" s="327"/>
      <c r="AW28" s="327"/>
      <c r="AX28" s="327"/>
      <c r="AY28" s="327"/>
      <c r="AZ28" s="327"/>
      <c r="BA28" s="327"/>
      <c r="BB28" s="327"/>
      <c r="BC28" s="327"/>
      <c r="BD28" s="327"/>
      <c r="BE28" s="327"/>
      <c r="BF28" s="327"/>
      <c r="BG28" s="327"/>
      <c r="BH28" s="327"/>
      <c r="BI28" s="327"/>
      <c r="BJ28" s="327"/>
      <c r="BK28" s="327"/>
      <c r="BL28" s="327"/>
      <c r="BM28" s="327"/>
      <c r="BN28" s="327"/>
      <c r="BO28" s="327"/>
      <c r="BP28" s="327"/>
      <c r="BQ28" s="327"/>
      <c r="BR28" s="327"/>
      <c r="BS28" s="327"/>
      <c r="BT28" s="327"/>
      <c r="BU28" s="327"/>
      <c r="BV28" s="327"/>
      <c r="BW28" s="327"/>
      <c r="BX28" s="327"/>
      <c r="BY28" s="327"/>
      <c r="BZ28" s="327"/>
      <c r="CA28" s="327"/>
      <c r="CB28" s="327"/>
      <c r="CC28" s="327"/>
      <c r="CD28" s="327"/>
      <c r="CE28" s="327"/>
      <c r="CF28" s="327"/>
      <c r="CG28" s="327"/>
      <c r="CH28" s="326"/>
      <c r="CI28" s="328"/>
      <c r="CJ28" s="327"/>
      <c r="CK28" s="327"/>
      <c r="CL28" s="327"/>
      <c r="CM28" s="327"/>
      <c r="CN28" s="327"/>
      <c r="CO28" s="327"/>
      <c r="CP28" s="327"/>
      <c r="CQ28" s="327"/>
      <c r="CR28" s="327"/>
      <c r="CS28" s="327"/>
      <c r="CT28" s="327"/>
      <c r="CU28" s="327"/>
      <c r="CV28" s="327"/>
      <c r="CW28" s="327"/>
      <c r="CX28" s="327"/>
      <c r="CY28" s="327"/>
      <c r="CZ28" s="327"/>
      <c r="DA28" s="327"/>
      <c r="DB28" s="327"/>
      <c r="DC28" s="327"/>
      <c r="DD28" s="327"/>
      <c r="DE28" s="327"/>
      <c r="DF28" s="327"/>
      <c r="DG28" s="327"/>
      <c r="DH28" s="327"/>
      <c r="DI28" s="327"/>
      <c r="DJ28" s="327"/>
      <c r="DK28" s="327"/>
      <c r="DL28" s="327"/>
      <c r="DM28" s="327"/>
      <c r="DN28" s="327"/>
      <c r="DO28" s="327"/>
      <c r="DP28" s="327"/>
      <c r="DQ28" s="327"/>
      <c r="DR28" s="327"/>
      <c r="DS28" s="327"/>
      <c r="DT28" s="327"/>
      <c r="DU28" s="327"/>
      <c r="DV28" s="327"/>
      <c r="DW28" s="327"/>
      <c r="DX28" s="327"/>
      <c r="DY28" s="327"/>
      <c r="DZ28" s="327"/>
      <c r="EA28" s="327"/>
      <c r="EB28" s="327"/>
      <c r="EC28" s="327"/>
      <c r="ED28" s="327"/>
      <c r="EE28" s="327"/>
      <c r="EF28" s="327"/>
      <c r="EG28" s="327"/>
      <c r="EH28" s="327"/>
      <c r="EI28" s="327"/>
      <c r="EJ28" s="327"/>
      <c r="EK28" s="327"/>
      <c r="EL28" s="327"/>
      <c r="EM28" s="327"/>
      <c r="EN28" s="327"/>
      <c r="EO28" s="327"/>
      <c r="EP28" s="326"/>
      <c r="EQ28" s="328"/>
      <c r="ER28" s="327"/>
      <c r="ES28" s="327"/>
      <c r="ET28" s="327"/>
      <c r="EU28" s="327"/>
      <c r="EV28" s="327"/>
      <c r="EW28" s="327"/>
      <c r="EX28" s="327"/>
      <c r="EY28" s="327"/>
      <c r="EZ28" s="327"/>
      <c r="FA28" s="327"/>
      <c r="FB28" s="327"/>
      <c r="FC28" s="327"/>
      <c r="FD28" s="327"/>
      <c r="FE28" s="327"/>
      <c r="FF28" s="327"/>
      <c r="FG28" s="327"/>
      <c r="FH28" s="327"/>
      <c r="FI28" s="327"/>
      <c r="FJ28" s="327"/>
      <c r="FK28" s="327"/>
      <c r="FL28" s="327"/>
      <c r="FM28" s="327"/>
      <c r="FN28" s="327"/>
      <c r="FO28" s="327"/>
      <c r="FP28" s="327"/>
      <c r="FQ28" s="327"/>
      <c r="FR28" s="327"/>
      <c r="FS28" s="327"/>
      <c r="FT28" s="327"/>
      <c r="FU28" s="327"/>
      <c r="FV28" s="327"/>
      <c r="FW28" s="327"/>
      <c r="FX28" s="327"/>
      <c r="FY28" s="327"/>
      <c r="FZ28" s="327"/>
      <c r="GA28" s="327"/>
      <c r="GB28" s="327"/>
      <c r="GC28" s="327"/>
      <c r="GD28" s="327"/>
      <c r="GE28" s="327"/>
      <c r="GF28" s="327"/>
      <c r="GG28" s="327"/>
      <c r="GH28" s="327"/>
      <c r="GI28" s="327"/>
      <c r="GJ28" s="327"/>
      <c r="GK28" s="327"/>
      <c r="GL28" s="327"/>
      <c r="GM28" s="327"/>
      <c r="GN28" s="327"/>
      <c r="GO28" s="327"/>
      <c r="GP28" s="327"/>
      <c r="GQ28" s="327"/>
      <c r="GR28" s="327"/>
      <c r="GS28" s="327"/>
      <c r="GT28" s="327"/>
      <c r="GU28" s="327"/>
      <c r="GV28" s="327"/>
      <c r="GW28" s="327"/>
      <c r="GX28" s="326"/>
      <c r="GY28" s="328"/>
      <c r="GZ28" s="327"/>
      <c r="HA28" s="327"/>
      <c r="HB28" s="327"/>
      <c r="HC28" s="327"/>
      <c r="HD28" s="327"/>
      <c r="HE28" s="327"/>
      <c r="HF28" s="327"/>
      <c r="HG28" s="327"/>
      <c r="HH28" s="327"/>
      <c r="HI28" s="327"/>
      <c r="HJ28" s="327"/>
      <c r="HK28" s="327"/>
      <c r="HL28" s="327"/>
      <c r="HM28" s="327"/>
      <c r="HN28" s="327"/>
      <c r="HO28" s="327"/>
      <c r="HP28" s="327"/>
      <c r="HQ28" s="327"/>
      <c r="HR28" s="327"/>
      <c r="HS28" s="327"/>
      <c r="HT28" s="327"/>
      <c r="HU28" s="327"/>
      <c r="HV28" s="327"/>
      <c r="HW28" s="327"/>
      <c r="HX28" s="327"/>
      <c r="HY28" s="327"/>
      <c r="HZ28" s="327"/>
      <c r="IA28" s="327"/>
      <c r="IB28" s="327"/>
      <c r="IC28" s="327"/>
      <c r="ID28" s="327"/>
      <c r="IE28" s="327"/>
      <c r="IF28" s="327"/>
      <c r="IG28" s="327"/>
      <c r="IH28" s="327"/>
      <c r="II28" s="327"/>
      <c r="IJ28" s="327"/>
      <c r="IK28" s="327"/>
      <c r="IL28" s="327"/>
      <c r="IM28" s="327"/>
      <c r="IN28" s="327"/>
      <c r="IO28" s="327"/>
      <c r="IP28" s="327"/>
      <c r="IQ28" s="327"/>
      <c r="IR28" s="327"/>
      <c r="IS28" s="327"/>
      <c r="IT28" s="327"/>
      <c r="IU28" s="327"/>
      <c r="IV28" s="327"/>
      <c r="IW28" s="327"/>
      <c r="IX28" s="327"/>
      <c r="IY28" s="327"/>
      <c r="IZ28" s="327"/>
      <c r="JA28" s="327"/>
      <c r="JB28" s="327"/>
      <c r="JC28" s="327"/>
      <c r="JD28" s="327"/>
      <c r="JE28" s="327"/>
      <c r="JF28" s="326"/>
    </row>
    <row r="29" spans="1:266" x14ac:dyDescent="0.25">
      <c r="A29" s="332" t="s">
        <v>998</v>
      </c>
      <c r="B29" s="333" t="s">
        <v>999</v>
      </c>
      <c r="C29" s="330"/>
      <c r="D29" s="329"/>
      <c r="E29" s="327"/>
      <c r="F29" s="327"/>
      <c r="G29" s="327"/>
      <c r="H29" s="327"/>
      <c r="I29" s="327"/>
      <c r="J29" s="327"/>
      <c r="K29" s="327"/>
      <c r="L29" s="327"/>
      <c r="M29" s="327"/>
      <c r="N29" s="326"/>
      <c r="O29" s="330"/>
      <c r="P29" s="329"/>
      <c r="Q29" s="327"/>
      <c r="R29" s="327"/>
      <c r="S29" s="327"/>
      <c r="T29" s="327"/>
      <c r="U29" s="327"/>
      <c r="V29" s="327"/>
      <c r="W29" s="328"/>
      <c r="X29" s="327"/>
      <c r="Y29" s="327"/>
      <c r="Z29" s="326"/>
      <c r="AA29" s="328"/>
      <c r="AB29" s="327"/>
      <c r="AC29" s="327"/>
      <c r="AD29" s="327"/>
      <c r="AE29" s="327"/>
      <c r="AF29" s="327"/>
      <c r="AG29" s="327"/>
      <c r="AH29" s="327"/>
      <c r="AI29" s="327"/>
      <c r="AJ29" s="327"/>
      <c r="AK29" s="327"/>
      <c r="AL29" s="327"/>
      <c r="AM29" s="327"/>
      <c r="AN29" s="327"/>
      <c r="AO29" s="327"/>
      <c r="AP29" s="327"/>
      <c r="AQ29" s="327"/>
      <c r="AR29" s="327"/>
      <c r="AS29" s="327"/>
      <c r="AT29" s="327"/>
      <c r="AU29" s="327"/>
      <c r="AV29" s="327"/>
      <c r="AW29" s="327"/>
      <c r="AX29" s="327"/>
      <c r="AY29" s="327"/>
      <c r="AZ29" s="327"/>
      <c r="BA29" s="327"/>
      <c r="BB29" s="327"/>
      <c r="BC29" s="327"/>
      <c r="BD29" s="327"/>
      <c r="BE29" s="327"/>
      <c r="BF29" s="327"/>
      <c r="BG29" s="327"/>
      <c r="BH29" s="327"/>
      <c r="BI29" s="327"/>
      <c r="BJ29" s="327"/>
      <c r="BK29" s="327"/>
      <c r="BL29" s="327"/>
      <c r="BM29" s="327"/>
      <c r="BN29" s="327"/>
      <c r="BO29" s="327"/>
      <c r="BP29" s="327"/>
      <c r="BQ29" s="327"/>
      <c r="BR29" s="327"/>
      <c r="BS29" s="327"/>
      <c r="BT29" s="327"/>
      <c r="BU29" s="327"/>
      <c r="BV29" s="327"/>
      <c r="BW29" s="327"/>
      <c r="BX29" s="327"/>
      <c r="BY29" s="327"/>
      <c r="BZ29" s="327"/>
      <c r="CA29" s="327"/>
      <c r="CB29" s="327"/>
      <c r="CC29" s="327"/>
      <c r="CD29" s="327"/>
      <c r="CE29" s="327"/>
      <c r="CF29" s="327"/>
      <c r="CG29" s="327"/>
      <c r="CH29" s="326"/>
      <c r="CI29" s="328"/>
      <c r="CJ29" s="327"/>
      <c r="CK29" s="327"/>
      <c r="CL29" s="327"/>
      <c r="CM29" s="327"/>
      <c r="CN29" s="327"/>
      <c r="CO29" s="327"/>
      <c r="CP29" s="327"/>
      <c r="CQ29" s="327"/>
      <c r="CR29" s="327"/>
      <c r="CS29" s="327"/>
      <c r="CT29" s="327"/>
      <c r="CU29" s="327"/>
      <c r="CV29" s="327"/>
      <c r="CW29" s="327"/>
      <c r="CX29" s="327"/>
      <c r="CY29" s="327"/>
      <c r="CZ29" s="327"/>
      <c r="DA29" s="327"/>
      <c r="DB29" s="327"/>
      <c r="DC29" s="327"/>
      <c r="DD29" s="327"/>
      <c r="DE29" s="327"/>
      <c r="DF29" s="327"/>
      <c r="DG29" s="327"/>
      <c r="DH29" s="327"/>
      <c r="DI29" s="327"/>
      <c r="DJ29" s="327"/>
      <c r="DK29" s="327"/>
      <c r="DL29" s="327"/>
      <c r="DM29" s="327"/>
      <c r="DN29" s="327"/>
      <c r="DO29" s="327"/>
      <c r="DP29" s="327"/>
      <c r="DQ29" s="327"/>
      <c r="DR29" s="327"/>
      <c r="DS29" s="327"/>
      <c r="DT29" s="327"/>
      <c r="DU29" s="327"/>
      <c r="DV29" s="327"/>
      <c r="DW29" s="327"/>
      <c r="DX29" s="327"/>
      <c r="DY29" s="327"/>
      <c r="DZ29" s="327"/>
      <c r="EA29" s="327"/>
      <c r="EB29" s="327"/>
      <c r="EC29" s="327"/>
      <c r="ED29" s="327"/>
      <c r="EE29" s="327"/>
      <c r="EF29" s="327"/>
      <c r="EG29" s="327"/>
      <c r="EH29" s="327"/>
      <c r="EI29" s="327"/>
      <c r="EJ29" s="327"/>
      <c r="EK29" s="327"/>
      <c r="EL29" s="327"/>
      <c r="EM29" s="327"/>
      <c r="EN29" s="327"/>
      <c r="EO29" s="327"/>
      <c r="EP29" s="326"/>
      <c r="EQ29" s="328"/>
      <c r="ER29" s="327"/>
      <c r="ES29" s="327"/>
      <c r="ET29" s="327"/>
      <c r="EU29" s="327"/>
      <c r="EV29" s="327"/>
      <c r="EW29" s="327"/>
      <c r="EX29" s="327"/>
      <c r="EY29" s="327"/>
      <c r="EZ29" s="327"/>
      <c r="FA29" s="327"/>
      <c r="FB29" s="327"/>
      <c r="FC29" s="327"/>
      <c r="FD29" s="327"/>
      <c r="FE29" s="327"/>
      <c r="FF29" s="327"/>
      <c r="FG29" s="327"/>
      <c r="FH29" s="327"/>
      <c r="FI29" s="327"/>
      <c r="FJ29" s="327"/>
      <c r="FK29" s="327"/>
      <c r="FL29" s="327"/>
      <c r="FM29" s="327"/>
      <c r="FN29" s="327"/>
      <c r="FO29" s="327"/>
      <c r="FP29" s="327"/>
      <c r="FQ29" s="327"/>
      <c r="FR29" s="327"/>
      <c r="FS29" s="327"/>
      <c r="FT29" s="327"/>
      <c r="FU29" s="327"/>
      <c r="FV29" s="327"/>
      <c r="FW29" s="327"/>
      <c r="FX29" s="327"/>
      <c r="FY29" s="327"/>
      <c r="FZ29" s="327"/>
      <c r="GA29" s="327"/>
      <c r="GB29" s="327"/>
      <c r="GC29" s="327"/>
      <c r="GD29" s="327"/>
      <c r="GE29" s="327"/>
      <c r="GF29" s="327"/>
      <c r="GG29" s="327"/>
      <c r="GH29" s="327"/>
      <c r="GI29" s="327"/>
      <c r="GJ29" s="327"/>
      <c r="GK29" s="327"/>
      <c r="GL29" s="327"/>
      <c r="GM29" s="327"/>
      <c r="GN29" s="327"/>
      <c r="GO29" s="327"/>
      <c r="GP29" s="327"/>
      <c r="GQ29" s="327"/>
      <c r="GR29" s="327"/>
      <c r="GS29" s="327"/>
      <c r="GT29" s="327"/>
      <c r="GU29" s="327"/>
      <c r="GV29" s="327"/>
      <c r="GW29" s="327"/>
      <c r="GX29" s="326"/>
      <c r="GY29" s="328"/>
      <c r="GZ29" s="327"/>
      <c r="HA29" s="327"/>
      <c r="HB29" s="327"/>
      <c r="HC29" s="327"/>
      <c r="HD29" s="327"/>
      <c r="HE29" s="327"/>
      <c r="HF29" s="327"/>
      <c r="HG29" s="327"/>
      <c r="HH29" s="327"/>
      <c r="HI29" s="327"/>
      <c r="HJ29" s="327"/>
      <c r="HK29" s="327"/>
      <c r="HL29" s="327"/>
      <c r="HM29" s="327"/>
      <c r="HN29" s="327"/>
      <c r="HO29" s="327"/>
      <c r="HP29" s="327"/>
      <c r="HQ29" s="327"/>
      <c r="HR29" s="327"/>
      <c r="HS29" s="327"/>
      <c r="HT29" s="327"/>
      <c r="HU29" s="327"/>
      <c r="HV29" s="327"/>
      <c r="HW29" s="327"/>
      <c r="HX29" s="327"/>
      <c r="HY29" s="327"/>
      <c r="HZ29" s="327"/>
      <c r="IA29" s="327"/>
      <c r="IB29" s="327"/>
      <c r="IC29" s="327"/>
      <c r="ID29" s="327"/>
      <c r="IE29" s="327"/>
      <c r="IF29" s="327"/>
      <c r="IG29" s="327"/>
      <c r="IH29" s="327"/>
      <c r="II29" s="327"/>
      <c r="IJ29" s="327"/>
      <c r="IK29" s="327"/>
      <c r="IL29" s="327"/>
      <c r="IM29" s="327"/>
      <c r="IN29" s="327"/>
      <c r="IO29" s="327"/>
      <c r="IP29" s="327"/>
      <c r="IQ29" s="327"/>
      <c r="IR29" s="327"/>
      <c r="IS29" s="327"/>
      <c r="IT29" s="327"/>
      <c r="IU29" s="327"/>
      <c r="IV29" s="327"/>
      <c r="IW29" s="327"/>
      <c r="IX29" s="327"/>
      <c r="IY29" s="327"/>
      <c r="IZ29" s="327"/>
      <c r="JA29" s="327"/>
      <c r="JB29" s="327"/>
      <c r="JC29" s="327"/>
      <c r="JD29" s="327"/>
      <c r="JE29" s="327"/>
      <c r="JF29" s="326"/>
    </row>
    <row r="30" spans="1:266" x14ac:dyDescent="0.25">
      <c r="A30" s="332" t="s">
        <v>998</v>
      </c>
      <c r="B30" s="333" t="s">
        <v>997</v>
      </c>
      <c r="C30" s="330"/>
      <c r="D30" s="329"/>
      <c r="E30" s="327"/>
      <c r="F30" s="327"/>
      <c r="G30" s="327"/>
      <c r="H30" s="327"/>
      <c r="I30" s="327"/>
      <c r="J30" s="327"/>
      <c r="K30" s="327"/>
      <c r="L30" s="327"/>
      <c r="M30" s="327"/>
      <c r="N30" s="326"/>
      <c r="O30" s="330"/>
      <c r="P30" s="329"/>
      <c r="Q30" s="327"/>
      <c r="R30" s="327"/>
      <c r="S30" s="327"/>
      <c r="T30" s="327"/>
      <c r="U30" s="327"/>
      <c r="V30" s="327"/>
      <c r="W30" s="328"/>
      <c r="X30" s="327"/>
      <c r="Y30" s="327"/>
      <c r="Z30" s="326"/>
      <c r="AA30" s="328"/>
      <c r="AB30" s="327"/>
      <c r="AC30" s="327"/>
      <c r="AD30" s="327"/>
      <c r="AE30" s="327"/>
      <c r="AF30" s="327"/>
      <c r="AG30" s="327"/>
      <c r="AH30" s="327"/>
      <c r="AI30" s="327"/>
      <c r="AJ30" s="327"/>
      <c r="AK30" s="327"/>
      <c r="AL30" s="327"/>
      <c r="AM30" s="327"/>
      <c r="AN30" s="327"/>
      <c r="AO30" s="327"/>
      <c r="AP30" s="327"/>
      <c r="AQ30" s="327"/>
      <c r="AR30" s="327"/>
      <c r="AS30" s="327"/>
      <c r="AT30" s="327"/>
      <c r="AU30" s="327"/>
      <c r="AV30" s="327"/>
      <c r="AW30" s="327"/>
      <c r="AX30" s="327"/>
      <c r="AY30" s="327"/>
      <c r="AZ30" s="327"/>
      <c r="BA30" s="327"/>
      <c r="BB30" s="327"/>
      <c r="BC30" s="327"/>
      <c r="BD30" s="327"/>
      <c r="BE30" s="327"/>
      <c r="BF30" s="327"/>
      <c r="BG30" s="327"/>
      <c r="BH30" s="327"/>
      <c r="BI30" s="327"/>
      <c r="BJ30" s="327"/>
      <c r="BK30" s="327"/>
      <c r="BL30" s="327"/>
      <c r="BM30" s="327"/>
      <c r="BN30" s="327"/>
      <c r="BO30" s="327"/>
      <c r="BP30" s="327"/>
      <c r="BQ30" s="327"/>
      <c r="BR30" s="327"/>
      <c r="BS30" s="327"/>
      <c r="BT30" s="327"/>
      <c r="BU30" s="327"/>
      <c r="BV30" s="327"/>
      <c r="BW30" s="327"/>
      <c r="BX30" s="327"/>
      <c r="BY30" s="327"/>
      <c r="BZ30" s="327"/>
      <c r="CA30" s="327"/>
      <c r="CB30" s="327"/>
      <c r="CC30" s="327"/>
      <c r="CD30" s="327"/>
      <c r="CE30" s="327"/>
      <c r="CF30" s="327"/>
      <c r="CG30" s="327"/>
      <c r="CH30" s="326"/>
      <c r="CI30" s="328"/>
      <c r="CJ30" s="327"/>
      <c r="CK30" s="327"/>
      <c r="CL30" s="327"/>
      <c r="CM30" s="327"/>
      <c r="CN30" s="327"/>
      <c r="CO30" s="327"/>
      <c r="CP30" s="327"/>
      <c r="CQ30" s="327"/>
      <c r="CR30" s="327"/>
      <c r="CS30" s="327"/>
      <c r="CT30" s="327"/>
      <c r="CU30" s="327"/>
      <c r="CV30" s="327"/>
      <c r="CW30" s="327"/>
      <c r="CX30" s="327"/>
      <c r="CY30" s="327"/>
      <c r="CZ30" s="327"/>
      <c r="DA30" s="327"/>
      <c r="DB30" s="327"/>
      <c r="DC30" s="327"/>
      <c r="DD30" s="327"/>
      <c r="DE30" s="327"/>
      <c r="DF30" s="327"/>
      <c r="DG30" s="327"/>
      <c r="DH30" s="327"/>
      <c r="DI30" s="327"/>
      <c r="DJ30" s="327"/>
      <c r="DK30" s="327"/>
      <c r="DL30" s="327"/>
      <c r="DM30" s="327"/>
      <c r="DN30" s="327"/>
      <c r="DO30" s="327"/>
      <c r="DP30" s="327"/>
      <c r="DQ30" s="327"/>
      <c r="DR30" s="327"/>
      <c r="DS30" s="327"/>
      <c r="DT30" s="327"/>
      <c r="DU30" s="327"/>
      <c r="DV30" s="327"/>
      <c r="DW30" s="327"/>
      <c r="DX30" s="327"/>
      <c r="DY30" s="327"/>
      <c r="DZ30" s="327"/>
      <c r="EA30" s="327"/>
      <c r="EB30" s="327"/>
      <c r="EC30" s="327"/>
      <c r="ED30" s="327"/>
      <c r="EE30" s="327"/>
      <c r="EF30" s="327"/>
      <c r="EG30" s="327"/>
      <c r="EH30" s="327"/>
      <c r="EI30" s="327"/>
      <c r="EJ30" s="327"/>
      <c r="EK30" s="327"/>
      <c r="EL30" s="327"/>
      <c r="EM30" s="327"/>
      <c r="EN30" s="327"/>
      <c r="EO30" s="327"/>
      <c r="EP30" s="326"/>
      <c r="EQ30" s="328"/>
      <c r="ER30" s="327"/>
      <c r="ES30" s="327"/>
      <c r="ET30" s="327"/>
      <c r="EU30" s="327"/>
      <c r="EV30" s="327"/>
      <c r="EW30" s="327"/>
      <c r="EX30" s="327"/>
      <c r="EY30" s="327"/>
      <c r="EZ30" s="327"/>
      <c r="FA30" s="327"/>
      <c r="FB30" s="327"/>
      <c r="FC30" s="327"/>
      <c r="FD30" s="327"/>
      <c r="FE30" s="327"/>
      <c r="FF30" s="327"/>
      <c r="FG30" s="327"/>
      <c r="FH30" s="327"/>
      <c r="FI30" s="327"/>
      <c r="FJ30" s="327"/>
      <c r="FK30" s="327"/>
      <c r="FL30" s="327"/>
      <c r="FM30" s="327"/>
      <c r="FN30" s="327"/>
      <c r="FO30" s="327"/>
      <c r="FP30" s="327"/>
      <c r="FQ30" s="327"/>
      <c r="FR30" s="327"/>
      <c r="FS30" s="327"/>
      <c r="FT30" s="327"/>
      <c r="FU30" s="327"/>
      <c r="FV30" s="327"/>
      <c r="FW30" s="327"/>
      <c r="FX30" s="327"/>
      <c r="FY30" s="327"/>
      <c r="FZ30" s="327"/>
      <c r="GA30" s="327"/>
      <c r="GB30" s="327"/>
      <c r="GC30" s="327"/>
      <c r="GD30" s="327"/>
      <c r="GE30" s="327"/>
      <c r="GF30" s="327"/>
      <c r="GG30" s="327"/>
      <c r="GH30" s="327"/>
      <c r="GI30" s="327"/>
      <c r="GJ30" s="327"/>
      <c r="GK30" s="327"/>
      <c r="GL30" s="327"/>
      <c r="GM30" s="327"/>
      <c r="GN30" s="327"/>
      <c r="GO30" s="327"/>
      <c r="GP30" s="327"/>
      <c r="GQ30" s="327"/>
      <c r="GR30" s="327"/>
      <c r="GS30" s="327"/>
      <c r="GT30" s="327"/>
      <c r="GU30" s="327"/>
      <c r="GV30" s="327"/>
      <c r="GW30" s="327"/>
      <c r="GX30" s="326"/>
      <c r="GY30" s="328"/>
      <c r="GZ30" s="327"/>
      <c r="HA30" s="327"/>
      <c r="HB30" s="327"/>
      <c r="HC30" s="327"/>
      <c r="HD30" s="327"/>
      <c r="HE30" s="327"/>
      <c r="HF30" s="327"/>
      <c r="HG30" s="327"/>
      <c r="HH30" s="327"/>
      <c r="HI30" s="327"/>
      <c r="HJ30" s="327"/>
      <c r="HK30" s="327"/>
      <c r="HL30" s="327"/>
      <c r="HM30" s="327"/>
      <c r="HN30" s="327"/>
      <c r="HO30" s="327"/>
      <c r="HP30" s="327"/>
      <c r="HQ30" s="327"/>
      <c r="HR30" s="327"/>
      <c r="HS30" s="327"/>
      <c r="HT30" s="327"/>
      <c r="HU30" s="327"/>
      <c r="HV30" s="327"/>
      <c r="HW30" s="327"/>
      <c r="HX30" s="327"/>
      <c r="HY30" s="327"/>
      <c r="HZ30" s="327"/>
      <c r="IA30" s="327"/>
      <c r="IB30" s="327"/>
      <c r="IC30" s="327"/>
      <c r="ID30" s="327"/>
      <c r="IE30" s="327"/>
      <c r="IF30" s="327"/>
      <c r="IG30" s="327"/>
      <c r="IH30" s="327"/>
      <c r="II30" s="327"/>
      <c r="IJ30" s="327"/>
      <c r="IK30" s="327"/>
      <c r="IL30" s="327"/>
      <c r="IM30" s="327"/>
      <c r="IN30" s="327"/>
      <c r="IO30" s="327"/>
      <c r="IP30" s="327"/>
      <c r="IQ30" s="327"/>
      <c r="IR30" s="327"/>
      <c r="IS30" s="327"/>
      <c r="IT30" s="327"/>
      <c r="IU30" s="327"/>
      <c r="IV30" s="327"/>
      <c r="IW30" s="327"/>
      <c r="IX30" s="327"/>
      <c r="IY30" s="327"/>
      <c r="IZ30" s="327"/>
      <c r="JA30" s="327"/>
      <c r="JB30" s="327"/>
      <c r="JC30" s="327"/>
      <c r="JD30" s="327"/>
      <c r="JE30" s="327"/>
      <c r="JF30" s="326"/>
    </row>
    <row r="31" spans="1:266" x14ac:dyDescent="0.25">
      <c r="A31" s="332" t="s">
        <v>995</v>
      </c>
      <c r="B31" s="333" t="s">
        <v>996</v>
      </c>
      <c r="C31" s="330"/>
      <c r="D31" s="329"/>
      <c r="E31" s="327"/>
      <c r="F31" s="327"/>
      <c r="G31" s="327"/>
      <c r="H31" s="327"/>
      <c r="I31" s="327"/>
      <c r="J31" s="327"/>
      <c r="K31" s="327"/>
      <c r="L31" s="327"/>
      <c r="M31" s="327"/>
      <c r="N31" s="326"/>
      <c r="O31" s="330"/>
      <c r="P31" s="329"/>
      <c r="Q31" s="327"/>
      <c r="R31" s="327"/>
      <c r="S31" s="327"/>
      <c r="T31" s="327"/>
      <c r="U31" s="327"/>
      <c r="V31" s="327"/>
      <c r="W31" s="328"/>
      <c r="X31" s="327"/>
      <c r="Y31" s="327"/>
      <c r="Z31" s="326"/>
      <c r="AA31" s="328"/>
      <c r="AB31" s="327"/>
      <c r="AC31" s="327"/>
      <c r="AD31" s="327"/>
      <c r="AE31" s="327"/>
      <c r="AF31" s="327"/>
      <c r="AG31" s="327"/>
      <c r="AH31" s="327"/>
      <c r="AI31" s="327"/>
      <c r="AJ31" s="327"/>
      <c r="AK31" s="327"/>
      <c r="AL31" s="327"/>
      <c r="AM31" s="327"/>
      <c r="AN31" s="327"/>
      <c r="AO31" s="327"/>
      <c r="AP31" s="327"/>
      <c r="AQ31" s="327"/>
      <c r="AR31" s="327"/>
      <c r="AS31" s="327"/>
      <c r="AT31" s="327"/>
      <c r="AU31" s="327"/>
      <c r="AV31" s="327"/>
      <c r="AW31" s="327"/>
      <c r="AX31" s="327"/>
      <c r="AY31" s="327"/>
      <c r="AZ31" s="327"/>
      <c r="BA31" s="327"/>
      <c r="BB31" s="327"/>
      <c r="BC31" s="327"/>
      <c r="BD31" s="327"/>
      <c r="BE31" s="327"/>
      <c r="BF31" s="327"/>
      <c r="BG31" s="327"/>
      <c r="BH31" s="327"/>
      <c r="BI31" s="327"/>
      <c r="BJ31" s="327"/>
      <c r="BK31" s="327"/>
      <c r="BL31" s="327"/>
      <c r="BM31" s="327"/>
      <c r="BN31" s="327"/>
      <c r="BO31" s="327"/>
      <c r="BP31" s="327"/>
      <c r="BQ31" s="327"/>
      <c r="BR31" s="327"/>
      <c r="BS31" s="327"/>
      <c r="BT31" s="327"/>
      <c r="BU31" s="327"/>
      <c r="BV31" s="327"/>
      <c r="BW31" s="327"/>
      <c r="BX31" s="327"/>
      <c r="BY31" s="327"/>
      <c r="BZ31" s="327"/>
      <c r="CA31" s="327"/>
      <c r="CB31" s="327"/>
      <c r="CC31" s="327"/>
      <c r="CD31" s="327"/>
      <c r="CE31" s="327"/>
      <c r="CF31" s="327"/>
      <c r="CG31" s="327"/>
      <c r="CH31" s="326"/>
      <c r="CI31" s="328"/>
      <c r="CJ31" s="327"/>
      <c r="CK31" s="327"/>
      <c r="CL31" s="327"/>
      <c r="CM31" s="327"/>
      <c r="CN31" s="327"/>
      <c r="CO31" s="327"/>
      <c r="CP31" s="327"/>
      <c r="CQ31" s="327"/>
      <c r="CR31" s="327"/>
      <c r="CS31" s="327"/>
      <c r="CT31" s="327"/>
      <c r="CU31" s="327"/>
      <c r="CV31" s="327"/>
      <c r="CW31" s="327"/>
      <c r="CX31" s="327"/>
      <c r="CY31" s="327"/>
      <c r="CZ31" s="327"/>
      <c r="DA31" s="327"/>
      <c r="DB31" s="327"/>
      <c r="DC31" s="327"/>
      <c r="DD31" s="327"/>
      <c r="DE31" s="327"/>
      <c r="DF31" s="327"/>
      <c r="DG31" s="327"/>
      <c r="DH31" s="327"/>
      <c r="DI31" s="327"/>
      <c r="DJ31" s="327"/>
      <c r="DK31" s="327"/>
      <c r="DL31" s="327"/>
      <c r="DM31" s="327"/>
      <c r="DN31" s="327"/>
      <c r="DO31" s="327"/>
      <c r="DP31" s="327"/>
      <c r="DQ31" s="327"/>
      <c r="DR31" s="327"/>
      <c r="DS31" s="327"/>
      <c r="DT31" s="327"/>
      <c r="DU31" s="327"/>
      <c r="DV31" s="327"/>
      <c r="DW31" s="327"/>
      <c r="DX31" s="327"/>
      <c r="DY31" s="327"/>
      <c r="DZ31" s="327"/>
      <c r="EA31" s="327"/>
      <c r="EB31" s="327"/>
      <c r="EC31" s="327"/>
      <c r="ED31" s="327"/>
      <c r="EE31" s="327"/>
      <c r="EF31" s="327"/>
      <c r="EG31" s="327"/>
      <c r="EH31" s="327"/>
      <c r="EI31" s="327"/>
      <c r="EJ31" s="327"/>
      <c r="EK31" s="327"/>
      <c r="EL31" s="327"/>
      <c r="EM31" s="327"/>
      <c r="EN31" s="327"/>
      <c r="EO31" s="327"/>
      <c r="EP31" s="326"/>
      <c r="EQ31" s="328"/>
      <c r="ER31" s="327"/>
      <c r="ES31" s="327"/>
      <c r="ET31" s="327"/>
      <c r="EU31" s="327"/>
      <c r="EV31" s="327"/>
      <c r="EW31" s="327"/>
      <c r="EX31" s="327"/>
      <c r="EY31" s="327"/>
      <c r="EZ31" s="327"/>
      <c r="FA31" s="327"/>
      <c r="FB31" s="327"/>
      <c r="FC31" s="327"/>
      <c r="FD31" s="327"/>
      <c r="FE31" s="327"/>
      <c r="FF31" s="327"/>
      <c r="FG31" s="327"/>
      <c r="FH31" s="327"/>
      <c r="FI31" s="327"/>
      <c r="FJ31" s="327"/>
      <c r="FK31" s="327"/>
      <c r="FL31" s="327"/>
      <c r="FM31" s="327"/>
      <c r="FN31" s="327"/>
      <c r="FO31" s="327"/>
      <c r="FP31" s="327"/>
      <c r="FQ31" s="327"/>
      <c r="FR31" s="327"/>
      <c r="FS31" s="327"/>
      <c r="FT31" s="327"/>
      <c r="FU31" s="327"/>
      <c r="FV31" s="327"/>
      <c r="FW31" s="327"/>
      <c r="FX31" s="327"/>
      <c r="FY31" s="327"/>
      <c r="FZ31" s="327"/>
      <c r="GA31" s="327"/>
      <c r="GB31" s="327"/>
      <c r="GC31" s="327"/>
      <c r="GD31" s="327"/>
      <c r="GE31" s="327"/>
      <c r="GF31" s="327"/>
      <c r="GG31" s="327"/>
      <c r="GH31" s="327"/>
      <c r="GI31" s="327"/>
      <c r="GJ31" s="327"/>
      <c r="GK31" s="327"/>
      <c r="GL31" s="327"/>
      <c r="GM31" s="327"/>
      <c r="GN31" s="327"/>
      <c r="GO31" s="327"/>
      <c r="GP31" s="327"/>
      <c r="GQ31" s="327"/>
      <c r="GR31" s="327"/>
      <c r="GS31" s="327"/>
      <c r="GT31" s="327"/>
      <c r="GU31" s="327"/>
      <c r="GV31" s="327"/>
      <c r="GW31" s="327"/>
      <c r="GX31" s="326"/>
      <c r="GY31" s="328"/>
      <c r="GZ31" s="327"/>
      <c r="HA31" s="327"/>
      <c r="HB31" s="327"/>
      <c r="HC31" s="327"/>
      <c r="HD31" s="327"/>
      <c r="HE31" s="327"/>
      <c r="HF31" s="327"/>
      <c r="HG31" s="327"/>
      <c r="HH31" s="327"/>
      <c r="HI31" s="327"/>
      <c r="HJ31" s="327"/>
      <c r="HK31" s="327"/>
      <c r="HL31" s="327"/>
      <c r="HM31" s="327"/>
      <c r="HN31" s="327"/>
      <c r="HO31" s="327"/>
      <c r="HP31" s="327"/>
      <c r="HQ31" s="327"/>
      <c r="HR31" s="327"/>
      <c r="HS31" s="327"/>
      <c r="HT31" s="327"/>
      <c r="HU31" s="327"/>
      <c r="HV31" s="327"/>
      <c r="HW31" s="327"/>
      <c r="HX31" s="327"/>
      <c r="HY31" s="327"/>
      <c r="HZ31" s="327"/>
      <c r="IA31" s="327"/>
      <c r="IB31" s="327"/>
      <c r="IC31" s="327"/>
      <c r="ID31" s="327"/>
      <c r="IE31" s="327"/>
      <c r="IF31" s="327"/>
      <c r="IG31" s="327"/>
      <c r="IH31" s="327"/>
      <c r="II31" s="327"/>
      <c r="IJ31" s="327"/>
      <c r="IK31" s="327"/>
      <c r="IL31" s="327"/>
      <c r="IM31" s="327"/>
      <c r="IN31" s="327"/>
      <c r="IO31" s="327"/>
      <c r="IP31" s="327"/>
      <c r="IQ31" s="327"/>
      <c r="IR31" s="327"/>
      <c r="IS31" s="327"/>
      <c r="IT31" s="327"/>
      <c r="IU31" s="327"/>
      <c r="IV31" s="327"/>
      <c r="IW31" s="327"/>
      <c r="IX31" s="327"/>
      <c r="IY31" s="327"/>
      <c r="IZ31" s="327"/>
      <c r="JA31" s="327"/>
      <c r="JB31" s="327"/>
      <c r="JC31" s="327"/>
      <c r="JD31" s="327"/>
      <c r="JE31" s="327"/>
      <c r="JF31" s="326"/>
    </row>
    <row r="32" spans="1:266" x14ac:dyDescent="0.25">
      <c r="A32" s="332" t="s">
        <v>995</v>
      </c>
      <c r="B32" s="333" t="s">
        <v>994</v>
      </c>
      <c r="C32" s="330"/>
      <c r="D32" s="329"/>
      <c r="E32" s="327"/>
      <c r="F32" s="327"/>
      <c r="G32" s="327"/>
      <c r="H32" s="327"/>
      <c r="I32" s="327"/>
      <c r="J32" s="327"/>
      <c r="K32" s="327"/>
      <c r="L32" s="327"/>
      <c r="M32" s="327"/>
      <c r="N32" s="326"/>
      <c r="O32" s="330"/>
      <c r="P32" s="329"/>
      <c r="Q32" s="327"/>
      <c r="R32" s="327"/>
      <c r="S32" s="327"/>
      <c r="T32" s="327"/>
      <c r="U32" s="327"/>
      <c r="V32" s="327"/>
      <c r="W32" s="328"/>
      <c r="X32" s="327"/>
      <c r="Y32" s="327"/>
      <c r="Z32" s="326"/>
      <c r="AA32" s="328"/>
      <c r="AB32" s="327"/>
      <c r="AC32" s="327"/>
      <c r="AD32" s="327"/>
      <c r="AE32" s="327"/>
      <c r="AF32" s="327"/>
      <c r="AG32" s="327"/>
      <c r="AH32" s="327"/>
      <c r="AI32" s="327"/>
      <c r="AJ32" s="327"/>
      <c r="AK32" s="327"/>
      <c r="AL32" s="327"/>
      <c r="AM32" s="327"/>
      <c r="AN32" s="327"/>
      <c r="AO32" s="327"/>
      <c r="AP32" s="327"/>
      <c r="AQ32" s="327"/>
      <c r="AR32" s="327"/>
      <c r="AS32" s="327"/>
      <c r="AT32" s="327"/>
      <c r="AU32" s="327"/>
      <c r="AV32" s="327"/>
      <c r="AW32" s="327"/>
      <c r="AX32" s="327"/>
      <c r="AY32" s="327"/>
      <c r="AZ32" s="327"/>
      <c r="BA32" s="327"/>
      <c r="BB32" s="327"/>
      <c r="BC32" s="327"/>
      <c r="BD32" s="327"/>
      <c r="BE32" s="327"/>
      <c r="BF32" s="327"/>
      <c r="BG32" s="327"/>
      <c r="BH32" s="327"/>
      <c r="BI32" s="327"/>
      <c r="BJ32" s="327"/>
      <c r="BK32" s="327"/>
      <c r="BL32" s="327"/>
      <c r="BM32" s="327"/>
      <c r="BN32" s="327"/>
      <c r="BO32" s="327"/>
      <c r="BP32" s="327"/>
      <c r="BQ32" s="327"/>
      <c r="BR32" s="327"/>
      <c r="BS32" s="327"/>
      <c r="BT32" s="327"/>
      <c r="BU32" s="327"/>
      <c r="BV32" s="327"/>
      <c r="BW32" s="327"/>
      <c r="BX32" s="327"/>
      <c r="BY32" s="327"/>
      <c r="BZ32" s="327"/>
      <c r="CA32" s="327"/>
      <c r="CB32" s="327"/>
      <c r="CC32" s="327"/>
      <c r="CD32" s="327"/>
      <c r="CE32" s="327"/>
      <c r="CF32" s="327"/>
      <c r="CG32" s="327"/>
      <c r="CH32" s="326"/>
      <c r="CI32" s="328"/>
      <c r="CJ32" s="327"/>
      <c r="CK32" s="327"/>
      <c r="CL32" s="327"/>
      <c r="CM32" s="327"/>
      <c r="CN32" s="327"/>
      <c r="CO32" s="327"/>
      <c r="CP32" s="327"/>
      <c r="CQ32" s="327"/>
      <c r="CR32" s="327"/>
      <c r="CS32" s="327"/>
      <c r="CT32" s="327"/>
      <c r="CU32" s="327"/>
      <c r="CV32" s="327"/>
      <c r="CW32" s="327"/>
      <c r="CX32" s="327"/>
      <c r="CY32" s="327"/>
      <c r="CZ32" s="327"/>
      <c r="DA32" s="327"/>
      <c r="DB32" s="327"/>
      <c r="DC32" s="327"/>
      <c r="DD32" s="327"/>
      <c r="DE32" s="327"/>
      <c r="DF32" s="327"/>
      <c r="DG32" s="327"/>
      <c r="DH32" s="327"/>
      <c r="DI32" s="327"/>
      <c r="DJ32" s="327"/>
      <c r="DK32" s="327"/>
      <c r="DL32" s="327"/>
      <c r="DM32" s="327"/>
      <c r="DN32" s="327"/>
      <c r="DO32" s="327"/>
      <c r="DP32" s="327"/>
      <c r="DQ32" s="327"/>
      <c r="DR32" s="327"/>
      <c r="DS32" s="327"/>
      <c r="DT32" s="327"/>
      <c r="DU32" s="327"/>
      <c r="DV32" s="327"/>
      <c r="DW32" s="327"/>
      <c r="DX32" s="327"/>
      <c r="DY32" s="327"/>
      <c r="DZ32" s="327"/>
      <c r="EA32" s="327"/>
      <c r="EB32" s="327"/>
      <c r="EC32" s="327"/>
      <c r="ED32" s="327"/>
      <c r="EE32" s="327"/>
      <c r="EF32" s="327"/>
      <c r="EG32" s="327"/>
      <c r="EH32" s="327"/>
      <c r="EI32" s="327"/>
      <c r="EJ32" s="327"/>
      <c r="EK32" s="327"/>
      <c r="EL32" s="327"/>
      <c r="EM32" s="327"/>
      <c r="EN32" s="327"/>
      <c r="EO32" s="327"/>
      <c r="EP32" s="326"/>
      <c r="EQ32" s="328"/>
      <c r="ER32" s="327"/>
      <c r="ES32" s="327"/>
      <c r="ET32" s="327"/>
      <c r="EU32" s="327"/>
      <c r="EV32" s="327"/>
      <c r="EW32" s="327"/>
      <c r="EX32" s="327"/>
      <c r="EY32" s="327"/>
      <c r="EZ32" s="327"/>
      <c r="FA32" s="327"/>
      <c r="FB32" s="327"/>
      <c r="FC32" s="327"/>
      <c r="FD32" s="327"/>
      <c r="FE32" s="327"/>
      <c r="FF32" s="327"/>
      <c r="FG32" s="327"/>
      <c r="FH32" s="327"/>
      <c r="FI32" s="327"/>
      <c r="FJ32" s="327"/>
      <c r="FK32" s="327"/>
      <c r="FL32" s="327"/>
      <c r="FM32" s="327"/>
      <c r="FN32" s="327"/>
      <c r="FO32" s="327"/>
      <c r="FP32" s="327"/>
      <c r="FQ32" s="327"/>
      <c r="FR32" s="327"/>
      <c r="FS32" s="327"/>
      <c r="FT32" s="327"/>
      <c r="FU32" s="327"/>
      <c r="FV32" s="327"/>
      <c r="FW32" s="327"/>
      <c r="FX32" s="327"/>
      <c r="FY32" s="327"/>
      <c r="FZ32" s="327"/>
      <c r="GA32" s="327"/>
      <c r="GB32" s="327"/>
      <c r="GC32" s="327"/>
      <c r="GD32" s="327"/>
      <c r="GE32" s="327"/>
      <c r="GF32" s="327"/>
      <c r="GG32" s="327"/>
      <c r="GH32" s="327"/>
      <c r="GI32" s="327"/>
      <c r="GJ32" s="327"/>
      <c r="GK32" s="327"/>
      <c r="GL32" s="327"/>
      <c r="GM32" s="327"/>
      <c r="GN32" s="327"/>
      <c r="GO32" s="327"/>
      <c r="GP32" s="327"/>
      <c r="GQ32" s="327"/>
      <c r="GR32" s="327"/>
      <c r="GS32" s="327"/>
      <c r="GT32" s="327"/>
      <c r="GU32" s="327"/>
      <c r="GV32" s="327"/>
      <c r="GW32" s="327"/>
      <c r="GX32" s="326"/>
      <c r="GY32" s="328"/>
      <c r="GZ32" s="327"/>
      <c r="HA32" s="327"/>
      <c r="HB32" s="327"/>
      <c r="HC32" s="327"/>
      <c r="HD32" s="327"/>
      <c r="HE32" s="327"/>
      <c r="HF32" s="327"/>
      <c r="HG32" s="327"/>
      <c r="HH32" s="327"/>
      <c r="HI32" s="327"/>
      <c r="HJ32" s="327"/>
      <c r="HK32" s="327"/>
      <c r="HL32" s="327"/>
      <c r="HM32" s="327"/>
      <c r="HN32" s="327"/>
      <c r="HO32" s="327"/>
      <c r="HP32" s="327"/>
      <c r="HQ32" s="327"/>
      <c r="HR32" s="327"/>
      <c r="HS32" s="327"/>
      <c r="HT32" s="327"/>
      <c r="HU32" s="327"/>
      <c r="HV32" s="327"/>
      <c r="HW32" s="327"/>
      <c r="HX32" s="327"/>
      <c r="HY32" s="327"/>
      <c r="HZ32" s="327"/>
      <c r="IA32" s="327"/>
      <c r="IB32" s="327"/>
      <c r="IC32" s="327"/>
      <c r="ID32" s="327"/>
      <c r="IE32" s="327"/>
      <c r="IF32" s="327"/>
      <c r="IG32" s="327"/>
      <c r="IH32" s="327"/>
      <c r="II32" s="327"/>
      <c r="IJ32" s="327"/>
      <c r="IK32" s="327"/>
      <c r="IL32" s="327"/>
      <c r="IM32" s="327"/>
      <c r="IN32" s="327"/>
      <c r="IO32" s="327"/>
      <c r="IP32" s="327"/>
      <c r="IQ32" s="327"/>
      <c r="IR32" s="327"/>
      <c r="IS32" s="327"/>
      <c r="IT32" s="327"/>
      <c r="IU32" s="327"/>
      <c r="IV32" s="327"/>
      <c r="IW32" s="327"/>
      <c r="IX32" s="327"/>
      <c r="IY32" s="327"/>
      <c r="IZ32" s="327"/>
      <c r="JA32" s="327"/>
      <c r="JB32" s="327"/>
      <c r="JC32" s="327"/>
      <c r="JD32" s="327"/>
      <c r="JE32" s="327"/>
      <c r="JF32" s="326"/>
    </row>
    <row r="33" spans="1:266" x14ac:dyDescent="0.25">
      <c r="A33" s="332" t="s">
        <v>992</v>
      </c>
      <c r="B33" s="333" t="s">
        <v>993</v>
      </c>
      <c r="C33" s="330"/>
      <c r="D33" s="329"/>
      <c r="E33" s="327"/>
      <c r="F33" s="327"/>
      <c r="G33" s="327"/>
      <c r="H33" s="327"/>
      <c r="I33" s="327"/>
      <c r="J33" s="327"/>
      <c r="K33" s="327"/>
      <c r="L33" s="327"/>
      <c r="M33" s="327"/>
      <c r="N33" s="326"/>
      <c r="O33" s="330"/>
      <c r="P33" s="329"/>
      <c r="Q33" s="327"/>
      <c r="R33" s="327"/>
      <c r="S33" s="327"/>
      <c r="T33" s="327"/>
      <c r="U33" s="327"/>
      <c r="V33" s="327"/>
      <c r="W33" s="328"/>
      <c r="X33" s="327"/>
      <c r="Y33" s="327"/>
      <c r="Z33" s="326"/>
      <c r="AA33" s="328"/>
      <c r="AB33" s="327"/>
      <c r="AC33" s="327"/>
      <c r="AD33" s="327"/>
      <c r="AE33" s="327"/>
      <c r="AF33" s="327"/>
      <c r="AG33" s="327"/>
      <c r="AH33" s="327"/>
      <c r="AI33" s="327"/>
      <c r="AJ33" s="327"/>
      <c r="AK33" s="327"/>
      <c r="AL33" s="327"/>
      <c r="AM33" s="327"/>
      <c r="AN33" s="327"/>
      <c r="AO33" s="327"/>
      <c r="AP33" s="327"/>
      <c r="AQ33" s="327"/>
      <c r="AR33" s="327"/>
      <c r="AS33" s="327"/>
      <c r="AT33" s="327"/>
      <c r="AU33" s="327"/>
      <c r="AV33" s="327"/>
      <c r="AW33" s="327"/>
      <c r="AX33" s="327"/>
      <c r="AY33" s="327"/>
      <c r="AZ33" s="327"/>
      <c r="BA33" s="327"/>
      <c r="BB33" s="327"/>
      <c r="BC33" s="327"/>
      <c r="BD33" s="327"/>
      <c r="BE33" s="327"/>
      <c r="BF33" s="327"/>
      <c r="BG33" s="327"/>
      <c r="BH33" s="327"/>
      <c r="BI33" s="327"/>
      <c r="BJ33" s="327"/>
      <c r="BK33" s="327"/>
      <c r="BL33" s="327"/>
      <c r="BM33" s="327"/>
      <c r="BN33" s="327"/>
      <c r="BO33" s="327"/>
      <c r="BP33" s="327"/>
      <c r="BQ33" s="327"/>
      <c r="BR33" s="327"/>
      <c r="BS33" s="327"/>
      <c r="BT33" s="327"/>
      <c r="BU33" s="327"/>
      <c r="BV33" s="327"/>
      <c r="BW33" s="327"/>
      <c r="BX33" s="327"/>
      <c r="BY33" s="327"/>
      <c r="BZ33" s="327"/>
      <c r="CA33" s="327"/>
      <c r="CB33" s="327"/>
      <c r="CC33" s="327"/>
      <c r="CD33" s="327"/>
      <c r="CE33" s="327"/>
      <c r="CF33" s="327"/>
      <c r="CG33" s="327"/>
      <c r="CH33" s="326"/>
      <c r="CI33" s="328"/>
      <c r="CJ33" s="327"/>
      <c r="CK33" s="327"/>
      <c r="CL33" s="327"/>
      <c r="CM33" s="327"/>
      <c r="CN33" s="327"/>
      <c r="CO33" s="327"/>
      <c r="CP33" s="327"/>
      <c r="CQ33" s="327"/>
      <c r="CR33" s="327"/>
      <c r="CS33" s="327"/>
      <c r="CT33" s="327"/>
      <c r="CU33" s="327"/>
      <c r="CV33" s="327"/>
      <c r="CW33" s="327"/>
      <c r="CX33" s="327"/>
      <c r="CY33" s="327"/>
      <c r="CZ33" s="327"/>
      <c r="DA33" s="327"/>
      <c r="DB33" s="327"/>
      <c r="DC33" s="327"/>
      <c r="DD33" s="327"/>
      <c r="DE33" s="327"/>
      <c r="DF33" s="327"/>
      <c r="DG33" s="327"/>
      <c r="DH33" s="327"/>
      <c r="DI33" s="327"/>
      <c r="DJ33" s="327"/>
      <c r="DK33" s="327"/>
      <c r="DL33" s="327"/>
      <c r="DM33" s="327"/>
      <c r="DN33" s="327"/>
      <c r="DO33" s="327"/>
      <c r="DP33" s="327"/>
      <c r="DQ33" s="327"/>
      <c r="DR33" s="327"/>
      <c r="DS33" s="327"/>
      <c r="DT33" s="327"/>
      <c r="DU33" s="327"/>
      <c r="DV33" s="327"/>
      <c r="DW33" s="327"/>
      <c r="DX33" s="327"/>
      <c r="DY33" s="327"/>
      <c r="DZ33" s="327"/>
      <c r="EA33" s="327"/>
      <c r="EB33" s="327"/>
      <c r="EC33" s="327"/>
      <c r="ED33" s="327"/>
      <c r="EE33" s="327"/>
      <c r="EF33" s="327"/>
      <c r="EG33" s="327"/>
      <c r="EH33" s="327"/>
      <c r="EI33" s="327"/>
      <c r="EJ33" s="327"/>
      <c r="EK33" s="327"/>
      <c r="EL33" s="327"/>
      <c r="EM33" s="327"/>
      <c r="EN33" s="327"/>
      <c r="EO33" s="327"/>
      <c r="EP33" s="326"/>
      <c r="EQ33" s="328"/>
      <c r="ER33" s="327"/>
      <c r="ES33" s="327"/>
      <c r="ET33" s="327"/>
      <c r="EU33" s="327"/>
      <c r="EV33" s="327"/>
      <c r="EW33" s="327"/>
      <c r="EX33" s="327"/>
      <c r="EY33" s="327"/>
      <c r="EZ33" s="327"/>
      <c r="FA33" s="327"/>
      <c r="FB33" s="327"/>
      <c r="FC33" s="327"/>
      <c r="FD33" s="327"/>
      <c r="FE33" s="327"/>
      <c r="FF33" s="327"/>
      <c r="FG33" s="327"/>
      <c r="FH33" s="327"/>
      <c r="FI33" s="327"/>
      <c r="FJ33" s="327"/>
      <c r="FK33" s="327"/>
      <c r="FL33" s="327"/>
      <c r="FM33" s="327"/>
      <c r="FN33" s="327"/>
      <c r="FO33" s="327"/>
      <c r="FP33" s="327"/>
      <c r="FQ33" s="327"/>
      <c r="FR33" s="327"/>
      <c r="FS33" s="327"/>
      <c r="FT33" s="327"/>
      <c r="FU33" s="327"/>
      <c r="FV33" s="327"/>
      <c r="FW33" s="327"/>
      <c r="FX33" s="327"/>
      <c r="FY33" s="327"/>
      <c r="FZ33" s="327"/>
      <c r="GA33" s="327"/>
      <c r="GB33" s="327"/>
      <c r="GC33" s="327"/>
      <c r="GD33" s="327"/>
      <c r="GE33" s="327"/>
      <c r="GF33" s="327"/>
      <c r="GG33" s="327"/>
      <c r="GH33" s="327"/>
      <c r="GI33" s="327"/>
      <c r="GJ33" s="327"/>
      <c r="GK33" s="327"/>
      <c r="GL33" s="327"/>
      <c r="GM33" s="327"/>
      <c r="GN33" s="327"/>
      <c r="GO33" s="327"/>
      <c r="GP33" s="327"/>
      <c r="GQ33" s="327"/>
      <c r="GR33" s="327"/>
      <c r="GS33" s="327"/>
      <c r="GT33" s="327"/>
      <c r="GU33" s="327"/>
      <c r="GV33" s="327"/>
      <c r="GW33" s="327"/>
      <c r="GX33" s="326"/>
      <c r="GY33" s="328"/>
      <c r="GZ33" s="327"/>
      <c r="HA33" s="327"/>
      <c r="HB33" s="327"/>
      <c r="HC33" s="327"/>
      <c r="HD33" s="327"/>
      <c r="HE33" s="327"/>
      <c r="HF33" s="327"/>
      <c r="HG33" s="327"/>
      <c r="HH33" s="327"/>
      <c r="HI33" s="327"/>
      <c r="HJ33" s="327"/>
      <c r="HK33" s="327"/>
      <c r="HL33" s="327"/>
      <c r="HM33" s="327"/>
      <c r="HN33" s="327"/>
      <c r="HO33" s="327"/>
      <c r="HP33" s="327"/>
      <c r="HQ33" s="327"/>
      <c r="HR33" s="327"/>
      <c r="HS33" s="327"/>
      <c r="HT33" s="327"/>
      <c r="HU33" s="327"/>
      <c r="HV33" s="327"/>
      <c r="HW33" s="327"/>
      <c r="HX33" s="327"/>
      <c r="HY33" s="327"/>
      <c r="HZ33" s="327"/>
      <c r="IA33" s="327"/>
      <c r="IB33" s="327"/>
      <c r="IC33" s="327"/>
      <c r="ID33" s="327"/>
      <c r="IE33" s="327"/>
      <c r="IF33" s="327"/>
      <c r="IG33" s="327"/>
      <c r="IH33" s="327"/>
      <c r="II33" s="327"/>
      <c r="IJ33" s="327"/>
      <c r="IK33" s="327"/>
      <c r="IL33" s="327"/>
      <c r="IM33" s="327"/>
      <c r="IN33" s="327"/>
      <c r="IO33" s="327"/>
      <c r="IP33" s="327"/>
      <c r="IQ33" s="327"/>
      <c r="IR33" s="327"/>
      <c r="IS33" s="327"/>
      <c r="IT33" s="327"/>
      <c r="IU33" s="327"/>
      <c r="IV33" s="327"/>
      <c r="IW33" s="327"/>
      <c r="IX33" s="327"/>
      <c r="IY33" s="327"/>
      <c r="IZ33" s="327"/>
      <c r="JA33" s="327"/>
      <c r="JB33" s="327"/>
      <c r="JC33" s="327"/>
      <c r="JD33" s="327"/>
      <c r="JE33" s="327"/>
      <c r="JF33" s="326"/>
    </row>
    <row r="34" spans="1:266" x14ac:dyDescent="0.25">
      <c r="A34" s="332" t="s">
        <v>992</v>
      </c>
      <c r="B34" s="333" t="s">
        <v>991</v>
      </c>
      <c r="C34" s="330"/>
      <c r="D34" s="329"/>
      <c r="E34" s="327"/>
      <c r="F34" s="327"/>
      <c r="G34" s="327"/>
      <c r="H34" s="327"/>
      <c r="I34" s="327"/>
      <c r="J34" s="327"/>
      <c r="K34" s="327"/>
      <c r="L34" s="327"/>
      <c r="M34" s="327"/>
      <c r="N34" s="326"/>
      <c r="O34" s="330"/>
      <c r="P34" s="329"/>
      <c r="Q34" s="327"/>
      <c r="R34" s="327"/>
      <c r="S34" s="327"/>
      <c r="T34" s="327"/>
      <c r="U34" s="327"/>
      <c r="V34" s="327"/>
      <c r="W34" s="328"/>
      <c r="X34" s="327"/>
      <c r="Y34" s="327"/>
      <c r="Z34" s="326"/>
      <c r="AA34" s="328"/>
      <c r="AB34" s="327"/>
      <c r="AC34" s="327"/>
      <c r="AD34" s="327"/>
      <c r="AE34" s="327"/>
      <c r="AF34" s="327"/>
      <c r="AG34" s="327"/>
      <c r="AH34" s="327"/>
      <c r="AI34" s="327"/>
      <c r="AJ34" s="327"/>
      <c r="AK34" s="327"/>
      <c r="AL34" s="327"/>
      <c r="AM34" s="327"/>
      <c r="AN34" s="327"/>
      <c r="AO34" s="327"/>
      <c r="AP34" s="327"/>
      <c r="AQ34" s="327"/>
      <c r="AR34" s="327"/>
      <c r="AS34" s="327"/>
      <c r="AT34" s="327"/>
      <c r="AU34" s="327"/>
      <c r="AV34" s="327"/>
      <c r="AW34" s="327"/>
      <c r="AX34" s="327"/>
      <c r="AY34" s="327"/>
      <c r="AZ34" s="327"/>
      <c r="BA34" s="327"/>
      <c r="BB34" s="327"/>
      <c r="BC34" s="327"/>
      <c r="BD34" s="327"/>
      <c r="BE34" s="327"/>
      <c r="BF34" s="327"/>
      <c r="BG34" s="327"/>
      <c r="BH34" s="327"/>
      <c r="BI34" s="327"/>
      <c r="BJ34" s="327"/>
      <c r="BK34" s="327"/>
      <c r="BL34" s="327"/>
      <c r="BM34" s="327"/>
      <c r="BN34" s="327"/>
      <c r="BO34" s="327"/>
      <c r="BP34" s="327"/>
      <c r="BQ34" s="327"/>
      <c r="BR34" s="327"/>
      <c r="BS34" s="327"/>
      <c r="BT34" s="327"/>
      <c r="BU34" s="327"/>
      <c r="BV34" s="327"/>
      <c r="BW34" s="327"/>
      <c r="BX34" s="327"/>
      <c r="BY34" s="327"/>
      <c r="BZ34" s="327"/>
      <c r="CA34" s="327"/>
      <c r="CB34" s="327"/>
      <c r="CC34" s="327"/>
      <c r="CD34" s="327"/>
      <c r="CE34" s="327"/>
      <c r="CF34" s="327"/>
      <c r="CG34" s="327"/>
      <c r="CH34" s="326"/>
      <c r="CI34" s="328"/>
      <c r="CJ34" s="327"/>
      <c r="CK34" s="327"/>
      <c r="CL34" s="327"/>
      <c r="CM34" s="327"/>
      <c r="CN34" s="327"/>
      <c r="CO34" s="327"/>
      <c r="CP34" s="327"/>
      <c r="CQ34" s="327"/>
      <c r="CR34" s="327"/>
      <c r="CS34" s="327"/>
      <c r="CT34" s="327"/>
      <c r="CU34" s="327"/>
      <c r="CV34" s="327"/>
      <c r="CW34" s="327"/>
      <c r="CX34" s="327"/>
      <c r="CY34" s="327"/>
      <c r="CZ34" s="327"/>
      <c r="DA34" s="327"/>
      <c r="DB34" s="327"/>
      <c r="DC34" s="327"/>
      <c r="DD34" s="327"/>
      <c r="DE34" s="327"/>
      <c r="DF34" s="327"/>
      <c r="DG34" s="327"/>
      <c r="DH34" s="327"/>
      <c r="DI34" s="327"/>
      <c r="DJ34" s="327"/>
      <c r="DK34" s="327"/>
      <c r="DL34" s="327"/>
      <c r="DM34" s="327"/>
      <c r="DN34" s="327"/>
      <c r="DO34" s="327"/>
      <c r="DP34" s="327"/>
      <c r="DQ34" s="327"/>
      <c r="DR34" s="327"/>
      <c r="DS34" s="327"/>
      <c r="DT34" s="327"/>
      <c r="DU34" s="327"/>
      <c r="DV34" s="327"/>
      <c r="DW34" s="327"/>
      <c r="DX34" s="327"/>
      <c r="DY34" s="327"/>
      <c r="DZ34" s="327"/>
      <c r="EA34" s="327"/>
      <c r="EB34" s="327"/>
      <c r="EC34" s="327"/>
      <c r="ED34" s="327"/>
      <c r="EE34" s="327"/>
      <c r="EF34" s="327"/>
      <c r="EG34" s="327"/>
      <c r="EH34" s="327"/>
      <c r="EI34" s="327"/>
      <c r="EJ34" s="327"/>
      <c r="EK34" s="327"/>
      <c r="EL34" s="327"/>
      <c r="EM34" s="327"/>
      <c r="EN34" s="327"/>
      <c r="EO34" s="327"/>
      <c r="EP34" s="326"/>
      <c r="EQ34" s="328"/>
      <c r="ER34" s="327"/>
      <c r="ES34" s="327"/>
      <c r="ET34" s="327"/>
      <c r="EU34" s="327"/>
      <c r="EV34" s="327"/>
      <c r="EW34" s="327"/>
      <c r="EX34" s="327"/>
      <c r="EY34" s="327"/>
      <c r="EZ34" s="327"/>
      <c r="FA34" s="327"/>
      <c r="FB34" s="327"/>
      <c r="FC34" s="327"/>
      <c r="FD34" s="327"/>
      <c r="FE34" s="327"/>
      <c r="FF34" s="327"/>
      <c r="FG34" s="327"/>
      <c r="FH34" s="327"/>
      <c r="FI34" s="327"/>
      <c r="FJ34" s="327"/>
      <c r="FK34" s="327"/>
      <c r="FL34" s="327"/>
      <c r="FM34" s="327"/>
      <c r="FN34" s="327"/>
      <c r="FO34" s="327"/>
      <c r="FP34" s="327"/>
      <c r="FQ34" s="327"/>
      <c r="FR34" s="327"/>
      <c r="FS34" s="327"/>
      <c r="FT34" s="327"/>
      <c r="FU34" s="327"/>
      <c r="FV34" s="327"/>
      <c r="FW34" s="327"/>
      <c r="FX34" s="327"/>
      <c r="FY34" s="327"/>
      <c r="FZ34" s="327"/>
      <c r="GA34" s="327"/>
      <c r="GB34" s="327"/>
      <c r="GC34" s="327"/>
      <c r="GD34" s="327"/>
      <c r="GE34" s="327"/>
      <c r="GF34" s="327"/>
      <c r="GG34" s="327"/>
      <c r="GH34" s="327"/>
      <c r="GI34" s="327"/>
      <c r="GJ34" s="327"/>
      <c r="GK34" s="327"/>
      <c r="GL34" s="327"/>
      <c r="GM34" s="327"/>
      <c r="GN34" s="327"/>
      <c r="GO34" s="327"/>
      <c r="GP34" s="327"/>
      <c r="GQ34" s="327"/>
      <c r="GR34" s="327"/>
      <c r="GS34" s="327"/>
      <c r="GT34" s="327"/>
      <c r="GU34" s="327"/>
      <c r="GV34" s="327"/>
      <c r="GW34" s="327"/>
      <c r="GX34" s="326"/>
      <c r="GY34" s="328"/>
      <c r="GZ34" s="327"/>
      <c r="HA34" s="327"/>
      <c r="HB34" s="327"/>
      <c r="HC34" s="327"/>
      <c r="HD34" s="327"/>
      <c r="HE34" s="327"/>
      <c r="HF34" s="327"/>
      <c r="HG34" s="327"/>
      <c r="HH34" s="327"/>
      <c r="HI34" s="327"/>
      <c r="HJ34" s="327"/>
      <c r="HK34" s="327"/>
      <c r="HL34" s="327"/>
      <c r="HM34" s="327"/>
      <c r="HN34" s="327"/>
      <c r="HO34" s="327"/>
      <c r="HP34" s="327"/>
      <c r="HQ34" s="327"/>
      <c r="HR34" s="327"/>
      <c r="HS34" s="327"/>
      <c r="HT34" s="327"/>
      <c r="HU34" s="327"/>
      <c r="HV34" s="327"/>
      <c r="HW34" s="327"/>
      <c r="HX34" s="327"/>
      <c r="HY34" s="327"/>
      <c r="HZ34" s="327"/>
      <c r="IA34" s="327"/>
      <c r="IB34" s="327"/>
      <c r="IC34" s="327"/>
      <c r="ID34" s="327"/>
      <c r="IE34" s="327"/>
      <c r="IF34" s="327"/>
      <c r="IG34" s="327"/>
      <c r="IH34" s="327"/>
      <c r="II34" s="327"/>
      <c r="IJ34" s="327"/>
      <c r="IK34" s="327"/>
      <c r="IL34" s="327"/>
      <c r="IM34" s="327"/>
      <c r="IN34" s="327"/>
      <c r="IO34" s="327"/>
      <c r="IP34" s="327"/>
      <c r="IQ34" s="327"/>
      <c r="IR34" s="327"/>
      <c r="IS34" s="327"/>
      <c r="IT34" s="327"/>
      <c r="IU34" s="327"/>
      <c r="IV34" s="327"/>
      <c r="IW34" s="327"/>
      <c r="IX34" s="327"/>
      <c r="IY34" s="327"/>
      <c r="IZ34" s="327"/>
      <c r="JA34" s="327"/>
      <c r="JB34" s="327"/>
      <c r="JC34" s="327"/>
      <c r="JD34" s="327"/>
      <c r="JE34" s="327"/>
      <c r="JF34" s="326"/>
    </row>
    <row r="35" spans="1:266" x14ac:dyDescent="0.25">
      <c r="A35" s="332" t="s">
        <v>230</v>
      </c>
      <c r="B35" s="331" t="s">
        <v>990</v>
      </c>
      <c r="C35" s="330"/>
      <c r="D35" s="329"/>
      <c r="E35" s="327"/>
      <c r="F35" s="327"/>
      <c r="G35" s="327"/>
      <c r="H35" s="327"/>
      <c r="I35" s="327"/>
      <c r="J35" s="327"/>
      <c r="K35" s="327"/>
      <c r="L35" s="327"/>
      <c r="M35" s="327"/>
      <c r="N35" s="326"/>
      <c r="O35" s="330"/>
      <c r="P35" s="329"/>
      <c r="Q35" s="327"/>
      <c r="R35" s="327"/>
      <c r="S35" s="327"/>
      <c r="T35" s="327"/>
      <c r="U35" s="327"/>
      <c r="V35" s="327"/>
      <c r="W35" s="328"/>
      <c r="X35" s="327"/>
      <c r="Y35" s="327"/>
      <c r="Z35" s="326"/>
      <c r="AA35" s="328"/>
      <c r="AB35" s="327"/>
      <c r="AC35" s="327"/>
      <c r="AD35" s="327"/>
      <c r="AE35" s="327"/>
      <c r="AF35" s="327"/>
      <c r="AG35" s="327"/>
      <c r="AH35" s="327"/>
      <c r="AI35" s="327"/>
      <c r="AJ35" s="327"/>
      <c r="AK35" s="327"/>
      <c r="AL35" s="327"/>
      <c r="AM35" s="327"/>
      <c r="AN35" s="327"/>
      <c r="AO35" s="327"/>
      <c r="AP35" s="327"/>
      <c r="AQ35" s="327"/>
      <c r="AR35" s="327"/>
      <c r="AS35" s="327"/>
      <c r="AT35" s="327"/>
      <c r="AU35" s="327"/>
      <c r="AV35" s="327"/>
      <c r="AW35" s="327"/>
      <c r="AX35" s="327"/>
      <c r="AY35" s="327"/>
      <c r="AZ35" s="327"/>
      <c r="BA35" s="327"/>
      <c r="BB35" s="327"/>
      <c r="BC35" s="327"/>
      <c r="BD35" s="327"/>
      <c r="BE35" s="327"/>
      <c r="BF35" s="327"/>
      <c r="BG35" s="327"/>
      <c r="BH35" s="327"/>
      <c r="BI35" s="327"/>
      <c r="BJ35" s="327"/>
      <c r="BK35" s="327"/>
      <c r="BL35" s="327"/>
      <c r="BM35" s="327"/>
      <c r="BN35" s="327"/>
      <c r="BO35" s="327"/>
      <c r="BP35" s="327"/>
      <c r="BQ35" s="327"/>
      <c r="BR35" s="327"/>
      <c r="BS35" s="327"/>
      <c r="BT35" s="327"/>
      <c r="BU35" s="327"/>
      <c r="BV35" s="327"/>
      <c r="BW35" s="327"/>
      <c r="BX35" s="327"/>
      <c r="BY35" s="327"/>
      <c r="BZ35" s="327"/>
      <c r="CA35" s="327"/>
      <c r="CB35" s="327"/>
      <c r="CC35" s="327"/>
      <c r="CD35" s="327"/>
      <c r="CE35" s="327"/>
      <c r="CF35" s="327"/>
      <c r="CG35" s="327"/>
      <c r="CH35" s="326"/>
      <c r="CI35" s="328"/>
      <c r="CJ35" s="327"/>
      <c r="CK35" s="327"/>
      <c r="CL35" s="327"/>
      <c r="CM35" s="327"/>
      <c r="CN35" s="327"/>
      <c r="CO35" s="327"/>
      <c r="CP35" s="327"/>
      <c r="CQ35" s="327"/>
      <c r="CR35" s="327"/>
      <c r="CS35" s="327"/>
      <c r="CT35" s="327"/>
      <c r="CU35" s="327"/>
      <c r="CV35" s="327"/>
      <c r="CW35" s="327"/>
      <c r="CX35" s="327"/>
      <c r="CY35" s="327"/>
      <c r="CZ35" s="327"/>
      <c r="DA35" s="327"/>
      <c r="DB35" s="327"/>
      <c r="DC35" s="327"/>
      <c r="DD35" s="327"/>
      <c r="DE35" s="327"/>
      <c r="DF35" s="327"/>
      <c r="DG35" s="327"/>
      <c r="DH35" s="327"/>
      <c r="DI35" s="327"/>
      <c r="DJ35" s="327"/>
      <c r="DK35" s="327"/>
      <c r="DL35" s="327"/>
      <c r="DM35" s="327"/>
      <c r="DN35" s="327"/>
      <c r="DO35" s="327"/>
      <c r="DP35" s="327"/>
      <c r="DQ35" s="327"/>
      <c r="DR35" s="327"/>
      <c r="DS35" s="327"/>
      <c r="DT35" s="327"/>
      <c r="DU35" s="327"/>
      <c r="DV35" s="327"/>
      <c r="DW35" s="327"/>
      <c r="DX35" s="327"/>
      <c r="DY35" s="327"/>
      <c r="DZ35" s="327"/>
      <c r="EA35" s="327"/>
      <c r="EB35" s="327"/>
      <c r="EC35" s="327"/>
      <c r="ED35" s="327"/>
      <c r="EE35" s="327"/>
      <c r="EF35" s="327"/>
      <c r="EG35" s="327"/>
      <c r="EH35" s="327"/>
      <c r="EI35" s="327"/>
      <c r="EJ35" s="327"/>
      <c r="EK35" s="327"/>
      <c r="EL35" s="327"/>
      <c r="EM35" s="327"/>
      <c r="EN35" s="327"/>
      <c r="EO35" s="327"/>
      <c r="EP35" s="326"/>
      <c r="EQ35" s="328"/>
      <c r="ER35" s="327"/>
      <c r="ES35" s="327"/>
      <c r="ET35" s="327"/>
      <c r="EU35" s="327"/>
      <c r="EV35" s="327"/>
      <c r="EW35" s="327"/>
      <c r="EX35" s="327"/>
      <c r="EY35" s="327"/>
      <c r="EZ35" s="327"/>
      <c r="FA35" s="327"/>
      <c r="FB35" s="327"/>
      <c r="FC35" s="327"/>
      <c r="FD35" s="327"/>
      <c r="FE35" s="327"/>
      <c r="FF35" s="327"/>
      <c r="FG35" s="327"/>
      <c r="FH35" s="327"/>
      <c r="FI35" s="327"/>
      <c r="FJ35" s="327"/>
      <c r="FK35" s="327"/>
      <c r="FL35" s="327"/>
      <c r="FM35" s="327"/>
      <c r="FN35" s="327"/>
      <c r="FO35" s="327"/>
      <c r="FP35" s="327"/>
      <c r="FQ35" s="327"/>
      <c r="FR35" s="327"/>
      <c r="FS35" s="327"/>
      <c r="FT35" s="327"/>
      <c r="FU35" s="327"/>
      <c r="FV35" s="327"/>
      <c r="FW35" s="327"/>
      <c r="FX35" s="327"/>
      <c r="FY35" s="327"/>
      <c r="FZ35" s="327"/>
      <c r="GA35" s="327"/>
      <c r="GB35" s="327"/>
      <c r="GC35" s="327"/>
      <c r="GD35" s="327"/>
      <c r="GE35" s="327"/>
      <c r="GF35" s="327"/>
      <c r="GG35" s="327"/>
      <c r="GH35" s="327"/>
      <c r="GI35" s="327"/>
      <c r="GJ35" s="327"/>
      <c r="GK35" s="327"/>
      <c r="GL35" s="327"/>
      <c r="GM35" s="327"/>
      <c r="GN35" s="327"/>
      <c r="GO35" s="327"/>
      <c r="GP35" s="327"/>
      <c r="GQ35" s="327"/>
      <c r="GR35" s="327"/>
      <c r="GS35" s="327"/>
      <c r="GT35" s="327"/>
      <c r="GU35" s="327"/>
      <c r="GV35" s="327"/>
      <c r="GW35" s="327"/>
      <c r="GX35" s="326"/>
      <c r="GY35" s="328"/>
      <c r="GZ35" s="327"/>
      <c r="HA35" s="327"/>
      <c r="HB35" s="327"/>
      <c r="HC35" s="327"/>
      <c r="HD35" s="327"/>
      <c r="HE35" s="327"/>
      <c r="HF35" s="327"/>
      <c r="HG35" s="327"/>
      <c r="HH35" s="327"/>
      <c r="HI35" s="327"/>
      <c r="HJ35" s="327"/>
      <c r="HK35" s="327"/>
      <c r="HL35" s="327"/>
      <c r="HM35" s="327"/>
      <c r="HN35" s="327"/>
      <c r="HO35" s="327"/>
      <c r="HP35" s="327"/>
      <c r="HQ35" s="327"/>
      <c r="HR35" s="327"/>
      <c r="HS35" s="327"/>
      <c r="HT35" s="327"/>
      <c r="HU35" s="327"/>
      <c r="HV35" s="327"/>
      <c r="HW35" s="327"/>
      <c r="HX35" s="327"/>
      <c r="HY35" s="327"/>
      <c r="HZ35" s="327"/>
      <c r="IA35" s="327"/>
      <c r="IB35" s="327"/>
      <c r="IC35" s="327"/>
      <c r="ID35" s="327"/>
      <c r="IE35" s="327"/>
      <c r="IF35" s="327"/>
      <c r="IG35" s="327"/>
      <c r="IH35" s="327"/>
      <c r="II35" s="327"/>
      <c r="IJ35" s="327"/>
      <c r="IK35" s="327"/>
      <c r="IL35" s="327"/>
      <c r="IM35" s="327"/>
      <c r="IN35" s="327"/>
      <c r="IO35" s="327"/>
      <c r="IP35" s="327"/>
      <c r="IQ35" s="327"/>
      <c r="IR35" s="327"/>
      <c r="IS35" s="327"/>
      <c r="IT35" s="327"/>
      <c r="IU35" s="327"/>
      <c r="IV35" s="327"/>
      <c r="IW35" s="327"/>
      <c r="IX35" s="327"/>
      <c r="IY35" s="327"/>
      <c r="IZ35" s="327"/>
      <c r="JA35" s="327"/>
      <c r="JB35" s="327"/>
      <c r="JC35" s="327"/>
      <c r="JD35" s="327"/>
      <c r="JE35" s="327"/>
      <c r="JF35" s="326"/>
    </row>
    <row r="36" spans="1:266" x14ac:dyDescent="0.25">
      <c r="A36" s="332" t="s">
        <v>230</v>
      </c>
      <c r="B36" s="333" t="s">
        <v>989</v>
      </c>
      <c r="C36" s="330"/>
      <c r="D36" s="329"/>
      <c r="E36" s="327"/>
      <c r="F36" s="327"/>
      <c r="G36" s="327"/>
      <c r="H36" s="327"/>
      <c r="I36" s="327"/>
      <c r="J36" s="327"/>
      <c r="K36" s="327"/>
      <c r="L36" s="327"/>
      <c r="M36" s="327"/>
      <c r="N36" s="326"/>
      <c r="O36" s="330"/>
      <c r="P36" s="329"/>
      <c r="Q36" s="327"/>
      <c r="R36" s="327"/>
      <c r="S36" s="327"/>
      <c r="T36" s="327"/>
      <c r="U36" s="327"/>
      <c r="V36" s="327"/>
      <c r="W36" s="328"/>
      <c r="X36" s="327"/>
      <c r="Y36" s="327"/>
      <c r="Z36" s="326"/>
      <c r="AA36" s="328"/>
      <c r="AB36" s="327"/>
      <c r="AC36" s="327"/>
      <c r="AD36" s="327"/>
      <c r="AE36" s="327"/>
      <c r="AF36" s="327"/>
      <c r="AG36" s="327"/>
      <c r="AH36" s="327"/>
      <c r="AI36" s="327"/>
      <c r="AJ36" s="327"/>
      <c r="AK36" s="327"/>
      <c r="AL36" s="327"/>
      <c r="AM36" s="327"/>
      <c r="AN36" s="327"/>
      <c r="AO36" s="327"/>
      <c r="AP36" s="327"/>
      <c r="AQ36" s="327"/>
      <c r="AR36" s="327"/>
      <c r="AS36" s="327"/>
      <c r="AT36" s="327"/>
      <c r="AU36" s="327"/>
      <c r="AV36" s="327"/>
      <c r="AW36" s="327"/>
      <c r="AX36" s="327"/>
      <c r="AY36" s="327"/>
      <c r="AZ36" s="327"/>
      <c r="BA36" s="327"/>
      <c r="BB36" s="327"/>
      <c r="BC36" s="327"/>
      <c r="BD36" s="327"/>
      <c r="BE36" s="327"/>
      <c r="BF36" s="327"/>
      <c r="BG36" s="327"/>
      <c r="BH36" s="327"/>
      <c r="BI36" s="327"/>
      <c r="BJ36" s="327"/>
      <c r="BK36" s="327"/>
      <c r="BL36" s="327"/>
      <c r="BM36" s="327"/>
      <c r="BN36" s="327"/>
      <c r="BO36" s="327"/>
      <c r="BP36" s="327"/>
      <c r="BQ36" s="327"/>
      <c r="BR36" s="327"/>
      <c r="BS36" s="327"/>
      <c r="BT36" s="327"/>
      <c r="BU36" s="327"/>
      <c r="BV36" s="327"/>
      <c r="BW36" s="327"/>
      <c r="BX36" s="327"/>
      <c r="BY36" s="327"/>
      <c r="BZ36" s="327"/>
      <c r="CA36" s="327"/>
      <c r="CB36" s="327"/>
      <c r="CC36" s="327"/>
      <c r="CD36" s="327"/>
      <c r="CE36" s="327"/>
      <c r="CF36" s="327"/>
      <c r="CG36" s="327"/>
      <c r="CH36" s="326"/>
      <c r="CI36" s="328"/>
      <c r="CJ36" s="327"/>
      <c r="CK36" s="327"/>
      <c r="CL36" s="327"/>
      <c r="CM36" s="327"/>
      <c r="CN36" s="327"/>
      <c r="CO36" s="327"/>
      <c r="CP36" s="327"/>
      <c r="CQ36" s="327"/>
      <c r="CR36" s="327"/>
      <c r="CS36" s="327"/>
      <c r="CT36" s="327"/>
      <c r="CU36" s="327"/>
      <c r="CV36" s="327"/>
      <c r="CW36" s="327"/>
      <c r="CX36" s="327"/>
      <c r="CY36" s="327"/>
      <c r="CZ36" s="327"/>
      <c r="DA36" s="327"/>
      <c r="DB36" s="327"/>
      <c r="DC36" s="327"/>
      <c r="DD36" s="327"/>
      <c r="DE36" s="327"/>
      <c r="DF36" s="327"/>
      <c r="DG36" s="327"/>
      <c r="DH36" s="327"/>
      <c r="DI36" s="327"/>
      <c r="DJ36" s="327"/>
      <c r="DK36" s="327"/>
      <c r="DL36" s="327"/>
      <c r="DM36" s="327"/>
      <c r="DN36" s="327"/>
      <c r="DO36" s="327"/>
      <c r="DP36" s="327"/>
      <c r="DQ36" s="327"/>
      <c r="DR36" s="327"/>
      <c r="DS36" s="327"/>
      <c r="DT36" s="327"/>
      <c r="DU36" s="327"/>
      <c r="DV36" s="327"/>
      <c r="DW36" s="327"/>
      <c r="DX36" s="327"/>
      <c r="DY36" s="327"/>
      <c r="DZ36" s="327"/>
      <c r="EA36" s="327"/>
      <c r="EB36" s="327"/>
      <c r="EC36" s="327"/>
      <c r="ED36" s="327"/>
      <c r="EE36" s="327"/>
      <c r="EF36" s="327"/>
      <c r="EG36" s="327"/>
      <c r="EH36" s="327"/>
      <c r="EI36" s="327"/>
      <c r="EJ36" s="327"/>
      <c r="EK36" s="327"/>
      <c r="EL36" s="327"/>
      <c r="EM36" s="327"/>
      <c r="EN36" s="327"/>
      <c r="EO36" s="327"/>
      <c r="EP36" s="326"/>
      <c r="EQ36" s="328"/>
      <c r="ER36" s="327"/>
      <c r="ES36" s="327"/>
      <c r="ET36" s="327"/>
      <c r="EU36" s="327"/>
      <c r="EV36" s="327"/>
      <c r="EW36" s="327"/>
      <c r="EX36" s="327"/>
      <c r="EY36" s="327"/>
      <c r="EZ36" s="327"/>
      <c r="FA36" s="327"/>
      <c r="FB36" s="327"/>
      <c r="FC36" s="327"/>
      <c r="FD36" s="327"/>
      <c r="FE36" s="327"/>
      <c r="FF36" s="327"/>
      <c r="FG36" s="327"/>
      <c r="FH36" s="327"/>
      <c r="FI36" s="327"/>
      <c r="FJ36" s="327"/>
      <c r="FK36" s="327"/>
      <c r="FL36" s="327"/>
      <c r="FM36" s="327"/>
      <c r="FN36" s="327"/>
      <c r="FO36" s="327"/>
      <c r="FP36" s="327"/>
      <c r="FQ36" s="327"/>
      <c r="FR36" s="327"/>
      <c r="FS36" s="327"/>
      <c r="FT36" s="327"/>
      <c r="FU36" s="327"/>
      <c r="FV36" s="327"/>
      <c r="FW36" s="327"/>
      <c r="FX36" s="327"/>
      <c r="FY36" s="327"/>
      <c r="FZ36" s="327"/>
      <c r="GA36" s="327"/>
      <c r="GB36" s="327"/>
      <c r="GC36" s="327"/>
      <c r="GD36" s="327"/>
      <c r="GE36" s="327"/>
      <c r="GF36" s="327"/>
      <c r="GG36" s="327"/>
      <c r="GH36" s="327"/>
      <c r="GI36" s="327"/>
      <c r="GJ36" s="327"/>
      <c r="GK36" s="327"/>
      <c r="GL36" s="327"/>
      <c r="GM36" s="327"/>
      <c r="GN36" s="327"/>
      <c r="GO36" s="327"/>
      <c r="GP36" s="327"/>
      <c r="GQ36" s="327"/>
      <c r="GR36" s="327"/>
      <c r="GS36" s="327"/>
      <c r="GT36" s="327"/>
      <c r="GU36" s="327"/>
      <c r="GV36" s="327"/>
      <c r="GW36" s="327"/>
      <c r="GX36" s="326"/>
      <c r="GY36" s="328"/>
      <c r="GZ36" s="327"/>
      <c r="HA36" s="327"/>
      <c r="HB36" s="327"/>
      <c r="HC36" s="327"/>
      <c r="HD36" s="327"/>
      <c r="HE36" s="327"/>
      <c r="HF36" s="327"/>
      <c r="HG36" s="327"/>
      <c r="HH36" s="327"/>
      <c r="HI36" s="327"/>
      <c r="HJ36" s="327"/>
      <c r="HK36" s="327"/>
      <c r="HL36" s="327"/>
      <c r="HM36" s="327"/>
      <c r="HN36" s="327"/>
      <c r="HO36" s="327"/>
      <c r="HP36" s="327"/>
      <c r="HQ36" s="327"/>
      <c r="HR36" s="327"/>
      <c r="HS36" s="327"/>
      <c r="HT36" s="327"/>
      <c r="HU36" s="327"/>
      <c r="HV36" s="327"/>
      <c r="HW36" s="327"/>
      <c r="HX36" s="327"/>
      <c r="HY36" s="327"/>
      <c r="HZ36" s="327"/>
      <c r="IA36" s="327"/>
      <c r="IB36" s="327"/>
      <c r="IC36" s="327"/>
      <c r="ID36" s="327"/>
      <c r="IE36" s="327"/>
      <c r="IF36" s="327"/>
      <c r="IG36" s="327"/>
      <c r="IH36" s="327"/>
      <c r="II36" s="327"/>
      <c r="IJ36" s="327"/>
      <c r="IK36" s="327"/>
      <c r="IL36" s="327"/>
      <c r="IM36" s="327"/>
      <c r="IN36" s="327"/>
      <c r="IO36" s="327"/>
      <c r="IP36" s="327"/>
      <c r="IQ36" s="327"/>
      <c r="IR36" s="327"/>
      <c r="IS36" s="327"/>
      <c r="IT36" s="327"/>
      <c r="IU36" s="327"/>
      <c r="IV36" s="327"/>
      <c r="IW36" s="327"/>
      <c r="IX36" s="327"/>
      <c r="IY36" s="327"/>
      <c r="IZ36" s="327"/>
      <c r="JA36" s="327"/>
      <c r="JB36" s="327"/>
      <c r="JC36" s="327"/>
      <c r="JD36" s="327"/>
      <c r="JE36" s="327"/>
      <c r="JF36" s="326"/>
    </row>
    <row r="37" spans="1:266" x14ac:dyDescent="0.25">
      <c r="A37" s="332" t="s">
        <v>230</v>
      </c>
      <c r="B37" s="333" t="s">
        <v>988</v>
      </c>
      <c r="C37" s="330"/>
      <c r="D37" s="329"/>
      <c r="E37" s="327"/>
      <c r="F37" s="327"/>
      <c r="G37" s="327"/>
      <c r="H37" s="327"/>
      <c r="I37" s="327"/>
      <c r="J37" s="327"/>
      <c r="K37" s="327"/>
      <c r="L37" s="327"/>
      <c r="M37" s="327"/>
      <c r="N37" s="326"/>
      <c r="O37" s="330"/>
      <c r="P37" s="329"/>
      <c r="Q37" s="327"/>
      <c r="R37" s="327"/>
      <c r="S37" s="327"/>
      <c r="T37" s="327"/>
      <c r="U37" s="327"/>
      <c r="V37" s="327"/>
      <c r="W37" s="328"/>
      <c r="X37" s="327"/>
      <c r="Y37" s="327"/>
      <c r="Z37" s="326"/>
      <c r="AA37" s="328"/>
      <c r="AB37" s="327"/>
      <c r="AC37" s="327"/>
      <c r="AD37" s="327"/>
      <c r="AE37" s="327"/>
      <c r="AF37" s="327"/>
      <c r="AG37" s="327"/>
      <c r="AH37" s="327"/>
      <c r="AI37" s="327"/>
      <c r="AJ37" s="327"/>
      <c r="AK37" s="327"/>
      <c r="AL37" s="327"/>
      <c r="AM37" s="327"/>
      <c r="AN37" s="327"/>
      <c r="AO37" s="327"/>
      <c r="AP37" s="327"/>
      <c r="AQ37" s="327"/>
      <c r="AR37" s="327"/>
      <c r="AS37" s="327"/>
      <c r="AT37" s="327"/>
      <c r="AU37" s="327"/>
      <c r="AV37" s="327"/>
      <c r="AW37" s="327"/>
      <c r="AX37" s="327"/>
      <c r="AY37" s="327"/>
      <c r="AZ37" s="327"/>
      <c r="BA37" s="327"/>
      <c r="BB37" s="327"/>
      <c r="BC37" s="327"/>
      <c r="BD37" s="327"/>
      <c r="BE37" s="327"/>
      <c r="BF37" s="327"/>
      <c r="BG37" s="327"/>
      <c r="BH37" s="327"/>
      <c r="BI37" s="327"/>
      <c r="BJ37" s="327"/>
      <c r="BK37" s="327"/>
      <c r="BL37" s="327"/>
      <c r="BM37" s="327"/>
      <c r="BN37" s="327"/>
      <c r="BO37" s="327"/>
      <c r="BP37" s="327"/>
      <c r="BQ37" s="327"/>
      <c r="BR37" s="327"/>
      <c r="BS37" s="327"/>
      <c r="BT37" s="327"/>
      <c r="BU37" s="327"/>
      <c r="BV37" s="327"/>
      <c r="BW37" s="327"/>
      <c r="BX37" s="327"/>
      <c r="BY37" s="327"/>
      <c r="BZ37" s="327"/>
      <c r="CA37" s="327"/>
      <c r="CB37" s="327"/>
      <c r="CC37" s="327"/>
      <c r="CD37" s="327"/>
      <c r="CE37" s="327"/>
      <c r="CF37" s="327"/>
      <c r="CG37" s="327"/>
      <c r="CH37" s="326"/>
      <c r="CI37" s="328"/>
      <c r="CJ37" s="327"/>
      <c r="CK37" s="327"/>
      <c r="CL37" s="327"/>
      <c r="CM37" s="327"/>
      <c r="CN37" s="327"/>
      <c r="CO37" s="327"/>
      <c r="CP37" s="327"/>
      <c r="CQ37" s="327"/>
      <c r="CR37" s="327"/>
      <c r="CS37" s="327"/>
      <c r="CT37" s="327"/>
      <c r="CU37" s="327"/>
      <c r="CV37" s="327"/>
      <c r="CW37" s="327"/>
      <c r="CX37" s="327"/>
      <c r="CY37" s="327"/>
      <c r="CZ37" s="327"/>
      <c r="DA37" s="327"/>
      <c r="DB37" s="327"/>
      <c r="DC37" s="327"/>
      <c r="DD37" s="327"/>
      <c r="DE37" s="327"/>
      <c r="DF37" s="327"/>
      <c r="DG37" s="327"/>
      <c r="DH37" s="327"/>
      <c r="DI37" s="327"/>
      <c r="DJ37" s="327"/>
      <c r="DK37" s="327"/>
      <c r="DL37" s="327"/>
      <c r="DM37" s="327"/>
      <c r="DN37" s="327"/>
      <c r="DO37" s="327"/>
      <c r="DP37" s="327"/>
      <c r="DQ37" s="327"/>
      <c r="DR37" s="327"/>
      <c r="DS37" s="327"/>
      <c r="DT37" s="327"/>
      <c r="DU37" s="327"/>
      <c r="DV37" s="327"/>
      <c r="DW37" s="327"/>
      <c r="DX37" s="327"/>
      <c r="DY37" s="327"/>
      <c r="DZ37" s="327"/>
      <c r="EA37" s="327"/>
      <c r="EB37" s="327"/>
      <c r="EC37" s="327"/>
      <c r="ED37" s="327"/>
      <c r="EE37" s="327"/>
      <c r="EF37" s="327"/>
      <c r="EG37" s="327"/>
      <c r="EH37" s="327"/>
      <c r="EI37" s="327"/>
      <c r="EJ37" s="327"/>
      <c r="EK37" s="327"/>
      <c r="EL37" s="327"/>
      <c r="EM37" s="327"/>
      <c r="EN37" s="327"/>
      <c r="EO37" s="327"/>
      <c r="EP37" s="326"/>
      <c r="EQ37" s="328"/>
      <c r="ER37" s="327"/>
      <c r="ES37" s="327"/>
      <c r="ET37" s="327"/>
      <c r="EU37" s="327"/>
      <c r="EV37" s="327"/>
      <c r="EW37" s="327"/>
      <c r="EX37" s="327"/>
      <c r="EY37" s="327"/>
      <c r="EZ37" s="327"/>
      <c r="FA37" s="327"/>
      <c r="FB37" s="327"/>
      <c r="FC37" s="327"/>
      <c r="FD37" s="327"/>
      <c r="FE37" s="327"/>
      <c r="FF37" s="327"/>
      <c r="FG37" s="327"/>
      <c r="FH37" s="327"/>
      <c r="FI37" s="327"/>
      <c r="FJ37" s="327"/>
      <c r="FK37" s="327"/>
      <c r="FL37" s="327"/>
      <c r="FM37" s="327"/>
      <c r="FN37" s="327"/>
      <c r="FO37" s="327"/>
      <c r="FP37" s="327"/>
      <c r="FQ37" s="327"/>
      <c r="FR37" s="327"/>
      <c r="FS37" s="327"/>
      <c r="FT37" s="327"/>
      <c r="FU37" s="327"/>
      <c r="FV37" s="327"/>
      <c r="FW37" s="327"/>
      <c r="FX37" s="327"/>
      <c r="FY37" s="327"/>
      <c r="FZ37" s="327"/>
      <c r="GA37" s="327"/>
      <c r="GB37" s="327"/>
      <c r="GC37" s="327"/>
      <c r="GD37" s="327"/>
      <c r="GE37" s="327"/>
      <c r="GF37" s="327"/>
      <c r="GG37" s="327"/>
      <c r="GH37" s="327"/>
      <c r="GI37" s="327"/>
      <c r="GJ37" s="327"/>
      <c r="GK37" s="327"/>
      <c r="GL37" s="327"/>
      <c r="GM37" s="327"/>
      <c r="GN37" s="327"/>
      <c r="GO37" s="327"/>
      <c r="GP37" s="327"/>
      <c r="GQ37" s="327"/>
      <c r="GR37" s="327"/>
      <c r="GS37" s="327"/>
      <c r="GT37" s="327"/>
      <c r="GU37" s="327"/>
      <c r="GV37" s="327"/>
      <c r="GW37" s="327"/>
      <c r="GX37" s="326"/>
      <c r="GY37" s="328"/>
      <c r="GZ37" s="327"/>
      <c r="HA37" s="327"/>
      <c r="HB37" s="327"/>
      <c r="HC37" s="327"/>
      <c r="HD37" s="327"/>
      <c r="HE37" s="327"/>
      <c r="HF37" s="327"/>
      <c r="HG37" s="327"/>
      <c r="HH37" s="327"/>
      <c r="HI37" s="327"/>
      <c r="HJ37" s="327"/>
      <c r="HK37" s="327"/>
      <c r="HL37" s="327"/>
      <c r="HM37" s="327"/>
      <c r="HN37" s="327"/>
      <c r="HO37" s="327"/>
      <c r="HP37" s="327"/>
      <c r="HQ37" s="327"/>
      <c r="HR37" s="327"/>
      <c r="HS37" s="327"/>
      <c r="HT37" s="327"/>
      <c r="HU37" s="327"/>
      <c r="HV37" s="327"/>
      <c r="HW37" s="327"/>
      <c r="HX37" s="327"/>
      <c r="HY37" s="327"/>
      <c r="HZ37" s="327"/>
      <c r="IA37" s="327"/>
      <c r="IB37" s="327"/>
      <c r="IC37" s="327"/>
      <c r="ID37" s="327"/>
      <c r="IE37" s="327"/>
      <c r="IF37" s="327"/>
      <c r="IG37" s="327"/>
      <c r="IH37" s="327"/>
      <c r="II37" s="327"/>
      <c r="IJ37" s="327"/>
      <c r="IK37" s="327"/>
      <c r="IL37" s="327"/>
      <c r="IM37" s="327"/>
      <c r="IN37" s="327"/>
      <c r="IO37" s="327"/>
      <c r="IP37" s="327"/>
      <c r="IQ37" s="327"/>
      <c r="IR37" s="327"/>
      <c r="IS37" s="327"/>
      <c r="IT37" s="327"/>
      <c r="IU37" s="327"/>
      <c r="IV37" s="327"/>
      <c r="IW37" s="327"/>
      <c r="IX37" s="327"/>
      <c r="IY37" s="327"/>
      <c r="IZ37" s="327"/>
      <c r="JA37" s="327"/>
      <c r="JB37" s="327"/>
      <c r="JC37" s="327"/>
      <c r="JD37" s="327"/>
      <c r="JE37" s="327"/>
      <c r="JF37" s="326"/>
    </row>
    <row r="38" spans="1:266" x14ac:dyDescent="0.25">
      <c r="A38" s="332" t="s">
        <v>987</v>
      </c>
      <c r="B38" s="333" t="s">
        <v>986</v>
      </c>
      <c r="C38" s="330"/>
      <c r="D38" s="329"/>
      <c r="E38" s="327"/>
      <c r="F38" s="327"/>
      <c r="G38" s="327"/>
      <c r="H38" s="327"/>
      <c r="I38" s="327"/>
      <c r="J38" s="327"/>
      <c r="K38" s="327"/>
      <c r="L38" s="327"/>
      <c r="M38" s="327"/>
      <c r="N38" s="326"/>
      <c r="O38" s="330"/>
      <c r="P38" s="329"/>
      <c r="Q38" s="327"/>
      <c r="R38" s="327"/>
      <c r="S38" s="327"/>
      <c r="T38" s="327"/>
      <c r="U38" s="327"/>
      <c r="V38" s="327"/>
      <c r="W38" s="328"/>
      <c r="X38" s="327"/>
      <c r="Y38" s="327"/>
      <c r="Z38" s="326"/>
      <c r="AA38" s="328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27"/>
      <c r="AU38" s="327"/>
      <c r="AV38" s="327"/>
      <c r="AW38" s="327"/>
      <c r="AX38" s="327"/>
      <c r="AY38" s="327"/>
      <c r="AZ38" s="327"/>
      <c r="BA38" s="327"/>
      <c r="BB38" s="327"/>
      <c r="BC38" s="327"/>
      <c r="BD38" s="327"/>
      <c r="BE38" s="327"/>
      <c r="BF38" s="327"/>
      <c r="BG38" s="327"/>
      <c r="BH38" s="327"/>
      <c r="BI38" s="327"/>
      <c r="BJ38" s="327"/>
      <c r="BK38" s="327"/>
      <c r="BL38" s="327"/>
      <c r="BM38" s="327"/>
      <c r="BN38" s="327"/>
      <c r="BO38" s="327"/>
      <c r="BP38" s="327"/>
      <c r="BQ38" s="327"/>
      <c r="BR38" s="327"/>
      <c r="BS38" s="327"/>
      <c r="BT38" s="327"/>
      <c r="BU38" s="327"/>
      <c r="BV38" s="327"/>
      <c r="BW38" s="327"/>
      <c r="BX38" s="327"/>
      <c r="BY38" s="327"/>
      <c r="BZ38" s="327"/>
      <c r="CA38" s="327"/>
      <c r="CB38" s="327"/>
      <c r="CC38" s="327"/>
      <c r="CD38" s="327"/>
      <c r="CE38" s="327"/>
      <c r="CF38" s="327"/>
      <c r="CG38" s="327"/>
      <c r="CH38" s="326"/>
      <c r="CI38" s="328"/>
      <c r="CJ38" s="327"/>
      <c r="CK38" s="327"/>
      <c r="CL38" s="327"/>
      <c r="CM38" s="327"/>
      <c r="CN38" s="327"/>
      <c r="CO38" s="327"/>
      <c r="CP38" s="327"/>
      <c r="CQ38" s="327"/>
      <c r="CR38" s="327"/>
      <c r="CS38" s="327"/>
      <c r="CT38" s="327"/>
      <c r="CU38" s="327"/>
      <c r="CV38" s="327"/>
      <c r="CW38" s="327"/>
      <c r="CX38" s="327"/>
      <c r="CY38" s="327"/>
      <c r="CZ38" s="327"/>
      <c r="DA38" s="327"/>
      <c r="DB38" s="327"/>
      <c r="DC38" s="327"/>
      <c r="DD38" s="327"/>
      <c r="DE38" s="327"/>
      <c r="DF38" s="327"/>
      <c r="DG38" s="327"/>
      <c r="DH38" s="327"/>
      <c r="DI38" s="327"/>
      <c r="DJ38" s="327"/>
      <c r="DK38" s="327"/>
      <c r="DL38" s="327"/>
      <c r="DM38" s="327"/>
      <c r="DN38" s="327"/>
      <c r="DO38" s="327"/>
      <c r="DP38" s="327"/>
      <c r="DQ38" s="327"/>
      <c r="DR38" s="327"/>
      <c r="DS38" s="327"/>
      <c r="DT38" s="327"/>
      <c r="DU38" s="327"/>
      <c r="DV38" s="327"/>
      <c r="DW38" s="327"/>
      <c r="DX38" s="327"/>
      <c r="DY38" s="327"/>
      <c r="DZ38" s="327"/>
      <c r="EA38" s="327"/>
      <c r="EB38" s="327"/>
      <c r="EC38" s="327"/>
      <c r="ED38" s="327"/>
      <c r="EE38" s="327"/>
      <c r="EF38" s="327"/>
      <c r="EG38" s="327"/>
      <c r="EH38" s="327"/>
      <c r="EI38" s="327"/>
      <c r="EJ38" s="327"/>
      <c r="EK38" s="327"/>
      <c r="EL38" s="327"/>
      <c r="EM38" s="327"/>
      <c r="EN38" s="327"/>
      <c r="EO38" s="327"/>
      <c r="EP38" s="326"/>
      <c r="EQ38" s="328"/>
      <c r="ER38" s="327"/>
      <c r="ES38" s="327"/>
      <c r="ET38" s="327"/>
      <c r="EU38" s="327"/>
      <c r="EV38" s="327"/>
      <c r="EW38" s="327"/>
      <c r="EX38" s="327"/>
      <c r="EY38" s="327"/>
      <c r="EZ38" s="327"/>
      <c r="FA38" s="327"/>
      <c r="FB38" s="327"/>
      <c r="FC38" s="327"/>
      <c r="FD38" s="327"/>
      <c r="FE38" s="327"/>
      <c r="FF38" s="327"/>
      <c r="FG38" s="327"/>
      <c r="FH38" s="327"/>
      <c r="FI38" s="327"/>
      <c r="FJ38" s="327"/>
      <c r="FK38" s="327"/>
      <c r="FL38" s="327"/>
      <c r="FM38" s="327"/>
      <c r="FN38" s="327"/>
      <c r="FO38" s="327"/>
      <c r="FP38" s="327"/>
      <c r="FQ38" s="327"/>
      <c r="FR38" s="327"/>
      <c r="FS38" s="327"/>
      <c r="FT38" s="327"/>
      <c r="FU38" s="327"/>
      <c r="FV38" s="327"/>
      <c r="FW38" s="327"/>
      <c r="FX38" s="327"/>
      <c r="FY38" s="327"/>
      <c r="FZ38" s="327"/>
      <c r="GA38" s="327"/>
      <c r="GB38" s="327"/>
      <c r="GC38" s="327"/>
      <c r="GD38" s="327"/>
      <c r="GE38" s="327"/>
      <c r="GF38" s="327"/>
      <c r="GG38" s="327"/>
      <c r="GH38" s="327"/>
      <c r="GI38" s="327"/>
      <c r="GJ38" s="327"/>
      <c r="GK38" s="327"/>
      <c r="GL38" s="327"/>
      <c r="GM38" s="327"/>
      <c r="GN38" s="327"/>
      <c r="GO38" s="327"/>
      <c r="GP38" s="327"/>
      <c r="GQ38" s="327"/>
      <c r="GR38" s="327"/>
      <c r="GS38" s="327"/>
      <c r="GT38" s="327"/>
      <c r="GU38" s="327"/>
      <c r="GV38" s="327"/>
      <c r="GW38" s="327"/>
      <c r="GX38" s="326"/>
      <c r="GY38" s="328"/>
      <c r="GZ38" s="327"/>
      <c r="HA38" s="327"/>
      <c r="HB38" s="327"/>
      <c r="HC38" s="327"/>
      <c r="HD38" s="327"/>
      <c r="HE38" s="327"/>
      <c r="HF38" s="327"/>
      <c r="HG38" s="327"/>
      <c r="HH38" s="327"/>
      <c r="HI38" s="327"/>
      <c r="HJ38" s="327"/>
      <c r="HK38" s="327"/>
      <c r="HL38" s="327"/>
      <c r="HM38" s="327"/>
      <c r="HN38" s="327"/>
      <c r="HO38" s="327"/>
      <c r="HP38" s="327"/>
      <c r="HQ38" s="327"/>
      <c r="HR38" s="327"/>
      <c r="HS38" s="327"/>
      <c r="HT38" s="327"/>
      <c r="HU38" s="327"/>
      <c r="HV38" s="327"/>
      <c r="HW38" s="327"/>
      <c r="HX38" s="327"/>
      <c r="HY38" s="327"/>
      <c r="HZ38" s="327"/>
      <c r="IA38" s="327"/>
      <c r="IB38" s="327"/>
      <c r="IC38" s="327"/>
      <c r="ID38" s="327"/>
      <c r="IE38" s="327"/>
      <c r="IF38" s="327"/>
      <c r="IG38" s="327"/>
      <c r="IH38" s="327"/>
      <c r="II38" s="327"/>
      <c r="IJ38" s="327"/>
      <c r="IK38" s="327"/>
      <c r="IL38" s="327"/>
      <c r="IM38" s="327"/>
      <c r="IN38" s="327"/>
      <c r="IO38" s="327"/>
      <c r="IP38" s="327"/>
      <c r="IQ38" s="327"/>
      <c r="IR38" s="327"/>
      <c r="IS38" s="327"/>
      <c r="IT38" s="327"/>
      <c r="IU38" s="327"/>
      <c r="IV38" s="327"/>
      <c r="IW38" s="327"/>
      <c r="IX38" s="327"/>
      <c r="IY38" s="327"/>
      <c r="IZ38" s="327"/>
      <c r="JA38" s="327"/>
      <c r="JB38" s="327"/>
      <c r="JC38" s="327"/>
      <c r="JD38" s="327"/>
      <c r="JE38" s="327"/>
      <c r="JF38" s="326"/>
    </row>
    <row r="39" spans="1:266" x14ac:dyDescent="0.25">
      <c r="A39" s="332" t="s">
        <v>983</v>
      </c>
      <c r="B39" s="333" t="s">
        <v>985</v>
      </c>
      <c r="C39" s="330"/>
      <c r="D39" s="329"/>
      <c r="E39" s="327"/>
      <c r="F39" s="327"/>
      <c r="G39" s="327"/>
      <c r="H39" s="327"/>
      <c r="I39" s="327"/>
      <c r="J39" s="327"/>
      <c r="K39" s="327"/>
      <c r="L39" s="327"/>
      <c r="M39" s="327"/>
      <c r="N39" s="326"/>
      <c r="O39" s="330"/>
      <c r="P39" s="329"/>
      <c r="Q39" s="327"/>
      <c r="R39" s="327"/>
      <c r="S39" s="327"/>
      <c r="T39" s="327"/>
      <c r="U39" s="327"/>
      <c r="V39" s="327"/>
      <c r="W39" s="328"/>
      <c r="X39" s="327"/>
      <c r="Y39" s="327"/>
      <c r="Z39" s="326"/>
      <c r="AA39" s="328"/>
      <c r="AB39" s="327"/>
      <c r="AC39" s="327"/>
      <c r="AD39" s="327"/>
      <c r="AE39" s="327"/>
      <c r="AF39" s="327"/>
      <c r="AG39" s="327"/>
      <c r="AH39" s="327"/>
      <c r="AI39" s="327"/>
      <c r="AJ39" s="327"/>
      <c r="AK39" s="327"/>
      <c r="AL39" s="327"/>
      <c r="AM39" s="327"/>
      <c r="AN39" s="327"/>
      <c r="AO39" s="327"/>
      <c r="AP39" s="327"/>
      <c r="AQ39" s="327"/>
      <c r="AR39" s="327"/>
      <c r="AS39" s="327"/>
      <c r="AT39" s="327"/>
      <c r="AU39" s="327"/>
      <c r="AV39" s="327"/>
      <c r="AW39" s="327"/>
      <c r="AX39" s="327"/>
      <c r="AY39" s="327"/>
      <c r="AZ39" s="327"/>
      <c r="BA39" s="327"/>
      <c r="BB39" s="327"/>
      <c r="BC39" s="327"/>
      <c r="BD39" s="327"/>
      <c r="BE39" s="327"/>
      <c r="BF39" s="327"/>
      <c r="BG39" s="327"/>
      <c r="BH39" s="327"/>
      <c r="BI39" s="327"/>
      <c r="BJ39" s="327"/>
      <c r="BK39" s="327"/>
      <c r="BL39" s="327"/>
      <c r="BM39" s="327"/>
      <c r="BN39" s="327"/>
      <c r="BO39" s="327"/>
      <c r="BP39" s="327"/>
      <c r="BQ39" s="327"/>
      <c r="BR39" s="327"/>
      <c r="BS39" s="327"/>
      <c r="BT39" s="327"/>
      <c r="BU39" s="327"/>
      <c r="BV39" s="327"/>
      <c r="BW39" s="327"/>
      <c r="BX39" s="327"/>
      <c r="BY39" s="327"/>
      <c r="BZ39" s="327"/>
      <c r="CA39" s="327"/>
      <c r="CB39" s="327"/>
      <c r="CC39" s="327"/>
      <c r="CD39" s="327"/>
      <c r="CE39" s="327"/>
      <c r="CF39" s="327"/>
      <c r="CG39" s="327"/>
      <c r="CH39" s="326"/>
      <c r="CI39" s="328"/>
      <c r="CJ39" s="327"/>
      <c r="CK39" s="327"/>
      <c r="CL39" s="327"/>
      <c r="CM39" s="327"/>
      <c r="CN39" s="327"/>
      <c r="CO39" s="327"/>
      <c r="CP39" s="327"/>
      <c r="CQ39" s="327"/>
      <c r="CR39" s="327"/>
      <c r="CS39" s="327"/>
      <c r="CT39" s="327"/>
      <c r="CU39" s="327"/>
      <c r="CV39" s="327"/>
      <c r="CW39" s="327"/>
      <c r="CX39" s="327"/>
      <c r="CY39" s="327"/>
      <c r="CZ39" s="327"/>
      <c r="DA39" s="327"/>
      <c r="DB39" s="327"/>
      <c r="DC39" s="327"/>
      <c r="DD39" s="327"/>
      <c r="DE39" s="327"/>
      <c r="DF39" s="327"/>
      <c r="DG39" s="327"/>
      <c r="DH39" s="327"/>
      <c r="DI39" s="327"/>
      <c r="DJ39" s="327"/>
      <c r="DK39" s="327"/>
      <c r="DL39" s="327"/>
      <c r="DM39" s="327"/>
      <c r="DN39" s="327"/>
      <c r="DO39" s="327"/>
      <c r="DP39" s="327"/>
      <c r="DQ39" s="327"/>
      <c r="DR39" s="327"/>
      <c r="DS39" s="327"/>
      <c r="DT39" s="327"/>
      <c r="DU39" s="327"/>
      <c r="DV39" s="327"/>
      <c r="DW39" s="327"/>
      <c r="DX39" s="327"/>
      <c r="DY39" s="327"/>
      <c r="DZ39" s="327"/>
      <c r="EA39" s="327"/>
      <c r="EB39" s="327"/>
      <c r="EC39" s="327"/>
      <c r="ED39" s="327"/>
      <c r="EE39" s="327"/>
      <c r="EF39" s="327"/>
      <c r="EG39" s="327"/>
      <c r="EH39" s="327"/>
      <c r="EI39" s="327"/>
      <c r="EJ39" s="327"/>
      <c r="EK39" s="327"/>
      <c r="EL39" s="327"/>
      <c r="EM39" s="327"/>
      <c r="EN39" s="327"/>
      <c r="EO39" s="327"/>
      <c r="EP39" s="326"/>
      <c r="EQ39" s="328"/>
      <c r="ER39" s="327"/>
      <c r="ES39" s="327"/>
      <c r="ET39" s="327"/>
      <c r="EU39" s="327"/>
      <c r="EV39" s="327"/>
      <c r="EW39" s="327"/>
      <c r="EX39" s="327"/>
      <c r="EY39" s="327"/>
      <c r="EZ39" s="327"/>
      <c r="FA39" s="327"/>
      <c r="FB39" s="327"/>
      <c r="FC39" s="327"/>
      <c r="FD39" s="327"/>
      <c r="FE39" s="327"/>
      <c r="FF39" s="327"/>
      <c r="FG39" s="327"/>
      <c r="FH39" s="327"/>
      <c r="FI39" s="327"/>
      <c r="FJ39" s="327"/>
      <c r="FK39" s="327"/>
      <c r="FL39" s="327"/>
      <c r="FM39" s="327"/>
      <c r="FN39" s="327"/>
      <c r="FO39" s="327"/>
      <c r="FP39" s="327"/>
      <c r="FQ39" s="327"/>
      <c r="FR39" s="327"/>
      <c r="FS39" s="327"/>
      <c r="FT39" s="327"/>
      <c r="FU39" s="327"/>
      <c r="FV39" s="327"/>
      <c r="FW39" s="327"/>
      <c r="FX39" s="327"/>
      <c r="FY39" s="327"/>
      <c r="FZ39" s="327"/>
      <c r="GA39" s="327"/>
      <c r="GB39" s="327"/>
      <c r="GC39" s="327"/>
      <c r="GD39" s="327"/>
      <c r="GE39" s="327"/>
      <c r="GF39" s="327"/>
      <c r="GG39" s="327"/>
      <c r="GH39" s="327"/>
      <c r="GI39" s="327"/>
      <c r="GJ39" s="327"/>
      <c r="GK39" s="327"/>
      <c r="GL39" s="327"/>
      <c r="GM39" s="327"/>
      <c r="GN39" s="327"/>
      <c r="GO39" s="327"/>
      <c r="GP39" s="327"/>
      <c r="GQ39" s="327"/>
      <c r="GR39" s="327"/>
      <c r="GS39" s="327"/>
      <c r="GT39" s="327"/>
      <c r="GU39" s="327"/>
      <c r="GV39" s="327"/>
      <c r="GW39" s="327"/>
      <c r="GX39" s="326"/>
      <c r="GY39" s="328"/>
      <c r="GZ39" s="327"/>
      <c r="HA39" s="327"/>
      <c r="HB39" s="327"/>
      <c r="HC39" s="327"/>
      <c r="HD39" s="327"/>
      <c r="HE39" s="327"/>
      <c r="HF39" s="327"/>
      <c r="HG39" s="327"/>
      <c r="HH39" s="327"/>
      <c r="HI39" s="327"/>
      <c r="HJ39" s="327"/>
      <c r="HK39" s="327"/>
      <c r="HL39" s="327"/>
      <c r="HM39" s="327"/>
      <c r="HN39" s="327"/>
      <c r="HO39" s="327"/>
      <c r="HP39" s="327"/>
      <c r="HQ39" s="327"/>
      <c r="HR39" s="327"/>
      <c r="HS39" s="327"/>
      <c r="HT39" s="327"/>
      <c r="HU39" s="327"/>
      <c r="HV39" s="327"/>
      <c r="HW39" s="327"/>
      <c r="HX39" s="327"/>
      <c r="HY39" s="327"/>
      <c r="HZ39" s="327"/>
      <c r="IA39" s="327"/>
      <c r="IB39" s="327"/>
      <c r="IC39" s="327"/>
      <c r="ID39" s="327"/>
      <c r="IE39" s="327"/>
      <c r="IF39" s="327"/>
      <c r="IG39" s="327"/>
      <c r="IH39" s="327"/>
      <c r="II39" s="327"/>
      <c r="IJ39" s="327"/>
      <c r="IK39" s="327"/>
      <c r="IL39" s="327"/>
      <c r="IM39" s="327"/>
      <c r="IN39" s="327"/>
      <c r="IO39" s="327"/>
      <c r="IP39" s="327"/>
      <c r="IQ39" s="327"/>
      <c r="IR39" s="327"/>
      <c r="IS39" s="327"/>
      <c r="IT39" s="327"/>
      <c r="IU39" s="327"/>
      <c r="IV39" s="327"/>
      <c r="IW39" s="327"/>
      <c r="IX39" s="327"/>
      <c r="IY39" s="327"/>
      <c r="IZ39" s="327"/>
      <c r="JA39" s="327"/>
      <c r="JB39" s="327"/>
      <c r="JC39" s="327"/>
      <c r="JD39" s="327"/>
      <c r="JE39" s="327"/>
      <c r="JF39" s="326"/>
    </row>
    <row r="40" spans="1:266" x14ac:dyDescent="0.25">
      <c r="A40" s="332" t="s">
        <v>983</v>
      </c>
      <c r="B40" s="333" t="s">
        <v>984</v>
      </c>
      <c r="C40" s="330"/>
      <c r="D40" s="329"/>
      <c r="E40" s="327"/>
      <c r="F40" s="327"/>
      <c r="G40" s="327"/>
      <c r="H40" s="327"/>
      <c r="I40" s="327"/>
      <c r="J40" s="327"/>
      <c r="K40" s="327"/>
      <c r="L40" s="327"/>
      <c r="M40" s="327"/>
      <c r="N40" s="326"/>
      <c r="O40" s="330"/>
      <c r="P40" s="329"/>
      <c r="Q40" s="327"/>
      <c r="R40" s="327"/>
      <c r="S40" s="327"/>
      <c r="T40" s="327"/>
      <c r="U40" s="327"/>
      <c r="V40" s="327"/>
      <c r="W40" s="328"/>
      <c r="X40" s="327"/>
      <c r="Y40" s="327"/>
      <c r="Z40" s="326"/>
      <c r="AA40" s="328"/>
      <c r="AB40" s="327"/>
      <c r="AC40" s="327"/>
      <c r="AD40" s="327"/>
      <c r="AE40" s="327"/>
      <c r="AF40" s="327"/>
      <c r="AG40" s="327"/>
      <c r="AH40" s="327"/>
      <c r="AI40" s="327"/>
      <c r="AJ40" s="327"/>
      <c r="AK40" s="327"/>
      <c r="AL40" s="327"/>
      <c r="AM40" s="327"/>
      <c r="AN40" s="327"/>
      <c r="AO40" s="327"/>
      <c r="AP40" s="327"/>
      <c r="AQ40" s="327"/>
      <c r="AR40" s="327"/>
      <c r="AS40" s="327"/>
      <c r="AT40" s="327"/>
      <c r="AU40" s="327"/>
      <c r="AV40" s="327"/>
      <c r="AW40" s="327"/>
      <c r="AX40" s="327"/>
      <c r="AY40" s="327"/>
      <c r="AZ40" s="327"/>
      <c r="BA40" s="327"/>
      <c r="BB40" s="327"/>
      <c r="BC40" s="327"/>
      <c r="BD40" s="327"/>
      <c r="BE40" s="327"/>
      <c r="BF40" s="327"/>
      <c r="BG40" s="327"/>
      <c r="BH40" s="327"/>
      <c r="BI40" s="327"/>
      <c r="BJ40" s="327"/>
      <c r="BK40" s="327"/>
      <c r="BL40" s="327"/>
      <c r="BM40" s="327"/>
      <c r="BN40" s="327"/>
      <c r="BO40" s="327"/>
      <c r="BP40" s="327"/>
      <c r="BQ40" s="327"/>
      <c r="BR40" s="327"/>
      <c r="BS40" s="327"/>
      <c r="BT40" s="327"/>
      <c r="BU40" s="327"/>
      <c r="BV40" s="327"/>
      <c r="BW40" s="327"/>
      <c r="BX40" s="327"/>
      <c r="BY40" s="327"/>
      <c r="BZ40" s="327"/>
      <c r="CA40" s="327"/>
      <c r="CB40" s="327"/>
      <c r="CC40" s="327"/>
      <c r="CD40" s="327"/>
      <c r="CE40" s="327"/>
      <c r="CF40" s="327"/>
      <c r="CG40" s="327"/>
      <c r="CH40" s="326"/>
      <c r="CI40" s="328"/>
      <c r="CJ40" s="327"/>
      <c r="CK40" s="327"/>
      <c r="CL40" s="327"/>
      <c r="CM40" s="327"/>
      <c r="CN40" s="327"/>
      <c r="CO40" s="327"/>
      <c r="CP40" s="327"/>
      <c r="CQ40" s="327"/>
      <c r="CR40" s="327"/>
      <c r="CS40" s="327"/>
      <c r="CT40" s="327"/>
      <c r="CU40" s="327"/>
      <c r="CV40" s="327"/>
      <c r="CW40" s="327"/>
      <c r="CX40" s="327"/>
      <c r="CY40" s="327"/>
      <c r="CZ40" s="327"/>
      <c r="DA40" s="327"/>
      <c r="DB40" s="327"/>
      <c r="DC40" s="327"/>
      <c r="DD40" s="327"/>
      <c r="DE40" s="327"/>
      <c r="DF40" s="327"/>
      <c r="DG40" s="327"/>
      <c r="DH40" s="327"/>
      <c r="DI40" s="327"/>
      <c r="DJ40" s="327"/>
      <c r="DK40" s="327"/>
      <c r="DL40" s="327"/>
      <c r="DM40" s="327"/>
      <c r="DN40" s="327"/>
      <c r="DO40" s="327"/>
      <c r="DP40" s="327"/>
      <c r="DQ40" s="327"/>
      <c r="DR40" s="327"/>
      <c r="DS40" s="327"/>
      <c r="DT40" s="327"/>
      <c r="DU40" s="327"/>
      <c r="DV40" s="327"/>
      <c r="DW40" s="327"/>
      <c r="DX40" s="327"/>
      <c r="DY40" s="327"/>
      <c r="DZ40" s="327"/>
      <c r="EA40" s="327"/>
      <c r="EB40" s="327"/>
      <c r="EC40" s="327"/>
      <c r="ED40" s="327"/>
      <c r="EE40" s="327"/>
      <c r="EF40" s="327"/>
      <c r="EG40" s="327"/>
      <c r="EH40" s="327"/>
      <c r="EI40" s="327"/>
      <c r="EJ40" s="327"/>
      <c r="EK40" s="327"/>
      <c r="EL40" s="327"/>
      <c r="EM40" s="327"/>
      <c r="EN40" s="327"/>
      <c r="EO40" s="327"/>
      <c r="EP40" s="326"/>
      <c r="EQ40" s="328"/>
      <c r="ER40" s="327"/>
      <c r="ES40" s="327"/>
      <c r="ET40" s="327"/>
      <c r="EU40" s="327"/>
      <c r="EV40" s="327"/>
      <c r="EW40" s="327"/>
      <c r="EX40" s="327"/>
      <c r="EY40" s="327"/>
      <c r="EZ40" s="327"/>
      <c r="FA40" s="327"/>
      <c r="FB40" s="327"/>
      <c r="FC40" s="327"/>
      <c r="FD40" s="327"/>
      <c r="FE40" s="327"/>
      <c r="FF40" s="327"/>
      <c r="FG40" s="327"/>
      <c r="FH40" s="327"/>
      <c r="FI40" s="327"/>
      <c r="FJ40" s="327"/>
      <c r="FK40" s="327"/>
      <c r="FL40" s="327"/>
      <c r="FM40" s="327"/>
      <c r="FN40" s="327"/>
      <c r="FO40" s="327"/>
      <c r="FP40" s="327"/>
      <c r="FQ40" s="327"/>
      <c r="FR40" s="327"/>
      <c r="FS40" s="327"/>
      <c r="FT40" s="327"/>
      <c r="FU40" s="327"/>
      <c r="FV40" s="327"/>
      <c r="FW40" s="327"/>
      <c r="FX40" s="327"/>
      <c r="FY40" s="327"/>
      <c r="FZ40" s="327"/>
      <c r="GA40" s="327"/>
      <c r="GB40" s="327"/>
      <c r="GC40" s="327"/>
      <c r="GD40" s="327"/>
      <c r="GE40" s="327"/>
      <c r="GF40" s="327"/>
      <c r="GG40" s="327"/>
      <c r="GH40" s="327"/>
      <c r="GI40" s="327"/>
      <c r="GJ40" s="327"/>
      <c r="GK40" s="327"/>
      <c r="GL40" s="327"/>
      <c r="GM40" s="327"/>
      <c r="GN40" s="327"/>
      <c r="GO40" s="327"/>
      <c r="GP40" s="327"/>
      <c r="GQ40" s="327"/>
      <c r="GR40" s="327"/>
      <c r="GS40" s="327"/>
      <c r="GT40" s="327"/>
      <c r="GU40" s="327"/>
      <c r="GV40" s="327"/>
      <c r="GW40" s="327"/>
      <c r="GX40" s="326"/>
      <c r="GY40" s="328"/>
      <c r="GZ40" s="327"/>
      <c r="HA40" s="327"/>
      <c r="HB40" s="327"/>
      <c r="HC40" s="327"/>
      <c r="HD40" s="327"/>
      <c r="HE40" s="327"/>
      <c r="HF40" s="327"/>
      <c r="HG40" s="327"/>
      <c r="HH40" s="327"/>
      <c r="HI40" s="327"/>
      <c r="HJ40" s="327"/>
      <c r="HK40" s="327"/>
      <c r="HL40" s="327"/>
      <c r="HM40" s="327"/>
      <c r="HN40" s="327"/>
      <c r="HO40" s="327"/>
      <c r="HP40" s="327"/>
      <c r="HQ40" s="327"/>
      <c r="HR40" s="327"/>
      <c r="HS40" s="327"/>
      <c r="HT40" s="327"/>
      <c r="HU40" s="327"/>
      <c r="HV40" s="327"/>
      <c r="HW40" s="327"/>
      <c r="HX40" s="327"/>
      <c r="HY40" s="327"/>
      <c r="HZ40" s="327"/>
      <c r="IA40" s="327"/>
      <c r="IB40" s="327"/>
      <c r="IC40" s="327"/>
      <c r="ID40" s="327"/>
      <c r="IE40" s="327"/>
      <c r="IF40" s="327"/>
      <c r="IG40" s="327"/>
      <c r="IH40" s="327"/>
      <c r="II40" s="327"/>
      <c r="IJ40" s="327"/>
      <c r="IK40" s="327"/>
      <c r="IL40" s="327"/>
      <c r="IM40" s="327"/>
      <c r="IN40" s="327"/>
      <c r="IO40" s="327"/>
      <c r="IP40" s="327"/>
      <c r="IQ40" s="327"/>
      <c r="IR40" s="327"/>
      <c r="IS40" s="327"/>
      <c r="IT40" s="327"/>
      <c r="IU40" s="327"/>
      <c r="IV40" s="327"/>
      <c r="IW40" s="327"/>
      <c r="IX40" s="327"/>
      <c r="IY40" s="327"/>
      <c r="IZ40" s="327"/>
      <c r="JA40" s="327"/>
      <c r="JB40" s="327"/>
      <c r="JC40" s="327"/>
      <c r="JD40" s="327"/>
      <c r="JE40" s="327"/>
      <c r="JF40" s="326"/>
    </row>
    <row r="41" spans="1:266" x14ac:dyDescent="0.25">
      <c r="A41" s="332" t="s">
        <v>983</v>
      </c>
      <c r="B41" s="331" t="s">
        <v>982</v>
      </c>
      <c r="C41" s="330"/>
      <c r="D41" s="329"/>
      <c r="E41" s="327"/>
      <c r="F41" s="327"/>
      <c r="G41" s="327"/>
      <c r="H41" s="327"/>
      <c r="I41" s="327"/>
      <c r="J41" s="327"/>
      <c r="K41" s="327"/>
      <c r="L41" s="327"/>
      <c r="M41" s="327"/>
      <c r="N41" s="326"/>
      <c r="O41" s="330"/>
      <c r="P41" s="329"/>
      <c r="Q41" s="327"/>
      <c r="R41" s="327"/>
      <c r="S41" s="327"/>
      <c r="T41" s="327"/>
      <c r="U41" s="327"/>
      <c r="V41" s="327"/>
      <c r="W41" s="328"/>
      <c r="X41" s="327"/>
      <c r="Y41" s="327"/>
      <c r="Z41" s="326"/>
      <c r="AA41" s="328"/>
      <c r="AB41" s="327"/>
      <c r="AC41" s="327"/>
      <c r="AD41" s="327"/>
      <c r="AE41" s="327"/>
      <c r="AF41" s="327"/>
      <c r="AG41" s="327"/>
      <c r="AH41" s="327"/>
      <c r="AI41" s="327"/>
      <c r="AJ41" s="327"/>
      <c r="AK41" s="327"/>
      <c r="AL41" s="327"/>
      <c r="AM41" s="327"/>
      <c r="AN41" s="327"/>
      <c r="AO41" s="327"/>
      <c r="AP41" s="327"/>
      <c r="AQ41" s="327"/>
      <c r="AR41" s="327"/>
      <c r="AS41" s="327"/>
      <c r="AT41" s="327"/>
      <c r="AU41" s="327"/>
      <c r="AV41" s="327"/>
      <c r="AW41" s="327"/>
      <c r="AX41" s="327"/>
      <c r="AY41" s="327"/>
      <c r="AZ41" s="327"/>
      <c r="BA41" s="327"/>
      <c r="BB41" s="327"/>
      <c r="BC41" s="327"/>
      <c r="BD41" s="327"/>
      <c r="BE41" s="327"/>
      <c r="BF41" s="327"/>
      <c r="BG41" s="327"/>
      <c r="BH41" s="327"/>
      <c r="BI41" s="327"/>
      <c r="BJ41" s="327"/>
      <c r="BK41" s="327"/>
      <c r="BL41" s="327"/>
      <c r="BM41" s="327"/>
      <c r="BN41" s="327"/>
      <c r="BO41" s="327"/>
      <c r="BP41" s="327"/>
      <c r="BQ41" s="327"/>
      <c r="BR41" s="327"/>
      <c r="BS41" s="327"/>
      <c r="BT41" s="327"/>
      <c r="BU41" s="327"/>
      <c r="BV41" s="327"/>
      <c r="BW41" s="327"/>
      <c r="BX41" s="327"/>
      <c r="BY41" s="327"/>
      <c r="BZ41" s="327"/>
      <c r="CA41" s="327"/>
      <c r="CB41" s="327"/>
      <c r="CC41" s="327"/>
      <c r="CD41" s="327"/>
      <c r="CE41" s="327"/>
      <c r="CF41" s="327"/>
      <c r="CG41" s="327"/>
      <c r="CH41" s="326"/>
      <c r="CI41" s="328"/>
      <c r="CJ41" s="327"/>
      <c r="CK41" s="327"/>
      <c r="CL41" s="327"/>
      <c r="CM41" s="327"/>
      <c r="CN41" s="327"/>
      <c r="CO41" s="327"/>
      <c r="CP41" s="327"/>
      <c r="CQ41" s="327"/>
      <c r="CR41" s="327"/>
      <c r="CS41" s="327"/>
      <c r="CT41" s="327"/>
      <c r="CU41" s="327"/>
      <c r="CV41" s="327"/>
      <c r="CW41" s="327"/>
      <c r="CX41" s="327"/>
      <c r="CY41" s="327"/>
      <c r="CZ41" s="327"/>
      <c r="DA41" s="327"/>
      <c r="DB41" s="327"/>
      <c r="DC41" s="327"/>
      <c r="DD41" s="327"/>
      <c r="DE41" s="327"/>
      <c r="DF41" s="327"/>
      <c r="DG41" s="327"/>
      <c r="DH41" s="327"/>
      <c r="DI41" s="327"/>
      <c r="DJ41" s="327"/>
      <c r="DK41" s="327"/>
      <c r="DL41" s="327"/>
      <c r="DM41" s="327"/>
      <c r="DN41" s="327"/>
      <c r="DO41" s="327"/>
      <c r="DP41" s="327"/>
      <c r="DQ41" s="327"/>
      <c r="DR41" s="327"/>
      <c r="DS41" s="327"/>
      <c r="DT41" s="327"/>
      <c r="DU41" s="327"/>
      <c r="DV41" s="327"/>
      <c r="DW41" s="327"/>
      <c r="DX41" s="327"/>
      <c r="DY41" s="327"/>
      <c r="DZ41" s="327"/>
      <c r="EA41" s="327"/>
      <c r="EB41" s="327"/>
      <c r="EC41" s="327"/>
      <c r="ED41" s="327"/>
      <c r="EE41" s="327"/>
      <c r="EF41" s="327"/>
      <c r="EG41" s="327"/>
      <c r="EH41" s="327"/>
      <c r="EI41" s="327"/>
      <c r="EJ41" s="327"/>
      <c r="EK41" s="327"/>
      <c r="EL41" s="327"/>
      <c r="EM41" s="327"/>
      <c r="EN41" s="327"/>
      <c r="EO41" s="327"/>
      <c r="EP41" s="326"/>
      <c r="EQ41" s="328"/>
      <c r="ER41" s="327"/>
      <c r="ES41" s="327"/>
      <c r="ET41" s="327"/>
      <c r="EU41" s="327"/>
      <c r="EV41" s="327"/>
      <c r="EW41" s="327"/>
      <c r="EX41" s="327"/>
      <c r="EY41" s="327"/>
      <c r="EZ41" s="327"/>
      <c r="FA41" s="327"/>
      <c r="FB41" s="327"/>
      <c r="FC41" s="327"/>
      <c r="FD41" s="327"/>
      <c r="FE41" s="327"/>
      <c r="FF41" s="327"/>
      <c r="FG41" s="327"/>
      <c r="FH41" s="327"/>
      <c r="FI41" s="327"/>
      <c r="FJ41" s="327"/>
      <c r="FK41" s="327"/>
      <c r="FL41" s="327"/>
      <c r="FM41" s="327"/>
      <c r="FN41" s="327"/>
      <c r="FO41" s="327"/>
      <c r="FP41" s="327"/>
      <c r="FQ41" s="327"/>
      <c r="FR41" s="327"/>
      <c r="FS41" s="327"/>
      <c r="FT41" s="327"/>
      <c r="FU41" s="327"/>
      <c r="FV41" s="327"/>
      <c r="FW41" s="327"/>
      <c r="FX41" s="327"/>
      <c r="FY41" s="327"/>
      <c r="FZ41" s="327"/>
      <c r="GA41" s="327"/>
      <c r="GB41" s="327"/>
      <c r="GC41" s="327"/>
      <c r="GD41" s="327"/>
      <c r="GE41" s="327"/>
      <c r="GF41" s="327"/>
      <c r="GG41" s="327"/>
      <c r="GH41" s="327"/>
      <c r="GI41" s="327"/>
      <c r="GJ41" s="327"/>
      <c r="GK41" s="327"/>
      <c r="GL41" s="327"/>
      <c r="GM41" s="327"/>
      <c r="GN41" s="327"/>
      <c r="GO41" s="327"/>
      <c r="GP41" s="327"/>
      <c r="GQ41" s="327"/>
      <c r="GR41" s="327"/>
      <c r="GS41" s="327"/>
      <c r="GT41" s="327"/>
      <c r="GU41" s="327"/>
      <c r="GV41" s="327"/>
      <c r="GW41" s="327"/>
      <c r="GX41" s="326"/>
      <c r="GY41" s="328"/>
      <c r="GZ41" s="327"/>
      <c r="HA41" s="327"/>
      <c r="HB41" s="327"/>
      <c r="HC41" s="327"/>
      <c r="HD41" s="327"/>
      <c r="HE41" s="327"/>
      <c r="HF41" s="327"/>
      <c r="HG41" s="327"/>
      <c r="HH41" s="327"/>
      <c r="HI41" s="327"/>
      <c r="HJ41" s="327"/>
      <c r="HK41" s="327"/>
      <c r="HL41" s="327"/>
      <c r="HM41" s="327"/>
      <c r="HN41" s="327"/>
      <c r="HO41" s="327"/>
      <c r="HP41" s="327"/>
      <c r="HQ41" s="327"/>
      <c r="HR41" s="327"/>
      <c r="HS41" s="327"/>
      <c r="HT41" s="327"/>
      <c r="HU41" s="327"/>
      <c r="HV41" s="327"/>
      <c r="HW41" s="327"/>
      <c r="HX41" s="327"/>
      <c r="HY41" s="327"/>
      <c r="HZ41" s="327"/>
      <c r="IA41" s="327"/>
      <c r="IB41" s="327"/>
      <c r="IC41" s="327"/>
      <c r="ID41" s="327"/>
      <c r="IE41" s="327"/>
      <c r="IF41" s="327"/>
      <c r="IG41" s="327"/>
      <c r="IH41" s="327"/>
      <c r="II41" s="327"/>
      <c r="IJ41" s="327"/>
      <c r="IK41" s="327"/>
      <c r="IL41" s="327"/>
      <c r="IM41" s="327"/>
      <c r="IN41" s="327"/>
      <c r="IO41" s="327"/>
      <c r="IP41" s="327"/>
      <c r="IQ41" s="327"/>
      <c r="IR41" s="327"/>
      <c r="IS41" s="327"/>
      <c r="IT41" s="327"/>
      <c r="IU41" s="327"/>
      <c r="IV41" s="327"/>
      <c r="IW41" s="327"/>
      <c r="IX41" s="327"/>
      <c r="IY41" s="327"/>
      <c r="IZ41" s="327"/>
      <c r="JA41" s="327"/>
      <c r="JB41" s="327"/>
      <c r="JC41" s="327"/>
      <c r="JD41" s="327"/>
      <c r="JE41" s="327"/>
      <c r="JF41" s="326"/>
    </row>
    <row r="42" spans="1:266" x14ac:dyDescent="0.25">
      <c r="A42" s="332" t="s">
        <v>980</v>
      </c>
      <c r="B42" s="333" t="s">
        <v>981</v>
      </c>
      <c r="C42" s="330"/>
      <c r="D42" s="329"/>
      <c r="E42" s="327"/>
      <c r="F42" s="327"/>
      <c r="G42" s="327"/>
      <c r="H42" s="327"/>
      <c r="I42" s="327"/>
      <c r="J42" s="327"/>
      <c r="K42" s="327"/>
      <c r="L42" s="327"/>
      <c r="M42" s="327"/>
      <c r="N42" s="326"/>
      <c r="O42" s="330"/>
      <c r="P42" s="329"/>
      <c r="Q42" s="327"/>
      <c r="R42" s="327"/>
      <c r="S42" s="327"/>
      <c r="T42" s="327"/>
      <c r="U42" s="327"/>
      <c r="V42" s="327"/>
      <c r="W42" s="328"/>
      <c r="X42" s="327"/>
      <c r="Y42" s="327"/>
      <c r="Z42" s="326"/>
      <c r="AA42" s="328"/>
      <c r="AB42" s="327"/>
      <c r="AC42" s="327"/>
      <c r="AD42" s="327"/>
      <c r="AE42" s="327"/>
      <c r="AF42" s="327"/>
      <c r="AG42" s="327"/>
      <c r="AH42" s="327"/>
      <c r="AI42" s="327"/>
      <c r="AJ42" s="327"/>
      <c r="AK42" s="327"/>
      <c r="AL42" s="327"/>
      <c r="AM42" s="327"/>
      <c r="AN42" s="327"/>
      <c r="AO42" s="327"/>
      <c r="AP42" s="327"/>
      <c r="AQ42" s="327"/>
      <c r="AR42" s="327"/>
      <c r="AS42" s="327"/>
      <c r="AT42" s="327"/>
      <c r="AU42" s="327"/>
      <c r="AV42" s="327"/>
      <c r="AW42" s="327"/>
      <c r="AX42" s="327"/>
      <c r="AY42" s="327"/>
      <c r="AZ42" s="327"/>
      <c r="BA42" s="327"/>
      <c r="BB42" s="327"/>
      <c r="BC42" s="327"/>
      <c r="BD42" s="327"/>
      <c r="BE42" s="327"/>
      <c r="BF42" s="327"/>
      <c r="BG42" s="327"/>
      <c r="BH42" s="327"/>
      <c r="BI42" s="327"/>
      <c r="BJ42" s="327"/>
      <c r="BK42" s="327"/>
      <c r="BL42" s="327"/>
      <c r="BM42" s="327"/>
      <c r="BN42" s="327"/>
      <c r="BO42" s="327"/>
      <c r="BP42" s="327"/>
      <c r="BQ42" s="327"/>
      <c r="BR42" s="327"/>
      <c r="BS42" s="327"/>
      <c r="BT42" s="327"/>
      <c r="BU42" s="327"/>
      <c r="BV42" s="327"/>
      <c r="BW42" s="327"/>
      <c r="BX42" s="327"/>
      <c r="BY42" s="327"/>
      <c r="BZ42" s="327"/>
      <c r="CA42" s="327"/>
      <c r="CB42" s="327"/>
      <c r="CC42" s="327"/>
      <c r="CD42" s="327"/>
      <c r="CE42" s="327"/>
      <c r="CF42" s="327"/>
      <c r="CG42" s="327"/>
      <c r="CH42" s="326"/>
      <c r="CI42" s="328"/>
      <c r="CJ42" s="327"/>
      <c r="CK42" s="327"/>
      <c r="CL42" s="327"/>
      <c r="CM42" s="327"/>
      <c r="CN42" s="327"/>
      <c r="CO42" s="327"/>
      <c r="CP42" s="327"/>
      <c r="CQ42" s="327"/>
      <c r="CR42" s="327"/>
      <c r="CS42" s="327"/>
      <c r="CT42" s="327"/>
      <c r="CU42" s="327"/>
      <c r="CV42" s="327"/>
      <c r="CW42" s="327"/>
      <c r="CX42" s="327"/>
      <c r="CY42" s="327"/>
      <c r="CZ42" s="327"/>
      <c r="DA42" s="327"/>
      <c r="DB42" s="327"/>
      <c r="DC42" s="327"/>
      <c r="DD42" s="327"/>
      <c r="DE42" s="327"/>
      <c r="DF42" s="327"/>
      <c r="DG42" s="327"/>
      <c r="DH42" s="327"/>
      <c r="DI42" s="327"/>
      <c r="DJ42" s="327"/>
      <c r="DK42" s="327"/>
      <c r="DL42" s="327"/>
      <c r="DM42" s="327"/>
      <c r="DN42" s="327"/>
      <c r="DO42" s="327"/>
      <c r="DP42" s="327"/>
      <c r="DQ42" s="327"/>
      <c r="DR42" s="327"/>
      <c r="DS42" s="327"/>
      <c r="DT42" s="327"/>
      <c r="DU42" s="327"/>
      <c r="DV42" s="327"/>
      <c r="DW42" s="327"/>
      <c r="DX42" s="327"/>
      <c r="DY42" s="327"/>
      <c r="DZ42" s="327"/>
      <c r="EA42" s="327"/>
      <c r="EB42" s="327"/>
      <c r="EC42" s="327"/>
      <c r="ED42" s="327"/>
      <c r="EE42" s="327"/>
      <c r="EF42" s="327"/>
      <c r="EG42" s="327"/>
      <c r="EH42" s="327"/>
      <c r="EI42" s="327"/>
      <c r="EJ42" s="327"/>
      <c r="EK42" s="327"/>
      <c r="EL42" s="327"/>
      <c r="EM42" s="327"/>
      <c r="EN42" s="327"/>
      <c r="EO42" s="327"/>
      <c r="EP42" s="326"/>
      <c r="EQ42" s="328"/>
      <c r="ER42" s="327"/>
      <c r="ES42" s="327"/>
      <c r="ET42" s="327"/>
      <c r="EU42" s="327"/>
      <c r="EV42" s="327"/>
      <c r="EW42" s="327"/>
      <c r="EX42" s="327"/>
      <c r="EY42" s="327"/>
      <c r="EZ42" s="327"/>
      <c r="FA42" s="327"/>
      <c r="FB42" s="327"/>
      <c r="FC42" s="327"/>
      <c r="FD42" s="327"/>
      <c r="FE42" s="327"/>
      <c r="FF42" s="327"/>
      <c r="FG42" s="327"/>
      <c r="FH42" s="327"/>
      <c r="FI42" s="327"/>
      <c r="FJ42" s="327"/>
      <c r="FK42" s="327"/>
      <c r="FL42" s="327"/>
      <c r="FM42" s="327"/>
      <c r="FN42" s="327"/>
      <c r="FO42" s="327"/>
      <c r="FP42" s="327"/>
      <c r="FQ42" s="327"/>
      <c r="FR42" s="327"/>
      <c r="FS42" s="327"/>
      <c r="FT42" s="327"/>
      <c r="FU42" s="327"/>
      <c r="FV42" s="327"/>
      <c r="FW42" s="327"/>
      <c r="FX42" s="327"/>
      <c r="FY42" s="327"/>
      <c r="FZ42" s="327"/>
      <c r="GA42" s="327"/>
      <c r="GB42" s="327"/>
      <c r="GC42" s="327"/>
      <c r="GD42" s="327"/>
      <c r="GE42" s="327"/>
      <c r="GF42" s="327"/>
      <c r="GG42" s="327"/>
      <c r="GH42" s="327"/>
      <c r="GI42" s="327"/>
      <c r="GJ42" s="327"/>
      <c r="GK42" s="327"/>
      <c r="GL42" s="327"/>
      <c r="GM42" s="327"/>
      <c r="GN42" s="327"/>
      <c r="GO42" s="327"/>
      <c r="GP42" s="327"/>
      <c r="GQ42" s="327"/>
      <c r="GR42" s="327"/>
      <c r="GS42" s="327"/>
      <c r="GT42" s="327"/>
      <c r="GU42" s="327"/>
      <c r="GV42" s="327"/>
      <c r="GW42" s="327"/>
      <c r="GX42" s="326"/>
      <c r="GY42" s="328"/>
      <c r="GZ42" s="327"/>
      <c r="HA42" s="327"/>
      <c r="HB42" s="327"/>
      <c r="HC42" s="327"/>
      <c r="HD42" s="327"/>
      <c r="HE42" s="327"/>
      <c r="HF42" s="327"/>
      <c r="HG42" s="327"/>
      <c r="HH42" s="327"/>
      <c r="HI42" s="327"/>
      <c r="HJ42" s="327"/>
      <c r="HK42" s="327"/>
      <c r="HL42" s="327"/>
      <c r="HM42" s="327"/>
      <c r="HN42" s="327"/>
      <c r="HO42" s="327"/>
      <c r="HP42" s="327"/>
      <c r="HQ42" s="327"/>
      <c r="HR42" s="327"/>
      <c r="HS42" s="327"/>
      <c r="HT42" s="327"/>
      <c r="HU42" s="327"/>
      <c r="HV42" s="327"/>
      <c r="HW42" s="327"/>
      <c r="HX42" s="327"/>
      <c r="HY42" s="327"/>
      <c r="HZ42" s="327"/>
      <c r="IA42" s="327"/>
      <c r="IB42" s="327"/>
      <c r="IC42" s="327"/>
      <c r="ID42" s="327"/>
      <c r="IE42" s="327"/>
      <c r="IF42" s="327"/>
      <c r="IG42" s="327"/>
      <c r="IH42" s="327"/>
      <c r="II42" s="327"/>
      <c r="IJ42" s="327"/>
      <c r="IK42" s="327"/>
      <c r="IL42" s="327"/>
      <c r="IM42" s="327"/>
      <c r="IN42" s="327"/>
      <c r="IO42" s="327"/>
      <c r="IP42" s="327"/>
      <c r="IQ42" s="327"/>
      <c r="IR42" s="327"/>
      <c r="IS42" s="327"/>
      <c r="IT42" s="327"/>
      <c r="IU42" s="327"/>
      <c r="IV42" s="327"/>
      <c r="IW42" s="327"/>
      <c r="IX42" s="327"/>
      <c r="IY42" s="327"/>
      <c r="IZ42" s="327"/>
      <c r="JA42" s="327"/>
      <c r="JB42" s="327"/>
      <c r="JC42" s="327"/>
      <c r="JD42" s="327"/>
      <c r="JE42" s="327"/>
      <c r="JF42" s="326"/>
    </row>
    <row r="43" spans="1:266" x14ac:dyDescent="0.25">
      <c r="A43" s="332" t="s">
        <v>980</v>
      </c>
      <c r="B43" s="331" t="s">
        <v>979</v>
      </c>
      <c r="C43" s="330"/>
      <c r="D43" s="329"/>
      <c r="E43" s="327"/>
      <c r="F43" s="327"/>
      <c r="G43" s="327"/>
      <c r="H43" s="327"/>
      <c r="I43" s="327"/>
      <c r="J43" s="327"/>
      <c r="K43" s="327"/>
      <c r="L43" s="327"/>
      <c r="M43" s="327"/>
      <c r="N43" s="326"/>
      <c r="O43" s="330"/>
      <c r="P43" s="329"/>
      <c r="Q43" s="327"/>
      <c r="R43" s="327"/>
      <c r="S43" s="327"/>
      <c r="T43" s="327"/>
      <c r="U43" s="327"/>
      <c r="V43" s="327"/>
      <c r="W43" s="328"/>
      <c r="X43" s="327"/>
      <c r="Y43" s="327"/>
      <c r="Z43" s="326"/>
      <c r="AA43" s="328"/>
      <c r="AB43" s="327"/>
      <c r="AC43" s="327"/>
      <c r="AD43" s="327"/>
      <c r="AE43" s="327"/>
      <c r="AF43" s="327"/>
      <c r="AG43" s="327"/>
      <c r="AH43" s="327"/>
      <c r="AI43" s="327"/>
      <c r="AJ43" s="327"/>
      <c r="AK43" s="327"/>
      <c r="AL43" s="327"/>
      <c r="AM43" s="327"/>
      <c r="AN43" s="327"/>
      <c r="AO43" s="327"/>
      <c r="AP43" s="327"/>
      <c r="AQ43" s="327"/>
      <c r="AR43" s="327"/>
      <c r="AS43" s="327"/>
      <c r="AT43" s="327"/>
      <c r="AU43" s="327"/>
      <c r="AV43" s="327"/>
      <c r="AW43" s="327"/>
      <c r="AX43" s="327"/>
      <c r="AY43" s="327"/>
      <c r="AZ43" s="327"/>
      <c r="BA43" s="327"/>
      <c r="BB43" s="327"/>
      <c r="BC43" s="327"/>
      <c r="BD43" s="327"/>
      <c r="BE43" s="327"/>
      <c r="BF43" s="327"/>
      <c r="BG43" s="327"/>
      <c r="BH43" s="327"/>
      <c r="BI43" s="327"/>
      <c r="BJ43" s="327"/>
      <c r="BK43" s="327"/>
      <c r="BL43" s="327"/>
      <c r="BM43" s="327"/>
      <c r="BN43" s="327"/>
      <c r="BO43" s="327"/>
      <c r="BP43" s="327"/>
      <c r="BQ43" s="327"/>
      <c r="BR43" s="327"/>
      <c r="BS43" s="327"/>
      <c r="BT43" s="327"/>
      <c r="BU43" s="327"/>
      <c r="BV43" s="327"/>
      <c r="BW43" s="327"/>
      <c r="BX43" s="327"/>
      <c r="BY43" s="327"/>
      <c r="BZ43" s="327"/>
      <c r="CA43" s="327"/>
      <c r="CB43" s="327"/>
      <c r="CC43" s="327"/>
      <c r="CD43" s="327"/>
      <c r="CE43" s="327"/>
      <c r="CF43" s="327"/>
      <c r="CG43" s="327"/>
      <c r="CH43" s="326"/>
      <c r="CI43" s="328"/>
      <c r="CJ43" s="327"/>
      <c r="CK43" s="327"/>
      <c r="CL43" s="327"/>
      <c r="CM43" s="327"/>
      <c r="CN43" s="327"/>
      <c r="CO43" s="327"/>
      <c r="CP43" s="327"/>
      <c r="CQ43" s="327"/>
      <c r="CR43" s="327"/>
      <c r="CS43" s="327"/>
      <c r="CT43" s="327"/>
      <c r="CU43" s="327"/>
      <c r="CV43" s="327"/>
      <c r="CW43" s="327"/>
      <c r="CX43" s="327"/>
      <c r="CY43" s="327"/>
      <c r="CZ43" s="327"/>
      <c r="DA43" s="327"/>
      <c r="DB43" s="327"/>
      <c r="DC43" s="327"/>
      <c r="DD43" s="327"/>
      <c r="DE43" s="327"/>
      <c r="DF43" s="327"/>
      <c r="DG43" s="327"/>
      <c r="DH43" s="327"/>
      <c r="DI43" s="327"/>
      <c r="DJ43" s="327"/>
      <c r="DK43" s="327"/>
      <c r="DL43" s="327"/>
      <c r="DM43" s="327"/>
      <c r="DN43" s="327"/>
      <c r="DO43" s="327"/>
      <c r="DP43" s="327"/>
      <c r="DQ43" s="327"/>
      <c r="DR43" s="327"/>
      <c r="DS43" s="327"/>
      <c r="DT43" s="327"/>
      <c r="DU43" s="327"/>
      <c r="DV43" s="327"/>
      <c r="DW43" s="327"/>
      <c r="DX43" s="327"/>
      <c r="DY43" s="327"/>
      <c r="DZ43" s="327"/>
      <c r="EA43" s="327"/>
      <c r="EB43" s="327"/>
      <c r="EC43" s="327"/>
      <c r="ED43" s="327"/>
      <c r="EE43" s="327"/>
      <c r="EF43" s="327"/>
      <c r="EG43" s="327"/>
      <c r="EH43" s="327"/>
      <c r="EI43" s="327"/>
      <c r="EJ43" s="327"/>
      <c r="EK43" s="327"/>
      <c r="EL43" s="327"/>
      <c r="EM43" s="327"/>
      <c r="EN43" s="327"/>
      <c r="EO43" s="327"/>
      <c r="EP43" s="326"/>
      <c r="EQ43" s="328"/>
      <c r="ER43" s="327"/>
      <c r="ES43" s="327"/>
      <c r="ET43" s="327"/>
      <c r="EU43" s="327"/>
      <c r="EV43" s="327"/>
      <c r="EW43" s="327"/>
      <c r="EX43" s="327"/>
      <c r="EY43" s="327"/>
      <c r="EZ43" s="327"/>
      <c r="FA43" s="327"/>
      <c r="FB43" s="327"/>
      <c r="FC43" s="327"/>
      <c r="FD43" s="327"/>
      <c r="FE43" s="327"/>
      <c r="FF43" s="327"/>
      <c r="FG43" s="327"/>
      <c r="FH43" s="327"/>
      <c r="FI43" s="327"/>
      <c r="FJ43" s="327"/>
      <c r="FK43" s="327"/>
      <c r="FL43" s="327"/>
      <c r="FM43" s="327"/>
      <c r="FN43" s="327"/>
      <c r="FO43" s="327"/>
      <c r="FP43" s="327"/>
      <c r="FQ43" s="327"/>
      <c r="FR43" s="327"/>
      <c r="FS43" s="327"/>
      <c r="FT43" s="327"/>
      <c r="FU43" s="327"/>
      <c r="FV43" s="327"/>
      <c r="FW43" s="327"/>
      <c r="FX43" s="327"/>
      <c r="FY43" s="327"/>
      <c r="FZ43" s="327"/>
      <c r="GA43" s="327"/>
      <c r="GB43" s="327"/>
      <c r="GC43" s="327"/>
      <c r="GD43" s="327"/>
      <c r="GE43" s="327"/>
      <c r="GF43" s="327"/>
      <c r="GG43" s="327"/>
      <c r="GH43" s="327"/>
      <c r="GI43" s="327"/>
      <c r="GJ43" s="327"/>
      <c r="GK43" s="327"/>
      <c r="GL43" s="327"/>
      <c r="GM43" s="327"/>
      <c r="GN43" s="327"/>
      <c r="GO43" s="327"/>
      <c r="GP43" s="327"/>
      <c r="GQ43" s="327"/>
      <c r="GR43" s="327"/>
      <c r="GS43" s="327"/>
      <c r="GT43" s="327"/>
      <c r="GU43" s="327"/>
      <c r="GV43" s="327"/>
      <c r="GW43" s="327"/>
      <c r="GX43" s="326"/>
      <c r="GY43" s="328"/>
      <c r="GZ43" s="327"/>
      <c r="HA43" s="327"/>
      <c r="HB43" s="327"/>
      <c r="HC43" s="327"/>
      <c r="HD43" s="327"/>
      <c r="HE43" s="327"/>
      <c r="HF43" s="327"/>
      <c r="HG43" s="327"/>
      <c r="HH43" s="327"/>
      <c r="HI43" s="327"/>
      <c r="HJ43" s="327"/>
      <c r="HK43" s="327"/>
      <c r="HL43" s="327"/>
      <c r="HM43" s="327"/>
      <c r="HN43" s="327"/>
      <c r="HO43" s="327"/>
      <c r="HP43" s="327"/>
      <c r="HQ43" s="327"/>
      <c r="HR43" s="327"/>
      <c r="HS43" s="327"/>
      <c r="HT43" s="327"/>
      <c r="HU43" s="327"/>
      <c r="HV43" s="327"/>
      <c r="HW43" s="327"/>
      <c r="HX43" s="327"/>
      <c r="HY43" s="327"/>
      <c r="HZ43" s="327"/>
      <c r="IA43" s="327"/>
      <c r="IB43" s="327"/>
      <c r="IC43" s="327"/>
      <c r="ID43" s="327"/>
      <c r="IE43" s="327"/>
      <c r="IF43" s="327"/>
      <c r="IG43" s="327"/>
      <c r="IH43" s="327"/>
      <c r="II43" s="327"/>
      <c r="IJ43" s="327"/>
      <c r="IK43" s="327"/>
      <c r="IL43" s="327"/>
      <c r="IM43" s="327"/>
      <c r="IN43" s="327"/>
      <c r="IO43" s="327"/>
      <c r="IP43" s="327"/>
      <c r="IQ43" s="327"/>
      <c r="IR43" s="327"/>
      <c r="IS43" s="327"/>
      <c r="IT43" s="327"/>
      <c r="IU43" s="327"/>
      <c r="IV43" s="327"/>
      <c r="IW43" s="327"/>
      <c r="IX43" s="327"/>
      <c r="IY43" s="327"/>
      <c r="IZ43" s="327"/>
      <c r="JA43" s="327"/>
      <c r="JB43" s="327"/>
      <c r="JC43" s="327"/>
      <c r="JD43" s="327"/>
      <c r="JE43" s="327"/>
      <c r="JF43" s="326"/>
    </row>
    <row r="44" spans="1:266" x14ac:dyDescent="0.25">
      <c r="A44" s="332" t="s">
        <v>978</v>
      </c>
      <c r="B44" s="333" t="s">
        <v>977</v>
      </c>
      <c r="C44" s="330"/>
      <c r="D44" s="329"/>
      <c r="E44" s="327"/>
      <c r="F44" s="327"/>
      <c r="G44" s="327"/>
      <c r="H44" s="327"/>
      <c r="I44" s="327"/>
      <c r="J44" s="327"/>
      <c r="K44" s="327"/>
      <c r="L44" s="327"/>
      <c r="M44" s="327"/>
      <c r="N44" s="326"/>
      <c r="O44" s="330"/>
      <c r="P44" s="329"/>
      <c r="Q44" s="327"/>
      <c r="R44" s="327"/>
      <c r="S44" s="327"/>
      <c r="T44" s="327"/>
      <c r="U44" s="327"/>
      <c r="V44" s="327"/>
      <c r="W44" s="328"/>
      <c r="X44" s="327"/>
      <c r="Y44" s="327"/>
      <c r="Z44" s="326"/>
      <c r="AA44" s="328"/>
      <c r="AB44" s="327"/>
      <c r="AC44" s="327"/>
      <c r="AD44" s="327"/>
      <c r="AE44" s="327"/>
      <c r="AF44" s="327"/>
      <c r="AG44" s="327"/>
      <c r="AH44" s="327"/>
      <c r="AI44" s="327"/>
      <c r="AJ44" s="327"/>
      <c r="AK44" s="327"/>
      <c r="AL44" s="327"/>
      <c r="AM44" s="327"/>
      <c r="AN44" s="327"/>
      <c r="AO44" s="327"/>
      <c r="AP44" s="327"/>
      <c r="AQ44" s="327"/>
      <c r="AR44" s="327"/>
      <c r="AS44" s="327"/>
      <c r="AT44" s="327"/>
      <c r="AU44" s="327"/>
      <c r="AV44" s="327"/>
      <c r="AW44" s="327"/>
      <c r="AX44" s="327"/>
      <c r="AY44" s="327"/>
      <c r="AZ44" s="327"/>
      <c r="BA44" s="327"/>
      <c r="BB44" s="327"/>
      <c r="BC44" s="327"/>
      <c r="BD44" s="327"/>
      <c r="BE44" s="327"/>
      <c r="BF44" s="327"/>
      <c r="BG44" s="327"/>
      <c r="BH44" s="327"/>
      <c r="BI44" s="327"/>
      <c r="BJ44" s="327"/>
      <c r="BK44" s="327"/>
      <c r="BL44" s="327"/>
      <c r="BM44" s="327"/>
      <c r="BN44" s="327"/>
      <c r="BO44" s="327"/>
      <c r="BP44" s="327"/>
      <c r="BQ44" s="327"/>
      <c r="BR44" s="327"/>
      <c r="BS44" s="327"/>
      <c r="BT44" s="327"/>
      <c r="BU44" s="327"/>
      <c r="BV44" s="327"/>
      <c r="BW44" s="327"/>
      <c r="BX44" s="327"/>
      <c r="BY44" s="327"/>
      <c r="BZ44" s="327"/>
      <c r="CA44" s="327"/>
      <c r="CB44" s="327"/>
      <c r="CC44" s="327"/>
      <c r="CD44" s="327"/>
      <c r="CE44" s="327"/>
      <c r="CF44" s="327"/>
      <c r="CG44" s="327"/>
      <c r="CH44" s="326"/>
      <c r="CI44" s="328"/>
      <c r="CJ44" s="327"/>
      <c r="CK44" s="327"/>
      <c r="CL44" s="327"/>
      <c r="CM44" s="327"/>
      <c r="CN44" s="327"/>
      <c r="CO44" s="327"/>
      <c r="CP44" s="327"/>
      <c r="CQ44" s="327"/>
      <c r="CR44" s="327"/>
      <c r="CS44" s="327"/>
      <c r="CT44" s="327"/>
      <c r="CU44" s="327"/>
      <c r="CV44" s="327"/>
      <c r="CW44" s="327"/>
      <c r="CX44" s="327"/>
      <c r="CY44" s="327"/>
      <c r="CZ44" s="327"/>
      <c r="DA44" s="327"/>
      <c r="DB44" s="327"/>
      <c r="DC44" s="327"/>
      <c r="DD44" s="327"/>
      <c r="DE44" s="327"/>
      <c r="DF44" s="327"/>
      <c r="DG44" s="327"/>
      <c r="DH44" s="327"/>
      <c r="DI44" s="327"/>
      <c r="DJ44" s="327"/>
      <c r="DK44" s="327"/>
      <c r="DL44" s="327"/>
      <c r="DM44" s="327"/>
      <c r="DN44" s="327"/>
      <c r="DO44" s="327"/>
      <c r="DP44" s="327"/>
      <c r="DQ44" s="327"/>
      <c r="DR44" s="327"/>
      <c r="DS44" s="327"/>
      <c r="DT44" s="327"/>
      <c r="DU44" s="327"/>
      <c r="DV44" s="327"/>
      <c r="DW44" s="327"/>
      <c r="DX44" s="327"/>
      <c r="DY44" s="327"/>
      <c r="DZ44" s="327"/>
      <c r="EA44" s="327"/>
      <c r="EB44" s="327"/>
      <c r="EC44" s="327"/>
      <c r="ED44" s="327"/>
      <c r="EE44" s="327"/>
      <c r="EF44" s="327"/>
      <c r="EG44" s="327"/>
      <c r="EH44" s="327"/>
      <c r="EI44" s="327"/>
      <c r="EJ44" s="327"/>
      <c r="EK44" s="327"/>
      <c r="EL44" s="327"/>
      <c r="EM44" s="327"/>
      <c r="EN44" s="327"/>
      <c r="EO44" s="327"/>
      <c r="EP44" s="326"/>
      <c r="EQ44" s="328"/>
      <c r="ER44" s="327"/>
      <c r="ES44" s="327"/>
      <c r="ET44" s="327"/>
      <c r="EU44" s="327"/>
      <c r="EV44" s="327"/>
      <c r="EW44" s="327"/>
      <c r="EX44" s="327"/>
      <c r="EY44" s="327"/>
      <c r="EZ44" s="327"/>
      <c r="FA44" s="327"/>
      <c r="FB44" s="327"/>
      <c r="FC44" s="327"/>
      <c r="FD44" s="327"/>
      <c r="FE44" s="327"/>
      <c r="FF44" s="327"/>
      <c r="FG44" s="327"/>
      <c r="FH44" s="327"/>
      <c r="FI44" s="327"/>
      <c r="FJ44" s="327"/>
      <c r="FK44" s="327"/>
      <c r="FL44" s="327"/>
      <c r="FM44" s="327"/>
      <c r="FN44" s="327"/>
      <c r="FO44" s="327"/>
      <c r="FP44" s="327"/>
      <c r="FQ44" s="327"/>
      <c r="FR44" s="327"/>
      <c r="FS44" s="327"/>
      <c r="FT44" s="327"/>
      <c r="FU44" s="327"/>
      <c r="FV44" s="327"/>
      <c r="FW44" s="327"/>
      <c r="FX44" s="327"/>
      <c r="FY44" s="327"/>
      <c r="FZ44" s="327"/>
      <c r="GA44" s="327"/>
      <c r="GB44" s="327"/>
      <c r="GC44" s="327"/>
      <c r="GD44" s="327"/>
      <c r="GE44" s="327"/>
      <c r="GF44" s="327"/>
      <c r="GG44" s="327"/>
      <c r="GH44" s="327"/>
      <c r="GI44" s="327"/>
      <c r="GJ44" s="327"/>
      <c r="GK44" s="327"/>
      <c r="GL44" s="327"/>
      <c r="GM44" s="327"/>
      <c r="GN44" s="327"/>
      <c r="GO44" s="327"/>
      <c r="GP44" s="327"/>
      <c r="GQ44" s="327"/>
      <c r="GR44" s="327"/>
      <c r="GS44" s="327"/>
      <c r="GT44" s="327"/>
      <c r="GU44" s="327"/>
      <c r="GV44" s="327"/>
      <c r="GW44" s="327"/>
      <c r="GX44" s="326"/>
      <c r="GY44" s="328"/>
      <c r="GZ44" s="327"/>
      <c r="HA44" s="327"/>
      <c r="HB44" s="327"/>
      <c r="HC44" s="327"/>
      <c r="HD44" s="327"/>
      <c r="HE44" s="327"/>
      <c r="HF44" s="327"/>
      <c r="HG44" s="327"/>
      <c r="HH44" s="327"/>
      <c r="HI44" s="327"/>
      <c r="HJ44" s="327"/>
      <c r="HK44" s="327"/>
      <c r="HL44" s="327"/>
      <c r="HM44" s="327"/>
      <c r="HN44" s="327"/>
      <c r="HO44" s="327"/>
      <c r="HP44" s="327"/>
      <c r="HQ44" s="327"/>
      <c r="HR44" s="327"/>
      <c r="HS44" s="327"/>
      <c r="HT44" s="327"/>
      <c r="HU44" s="327"/>
      <c r="HV44" s="327"/>
      <c r="HW44" s="327"/>
      <c r="HX44" s="327"/>
      <c r="HY44" s="327"/>
      <c r="HZ44" s="327"/>
      <c r="IA44" s="327"/>
      <c r="IB44" s="327"/>
      <c r="IC44" s="327"/>
      <c r="ID44" s="327"/>
      <c r="IE44" s="327"/>
      <c r="IF44" s="327"/>
      <c r="IG44" s="327"/>
      <c r="IH44" s="327"/>
      <c r="II44" s="327"/>
      <c r="IJ44" s="327"/>
      <c r="IK44" s="327"/>
      <c r="IL44" s="327"/>
      <c r="IM44" s="327"/>
      <c r="IN44" s="327"/>
      <c r="IO44" s="327"/>
      <c r="IP44" s="327"/>
      <c r="IQ44" s="327"/>
      <c r="IR44" s="327"/>
      <c r="IS44" s="327"/>
      <c r="IT44" s="327"/>
      <c r="IU44" s="327"/>
      <c r="IV44" s="327"/>
      <c r="IW44" s="327"/>
      <c r="IX44" s="327"/>
      <c r="IY44" s="327"/>
      <c r="IZ44" s="327"/>
      <c r="JA44" s="327"/>
      <c r="JB44" s="327"/>
      <c r="JC44" s="327"/>
      <c r="JD44" s="327"/>
      <c r="JE44" s="327"/>
      <c r="JF44" s="326"/>
    </row>
    <row r="45" spans="1:266" x14ac:dyDescent="0.25">
      <c r="A45" s="332" t="s">
        <v>974</v>
      </c>
      <c r="B45" s="333" t="s">
        <v>976</v>
      </c>
      <c r="C45" s="330"/>
      <c r="D45" s="329"/>
      <c r="E45" s="327"/>
      <c r="F45" s="327"/>
      <c r="G45" s="327"/>
      <c r="H45" s="327"/>
      <c r="I45" s="327"/>
      <c r="J45" s="327"/>
      <c r="K45" s="327"/>
      <c r="L45" s="327"/>
      <c r="M45" s="327"/>
      <c r="N45" s="326"/>
      <c r="O45" s="330"/>
      <c r="P45" s="329"/>
      <c r="Q45" s="327"/>
      <c r="R45" s="327"/>
      <c r="S45" s="327"/>
      <c r="T45" s="327"/>
      <c r="U45" s="327"/>
      <c r="V45" s="327"/>
      <c r="W45" s="328"/>
      <c r="X45" s="327"/>
      <c r="Y45" s="327"/>
      <c r="Z45" s="326"/>
      <c r="AA45" s="328"/>
      <c r="AB45" s="327"/>
      <c r="AC45" s="327"/>
      <c r="AD45" s="327"/>
      <c r="AE45" s="327"/>
      <c r="AF45" s="327"/>
      <c r="AG45" s="327"/>
      <c r="AH45" s="327"/>
      <c r="AI45" s="327"/>
      <c r="AJ45" s="327"/>
      <c r="AK45" s="327"/>
      <c r="AL45" s="327"/>
      <c r="AM45" s="327"/>
      <c r="AN45" s="327"/>
      <c r="AO45" s="327"/>
      <c r="AP45" s="327"/>
      <c r="AQ45" s="327"/>
      <c r="AR45" s="327"/>
      <c r="AS45" s="327"/>
      <c r="AT45" s="327"/>
      <c r="AU45" s="327"/>
      <c r="AV45" s="327"/>
      <c r="AW45" s="327"/>
      <c r="AX45" s="327"/>
      <c r="AY45" s="327"/>
      <c r="AZ45" s="327"/>
      <c r="BA45" s="327"/>
      <c r="BB45" s="327"/>
      <c r="BC45" s="327"/>
      <c r="BD45" s="327"/>
      <c r="BE45" s="327"/>
      <c r="BF45" s="327"/>
      <c r="BG45" s="327"/>
      <c r="BH45" s="327"/>
      <c r="BI45" s="327"/>
      <c r="BJ45" s="327"/>
      <c r="BK45" s="327"/>
      <c r="BL45" s="327"/>
      <c r="BM45" s="327"/>
      <c r="BN45" s="327"/>
      <c r="BO45" s="327"/>
      <c r="BP45" s="327"/>
      <c r="BQ45" s="327"/>
      <c r="BR45" s="327"/>
      <c r="BS45" s="327"/>
      <c r="BT45" s="327"/>
      <c r="BU45" s="327"/>
      <c r="BV45" s="327"/>
      <c r="BW45" s="327"/>
      <c r="BX45" s="327"/>
      <c r="BY45" s="327"/>
      <c r="BZ45" s="327"/>
      <c r="CA45" s="327"/>
      <c r="CB45" s="327"/>
      <c r="CC45" s="327"/>
      <c r="CD45" s="327"/>
      <c r="CE45" s="327"/>
      <c r="CF45" s="327"/>
      <c r="CG45" s="327"/>
      <c r="CH45" s="326"/>
      <c r="CI45" s="328"/>
      <c r="CJ45" s="327"/>
      <c r="CK45" s="327"/>
      <c r="CL45" s="327"/>
      <c r="CM45" s="327"/>
      <c r="CN45" s="327"/>
      <c r="CO45" s="327"/>
      <c r="CP45" s="327"/>
      <c r="CQ45" s="327"/>
      <c r="CR45" s="327"/>
      <c r="CS45" s="327"/>
      <c r="CT45" s="327"/>
      <c r="CU45" s="327"/>
      <c r="CV45" s="327"/>
      <c r="CW45" s="327"/>
      <c r="CX45" s="327"/>
      <c r="CY45" s="327"/>
      <c r="CZ45" s="327"/>
      <c r="DA45" s="327"/>
      <c r="DB45" s="327"/>
      <c r="DC45" s="327"/>
      <c r="DD45" s="327"/>
      <c r="DE45" s="327"/>
      <c r="DF45" s="327"/>
      <c r="DG45" s="327"/>
      <c r="DH45" s="327"/>
      <c r="DI45" s="327"/>
      <c r="DJ45" s="327"/>
      <c r="DK45" s="327"/>
      <c r="DL45" s="327"/>
      <c r="DM45" s="327"/>
      <c r="DN45" s="327"/>
      <c r="DO45" s="327"/>
      <c r="DP45" s="327"/>
      <c r="DQ45" s="327"/>
      <c r="DR45" s="327"/>
      <c r="DS45" s="327"/>
      <c r="DT45" s="327"/>
      <c r="DU45" s="327"/>
      <c r="DV45" s="327"/>
      <c r="DW45" s="327"/>
      <c r="DX45" s="327"/>
      <c r="DY45" s="327"/>
      <c r="DZ45" s="327"/>
      <c r="EA45" s="327"/>
      <c r="EB45" s="327"/>
      <c r="EC45" s="327"/>
      <c r="ED45" s="327"/>
      <c r="EE45" s="327"/>
      <c r="EF45" s="327"/>
      <c r="EG45" s="327"/>
      <c r="EH45" s="327"/>
      <c r="EI45" s="327"/>
      <c r="EJ45" s="327"/>
      <c r="EK45" s="327"/>
      <c r="EL45" s="327"/>
      <c r="EM45" s="327"/>
      <c r="EN45" s="327"/>
      <c r="EO45" s="327"/>
      <c r="EP45" s="326"/>
      <c r="EQ45" s="328"/>
      <c r="ER45" s="327"/>
      <c r="ES45" s="327"/>
      <c r="ET45" s="327"/>
      <c r="EU45" s="327"/>
      <c r="EV45" s="327"/>
      <c r="EW45" s="327"/>
      <c r="EX45" s="327"/>
      <c r="EY45" s="327"/>
      <c r="EZ45" s="327"/>
      <c r="FA45" s="327"/>
      <c r="FB45" s="327"/>
      <c r="FC45" s="327"/>
      <c r="FD45" s="327"/>
      <c r="FE45" s="327"/>
      <c r="FF45" s="327"/>
      <c r="FG45" s="327"/>
      <c r="FH45" s="327"/>
      <c r="FI45" s="327"/>
      <c r="FJ45" s="327"/>
      <c r="FK45" s="327"/>
      <c r="FL45" s="327"/>
      <c r="FM45" s="327"/>
      <c r="FN45" s="327"/>
      <c r="FO45" s="327"/>
      <c r="FP45" s="327"/>
      <c r="FQ45" s="327"/>
      <c r="FR45" s="327"/>
      <c r="FS45" s="327"/>
      <c r="FT45" s="327"/>
      <c r="FU45" s="327"/>
      <c r="FV45" s="327"/>
      <c r="FW45" s="327"/>
      <c r="FX45" s="327"/>
      <c r="FY45" s="327"/>
      <c r="FZ45" s="327"/>
      <c r="GA45" s="327"/>
      <c r="GB45" s="327"/>
      <c r="GC45" s="327"/>
      <c r="GD45" s="327"/>
      <c r="GE45" s="327"/>
      <c r="GF45" s="327"/>
      <c r="GG45" s="327"/>
      <c r="GH45" s="327"/>
      <c r="GI45" s="327"/>
      <c r="GJ45" s="327"/>
      <c r="GK45" s="327"/>
      <c r="GL45" s="327"/>
      <c r="GM45" s="327"/>
      <c r="GN45" s="327"/>
      <c r="GO45" s="327"/>
      <c r="GP45" s="327"/>
      <c r="GQ45" s="327"/>
      <c r="GR45" s="327"/>
      <c r="GS45" s="327"/>
      <c r="GT45" s="327"/>
      <c r="GU45" s="327"/>
      <c r="GV45" s="327"/>
      <c r="GW45" s="327"/>
      <c r="GX45" s="326"/>
      <c r="GY45" s="328"/>
      <c r="GZ45" s="327"/>
      <c r="HA45" s="327"/>
      <c r="HB45" s="327"/>
      <c r="HC45" s="327"/>
      <c r="HD45" s="327"/>
      <c r="HE45" s="327"/>
      <c r="HF45" s="327"/>
      <c r="HG45" s="327"/>
      <c r="HH45" s="327"/>
      <c r="HI45" s="327"/>
      <c r="HJ45" s="327"/>
      <c r="HK45" s="327"/>
      <c r="HL45" s="327"/>
      <c r="HM45" s="327"/>
      <c r="HN45" s="327"/>
      <c r="HO45" s="327"/>
      <c r="HP45" s="327"/>
      <c r="HQ45" s="327"/>
      <c r="HR45" s="327"/>
      <c r="HS45" s="327"/>
      <c r="HT45" s="327"/>
      <c r="HU45" s="327"/>
      <c r="HV45" s="327"/>
      <c r="HW45" s="327"/>
      <c r="HX45" s="327"/>
      <c r="HY45" s="327"/>
      <c r="HZ45" s="327"/>
      <c r="IA45" s="327"/>
      <c r="IB45" s="327"/>
      <c r="IC45" s="327"/>
      <c r="ID45" s="327"/>
      <c r="IE45" s="327"/>
      <c r="IF45" s="327"/>
      <c r="IG45" s="327"/>
      <c r="IH45" s="327"/>
      <c r="II45" s="327"/>
      <c r="IJ45" s="327"/>
      <c r="IK45" s="327"/>
      <c r="IL45" s="327"/>
      <c r="IM45" s="327"/>
      <c r="IN45" s="327"/>
      <c r="IO45" s="327"/>
      <c r="IP45" s="327"/>
      <c r="IQ45" s="327"/>
      <c r="IR45" s="327"/>
      <c r="IS45" s="327"/>
      <c r="IT45" s="327"/>
      <c r="IU45" s="327"/>
      <c r="IV45" s="327"/>
      <c r="IW45" s="327"/>
      <c r="IX45" s="327"/>
      <c r="IY45" s="327"/>
      <c r="IZ45" s="327"/>
      <c r="JA45" s="327"/>
      <c r="JB45" s="327"/>
      <c r="JC45" s="327"/>
      <c r="JD45" s="327"/>
      <c r="JE45" s="327"/>
      <c r="JF45" s="326"/>
    </row>
    <row r="46" spans="1:266" x14ac:dyDescent="0.25">
      <c r="A46" s="332" t="s">
        <v>974</v>
      </c>
      <c r="B46" s="331" t="s">
        <v>975</v>
      </c>
      <c r="C46" s="330"/>
      <c r="D46" s="329"/>
      <c r="E46" s="327"/>
      <c r="F46" s="327"/>
      <c r="G46" s="327"/>
      <c r="H46" s="327"/>
      <c r="I46" s="327"/>
      <c r="J46" s="327"/>
      <c r="K46" s="327"/>
      <c r="L46" s="327"/>
      <c r="M46" s="327"/>
      <c r="N46" s="326"/>
      <c r="O46" s="330"/>
      <c r="P46" s="329"/>
      <c r="Q46" s="327"/>
      <c r="R46" s="327"/>
      <c r="S46" s="327"/>
      <c r="T46" s="327"/>
      <c r="U46" s="327"/>
      <c r="V46" s="327"/>
      <c r="W46" s="328"/>
      <c r="X46" s="327"/>
      <c r="Y46" s="327"/>
      <c r="Z46" s="326"/>
      <c r="AA46" s="328"/>
      <c r="AB46" s="327"/>
      <c r="AC46" s="327"/>
      <c r="AD46" s="327"/>
      <c r="AE46" s="327"/>
      <c r="AF46" s="327"/>
      <c r="AG46" s="327"/>
      <c r="AH46" s="327"/>
      <c r="AI46" s="327"/>
      <c r="AJ46" s="327"/>
      <c r="AK46" s="327"/>
      <c r="AL46" s="327"/>
      <c r="AM46" s="327"/>
      <c r="AN46" s="327"/>
      <c r="AO46" s="327"/>
      <c r="AP46" s="327"/>
      <c r="AQ46" s="327"/>
      <c r="AR46" s="327"/>
      <c r="AS46" s="327"/>
      <c r="AT46" s="327"/>
      <c r="AU46" s="327"/>
      <c r="AV46" s="327"/>
      <c r="AW46" s="327"/>
      <c r="AX46" s="327"/>
      <c r="AY46" s="327"/>
      <c r="AZ46" s="327"/>
      <c r="BA46" s="327"/>
      <c r="BB46" s="327"/>
      <c r="BC46" s="327"/>
      <c r="BD46" s="327"/>
      <c r="BE46" s="327"/>
      <c r="BF46" s="327"/>
      <c r="BG46" s="327"/>
      <c r="BH46" s="327"/>
      <c r="BI46" s="327"/>
      <c r="BJ46" s="327"/>
      <c r="BK46" s="327"/>
      <c r="BL46" s="327"/>
      <c r="BM46" s="327"/>
      <c r="BN46" s="327"/>
      <c r="BO46" s="327"/>
      <c r="BP46" s="327"/>
      <c r="BQ46" s="327"/>
      <c r="BR46" s="327"/>
      <c r="BS46" s="327"/>
      <c r="BT46" s="327"/>
      <c r="BU46" s="327"/>
      <c r="BV46" s="327"/>
      <c r="BW46" s="327"/>
      <c r="BX46" s="327"/>
      <c r="BY46" s="327"/>
      <c r="BZ46" s="327"/>
      <c r="CA46" s="327"/>
      <c r="CB46" s="327"/>
      <c r="CC46" s="327"/>
      <c r="CD46" s="327"/>
      <c r="CE46" s="327"/>
      <c r="CF46" s="327"/>
      <c r="CG46" s="327"/>
      <c r="CH46" s="326"/>
      <c r="CI46" s="328"/>
      <c r="CJ46" s="327"/>
      <c r="CK46" s="327"/>
      <c r="CL46" s="327"/>
      <c r="CM46" s="327"/>
      <c r="CN46" s="327"/>
      <c r="CO46" s="327"/>
      <c r="CP46" s="327"/>
      <c r="CQ46" s="327"/>
      <c r="CR46" s="327"/>
      <c r="CS46" s="327"/>
      <c r="CT46" s="327"/>
      <c r="CU46" s="327"/>
      <c r="CV46" s="327"/>
      <c r="CW46" s="327"/>
      <c r="CX46" s="327"/>
      <c r="CY46" s="327"/>
      <c r="CZ46" s="327"/>
      <c r="DA46" s="327"/>
      <c r="DB46" s="327"/>
      <c r="DC46" s="327"/>
      <c r="DD46" s="327"/>
      <c r="DE46" s="327"/>
      <c r="DF46" s="327"/>
      <c r="DG46" s="327"/>
      <c r="DH46" s="327"/>
      <c r="DI46" s="327"/>
      <c r="DJ46" s="327"/>
      <c r="DK46" s="327"/>
      <c r="DL46" s="327"/>
      <c r="DM46" s="327"/>
      <c r="DN46" s="327"/>
      <c r="DO46" s="327"/>
      <c r="DP46" s="327"/>
      <c r="DQ46" s="327"/>
      <c r="DR46" s="327"/>
      <c r="DS46" s="327"/>
      <c r="DT46" s="327"/>
      <c r="DU46" s="327"/>
      <c r="DV46" s="327"/>
      <c r="DW46" s="327"/>
      <c r="DX46" s="327"/>
      <c r="DY46" s="327"/>
      <c r="DZ46" s="327"/>
      <c r="EA46" s="327"/>
      <c r="EB46" s="327"/>
      <c r="EC46" s="327"/>
      <c r="ED46" s="327"/>
      <c r="EE46" s="327"/>
      <c r="EF46" s="327"/>
      <c r="EG46" s="327"/>
      <c r="EH46" s="327"/>
      <c r="EI46" s="327"/>
      <c r="EJ46" s="327"/>
      <c r="EK46" s="327"/>
      <c r="EL46" s="327"/>
      <c r="EM46" s="327"/>
      <c r="EN46" s="327"/>
      <c r="EO46" s="327"/>
      <c r="EP46" s="326"/>
      <c r="EQ46" s="328"/>
      <c r="ER46" s="327"/>
      <c r="ES46" s="327"/>
      <c r="ET46" s="327"/>
      <c r="EU46" s="327"/>
      <c r="EV46" s="327"/>
      <c r="EW46" s="327"/>
      <c r="EX46" s="327"/>
      <c r="EY46" s="327"/>
      <c r="EZ46" s="327"/>
      <c r="FA46" s="327"/>
      <c r="FB46" s="327"/>
      <c r="FC46" s="327"/>
      <c r="FD46" s="327"/>
      <c r="FE46" s="327"/>
      <c r="FF46" s="327"/>
      <c r="FG46" s="327"/>
      <c r="FH46" s="327"/>
      <c r="FI46" s="327"/>
      <c r="FJ46" s="327"/>
      <c r="FK46" s="327"/>
      <c r="FL46" s="327"/>
      <c r="FM46" s="327"/>
      <c r="FN46" s="327"/>
      <c r="FO46" s="327"/>
      <c r="FP46" s="327"/>
      <c r="FQ46" s="327"/>
      <c r="FR46" s="327"/>
      <c r="FS46" s="327"/>
      <c r="FT46" s="327"/>
      <c r="FU46" s="327"/>
      <c r="FV46" s="327"/>
      <c r="FW46" s="327"/>
      <c r="FX46" s="327"/>
      <c r="FY46" s="327"/>
      <c r="FZ46" s="327"/>
      <c r="GA46" s="327"/>
      <c r="GB46" s="327"/>
      <c r="GC46" s="327"/>
      <c r="GD46" s="327"/>
      <c r="GE46" s="327"/>
      <c r="GF46" s="327"/>
      <c r="GG46" s="327"/>
      <c r="GH46" s="327"/>
      <c r="GI46" s="327"/>
      <c r="GJ46" s="327"/>
      <c r="GK46" s="327"/>
      <c r="GL46" s="327"/>
      <c r="GM46" s="327"/>
      <c r="GN46" s="327"/>
      <c r="GO46" s="327"/>
      <c r="GP46" s="327"/>
      <c r="GQ46" s="327"/>
      <c r="GR46" s="327"/>
      <c r="GS46" s="327"/>
      <c r="GT46" s="327"/>
      <c r="GU46" s="327"/>
      <c r="GV46" s="327"/>
      <c r="GW46" s="327"/>
      <c r="GX46" s="326"/>
      <c r="GY46" s="328"/>
      <c r="GZ46" s="327"/>
      <c r="HA46" s="327"/>
      <c r="HB46" s="327"/>
      <c r="HC46" s="327"/>
      <c r="HD46" s="327"/>
      <c r="HE46" s="327"/>
      <c r="HF46" s="327"/>
      <c r="HG46" s="327"/>
      <c r="HH46" s="327"/>
      <c r="HI46" s="327"/>
      <c r="HJ46" s="327"/>
      <c r="HK46" s="327"/>
      <c r="HL46" s="327"/>
      <c r="HM46" s="327"/>
      <c r="HN46" s="327"/>
      <c r="HO46" s="327"/>
      <c r="HP46" s="327"/>
      <c r="HQ46" s="327"/>
      <c r="HR46" s="327"/>
      <c r="HS46" s="327"/>
      <c r="HT46" s="327"/>
      <c r="HU46" s="327"/>
      <c r="HV46" s="327"/>
      <c r="HW46" s="327"/>
      <c r="HX46" s="327"/>
      <c r="HY46" s="327"/>
      <c r="HZ46" s="327"/>
      <c r="IA46" s="327"/>
      <c r="IB46" s="327"/>
      <c r="IC46" s="327"/>
      <c r="ID46" s="327"/>
      <c r="IE46" s="327"/>
      <c r="IF46" s="327"/>
      <c r="IG46" s="327"/>
      <c r="IH46" s="327"/>
      <c r="II46" s="327"/>
      <c r="IJ46" s="327"/>
      <c r="IK46" s="327"/>
      <c r="IL46" s="327"/>
      <c r="IM46" s="327"/>
      <c r="IN46" s="327"/>
      <c r="IO46" s="327"/>
      <c r="IP46" s="327"/>
      <c r="IQ46" s="327"/>
      <c r="IR46" s="327"/>
      <c r="IS46" s="327"/>
      <c r="IT46" s="327"/>
      <c r="IU46" s="327"/>
      <c r="IV46" s="327"/>
      <c r="IW46" s="327"/>
      <c r="IX46" s="327"/>
      <c r="IY46" s="327"/>
      <c r="IZ46" s="327"/>
      <c r="JA46" s="327"/>
      <c r="JB46" s="327"/>
      <c r="JC46" s="327"/>
      <c r="JD46" s="327"/>
      <c r="JE46" s="327"/>
      <c r="JF46" s="326"/>
    </row>
    <row r="47" spans="1:266" ht="15.75" thickBot="1" x14ac:dyDescent="0.3">
      <c r="A47" s="325" t="s">
        <v>974</v>
      </c>
      <c r="B47" s="324" t="s">
        <v>973</v>
      </c>
      <c r="C47" s="323"/>
      <c r="D47" s="322"/>
      <c r="E47" s="320"/>
      <c r="F47" s="320"/>
      <c r="G47" s="320"/>
      <c r="H47" s="320"/>
      <c r="I47" s="320"/>
      <c r="J47" s="320"/>
      <c r="K47" s="320"/>
      <c r="L47" s="320"/>
      <c r="M47" s="320"/>
      <c r="N47" s="319"/>
      <c r="O47" s="323"/>
      <c r="P47" s="322"/>
      <c r="Q47" s="320"/>
      <c r="R47" s="320"/>
      <c r="S47" s="320"/>
      <c r="T47" s="320"/>
      <c r="U47" s="320"/>
      <c r="V47" s="320"/>
      <c r="W47" s="321"/>
      <c r="X47" s="320"/>
      <c r="Y47" s="320"/>
      <c r="Z47" s="319"/>
      <c r="AA47" s="321"/>
      <c r="AB47" s="320"/>
      <c r="AC47" s="320"/>
      <c r="AD47" s="320"/>
      <c r="AE47" s="320"/>
      <c r="AF47" s="320"/>
      <c r="AG47" s="320"/>
      <c r="AH47" s="320"/>
      <c r="AI47" s="320"/>
      <c r="AJ47" s="320"/>
      <c r="AK47" s="320"/>
      <c r="AL47" s="320"/>
      <c r="AM47" s="320"/>
      <c r="AN47" s="320"/>
      <c r="AO47" s="320"/>
      <c r="AP47" s="320"/>
      <c r="AQ47" s="320"/>
      <c r="AR47" s="320"/>
      <c r="AS47" s="320"/>
      <c r="AT47" s="320"/>
      <c r="AU47" s="320"/>
      <c r="AV47" s="320"/>
      <c r="AW47" s="320"/>
      <c r="AX47" s="320"/>
      <c r="AY47" s="320"/>
      <c r="AZ47" s="320"/>
      <c r="BA47" s="320"/>
      <c r="BB47" s="320"/>
      <c r="BC47" s="320"/>
      <c r="BD47" s="320"/>
      <c r="BE47" s="320"/>
      <c r="BF47" s="320"/>
      <c r="BG47" s="320"/>
      <c r="BH47" s="320"/>
      <c r="BI47" s="320"/>
      <c r="BJ47" s="320"/>
      <c r="BK47" s="320"/>
      <c r="BL47" s="320"/>
      <c r="BM47" s="320"/>
      <c r="BN47" s="320"/>
      <c r="BO47" s="320"/>
      <c r="BP47" s="320"/>
      <c r="BQ47" s="320"/>
      <c r="BR47" s="320"/>
      <c r="BS47" s="320"/>
      <c r="BT47" s="320"/>
      <c r="BU47" s="320"/>
      <c r="BV47" s="320"/>
      <c r="BW47" s="320"/>
      <c r="BX47" s="320"/>
      <c r="BY47" s="320"/>
      <c r="BZ47" s="320"/>
      <c r="CA47" s="320"/>
      <c r="CB47" s="320"/>
      <c r="CC47" s="320"/>
      <c r="CD47" s="320"/>
      <c r="CE47" s="320"/>
      <c r="CF47" s="320"/>
      <c r="CG47" s="320"/>
      <c r="CH47" s="319"/>
      <c r="CI47" s="321"/>
      <c r="CJ47" s="320"/>
      <c r="CK47" s="320"/>
      <c r="CL47" s="320"/>
      <c r="CM47" s="320"/>
      <c r="CN47" s="320"/>
      <c r="CO47" s="320"/>
      <c r="CP47" s="320"/>
      <c r="CQ47" s="320"/>
      <c r="CR47" s="320"/>
      <c r="CS47" s="320"/>
      <c r="CT47" s="320"/>
      <c r="CU47" s="320"/>
      <c r="CV47" s="320"/>
      <c r="CW47" s="320"/>
      <c r="CX47" s="320"/>
      <c r="CY47" s="320"/>
      <c r="CZ47" s="320"/>
      <c r="DA47" s="320"/>
      <c r="DB47" s="320"/>
      <c r="DC47" s="320"/>
      <c r="DD47" s="320"/>
      <c r="DE47" s="320"/>
      <c r="DF47" s="320"/>
      <c r="DG47" s="320"/>
      <c r="DH47" s="320"/>
      <c r="DI47" s="320"/>
      <c r="DJ47" s="320"/>
      <c r="DK47" s="320"/>
      <c r="DL47" s="320"/>
      <c r="DM47" s="320"/>
      <c r="DN47" s="320"/>
      <c r="DO47" s="320"/>
      <c r="DP47" s="320"/>
      <c r="DQ47" s="320"/>
      <c r="DR47" s="320"/>
      <c r="DS47" s="320"/>
      <c r="DT47" s="320"/>
      <c r="DU47" s="320"/>
      <c r="DV47" s="320"/>
      <c r="DW47" s="320"/>
      <c r="DX47" s="320"/>
      <c r="DY47" s="320"/>
      <c r="DZ47" s="320"/>
      <c r="EA47" s="320"/>
      <c r="EB47" s="320"/>
      <c r="EC47" s="320"/>
      <c r="ED47" s="320"/>
      <c r="EE47" s="320"/>
      <c r="EF47" s="320"/>
      <c r="EG47" s="320"/>
      <c r="EH47" s="320"/>
      <c r="EI47" s="320"/>
      <c r="EJ47" s="320"/>
      <c r="EK47" s="320"/>
      <c r="EL47" s="320"/>
      <c r="EM47" s="320"/>
      <c r="EN47" s="320"/>
      <c r="EO47" s="320"/>
      <c r="EP47" s="319"/>
      <c r="EQ47" s="321"/>
      <c r="ER47" s="320"/>
      <c r="ES47" s="320"/>
      <c r="ET47" s="320"/>
      <c r="EU47" s="320"/>
      <c r="EV47" s="320"/>
      <c r="EW47" s="320"/>
      <c r="EX47" s="320"/>
      <c r="EY47" s="320"/>
      <c r="EZ47" s="320"/>
      <c r="FA47" s="320"/>
      <c r="FB47" s="320"/>
      <c r="FC47" s="320"/>
      <c r="FD47" s="320"/>
      <c r="FE47" s="320"/>
      <c r="FF47" s="320"/>
      <c r="FG47" s="320"/>
      <c r="FH47" s="320"/>
      <c r="FI47" s="320"/>
      <c r="FJ47" s="320"/>
      <c r="FK47" s="320"/>
      <c r="FL47" s="320"/>
      <c r="FM47" s="320"/>
      <c r="FN47" s="320"/>
      <c r="FO47" s="320"/>
      <c r="FP47" s="320"/>
      <c r="FQ47" s="320"/>
      <c r="FR47" s="320"/>
      <c r="FS47" s="320"/>
      <c r="FT47" s="320"/>
      <c r="FU47" s="320"/>
      <c r="FV47" s="320"/>
      <c r="FW47" s="320"/>
      <c r="FX47" s="320"/>
      <c r="FY47" s="320"/>
      <c r="FZ47" s="320"/>
      <c r="GA47" s="320"/>
      <c r="GB47" s="320"/>
      <c r="GC47" s="320"/>
      <c r="GD47" s="320"/>
      <c r="GE47" s="320"/>
      <c r="GF47" s="320"/>
      <c r="GG47" s="320"/>
      <c r="GH47" s="320"/>
      <c r="GI47" s="320"/>
      <c r="GJ47" s="320"/>
      <c r="GK47" s="320"/>
      <c r="GL47" s="320"/>
      <c r="GM47" s="320"/>
      <c r="GN47" s="320"/>
      <c r="GO47" s="320"/>
      <c r="GP47" s="320"/>
      <c r="GQ47" s="320"/>
      <c r="GR47" s="320"/>
      <c r="GS47" s="320"/>
      <c r="GT47" s="320"/>
      <c r="GU47" s="320"/>
      <c r="GV47" s="320"/>
      <c r="GW47" s="320"/>
      <c r="GX47" s="319"/>
      <c r="GY47" s="321"/>
      <c r="GZ47" s="320"/>
      <c r="HA47" s="320"/>
      <c r="HB47" s="320"/>
      <c r="HC47" s="320"/>
      <c r="HD47" s="320"/>
      <c r="HE47" s="320"/>
      <c r="HF47" s="320"/>
      <c r="HG47" s="320"/>
      <c r="HH47" s="320"/>
      <c r="HI47" s="320"/>
      <c r="HJ47" s="320"/>
      <c r="HK47" s="320"/>
      <c r="HL47" s="320"/>
      <c r="HM47" s="320"/>
      <c r="HN47" s="320"/>
      <c r="HO47" s="320"/>
      <c r="HP47" s="320"/>
      <c r="HQ47" s="320"/>
      <c r="HR47" s="320"/>
      <c r="HS47" s="320"/>
      <c r="HT47" s="320"/>
      <c r="HU47" s="320"/>
      <c r="HV47" s="320"/>
      <c r="HW47" s="320"/>
      <c r="HX47" s="320"/>
      <c r="HY47" s="320"/>
      <c r="HZ47" s="320"/>
      <c r="IA47" s="320"/>
      <c r="IB47" s="320"/>
      <c r="IC47" s="320"/>
      <c r="ID47" s="320"/>
      <c r="IE47" s="320"/>
      <c r="IF47" s="320"/>
      <c r="IG47" s="320"/>
      <c r="IH47" s="320"/>
      <c r="II47" s="320"/>
      <c r="IJ47" s="320"/>
      <c r="IK47" s="320"/>
      <c r="IL47" s="320"/>
      <c r="IM47" s="320"/>
      <c r="IN47" s="320"/>
      <c r="IO47" s="320"/>
      <c r="IP47" s="320"/>
      <c r="IQ47" s="320"/>
      <c r="IR47" s="320"/>
      <c r="IS47" s="320"/>
      <c r="IT47" s="320"/>
      <c r="IU47" s="320"/>
      <c r="IV47" s="320"/>
      <c r="IW47" s="320"/>
      <c r="IX47" s="320"/>
      <c r="IY47" s="320"/>
      <c r="IZ47" s="320"/>
      <c r="JA47" s="320"/>
      <c r="JB47" s="320"/>
      <c r="JC47" s="320"/>
      <c r="JD47" s="320"/>
      <c r="JE47" s="320"/>
      <c r="JF47" s="319"/>
    </row>
    <row r="48" spans="1:266" ht="15.75" thickTop="1" x14ac:dyDescent="0.25"/>
  </sheetData>
  <mergeCells count="112">
    <mergeCell ref="F2:I3"/>
    <mergeCell ref="AA3:AC3"/>
    <mergeCell ref="AD3:AF3"/>
    <mergeCell ref="AG3:AI3"/>
    <mergeCell ref="AJ3:AL3"/>
    <mergeCell ref="J2:J3"/>
    <mergeCell ref="K2:N3"/>
    <mergeCell ref="CC3:CE3"/>
    <mergeCell ref="AV3:AX3"/>
    <mergeCell ref="AY3:BA3"/>
    <mergeCell ref="AA2:AL2"/>
    <mergeCell ref="AM2:AX2"/>
    <mergeCell ref="AY2:BJ2"/>
    <mergeCell ref="AM3:AO3"/>
    <mergeCell ref="AP3:AR3"/>
    <mergeCell ref="AS3:AU3"/>
    <mergeCell ref="BB3:BD3"/>
    <mergeCell ref="BN3:BP3"/>
    <mergeCell ref="BQ3:BS3"/>
    <mergeCell ref="BT3:BV3"/>
    <mergeCell ref="BW3:BY3"/>
    <mergeCell ref="BZ3:CB3"/>
    <mergeCell ref="BE3:BG3"/>
    <mergeCell ref="BH3:BJ3"/>
    <mergeCell ref="BK3:BM3"/>
    <mergeCell ref="CL3:CN3"/>
    <mergeCell ref="CO3:CQ3"/>
    <mergeCell ref="CF3:CH3"/>
    <mergeCell ref="FI3:FK3"/>
    <mergeCell ref="FL3:FN3"/>
    <mergeCell ref="FO2:FZ2"/>
    <mergeCell ref="BK2:BV2"/>
    <mergeCell ref="BW2:CH2"/>
    <mergeCell ref="EE2:EP2"/>
    <mergeCell ref="CI3:CK3"/>
    <mergeCell ref="CI2:CT2"/>
    <mergeCell ref="EK3:EM3"/>
    <mergeCell ref="EN3:EP3"/>
    <mergeCell ref="DS3:DU3"/>
    <mergeCell ref="DV3:DX3"/>
    <mergeCell ref="DY3:EA3"/>
    <mergeCell ref="EB3:ED3"/>
    <mergeCell ref="EE3:EG3"/>
    <mergeCell ref="EH3:EJ3"/>
    <mergeCell ref="CU2:DF2"/>
    <mergeCell ref="DG2:DR2"/>
    <mergeCell ref="IO3:IQ3"/>
    <mergeCell ref="EQ2:FB2"/>
    <mergeCell ref="FC2:FN2"/>
    <mergeCell ref="CR3:CT3"/>
    <mergeCell ref="CU3:CW3"/>
    <mergeCell ref="CX3:CZ3"/>
    <mergeCell ref="DA3:DC3"/>
    <mergeCell ref="DD3:DF3"/>
    <mergeCell ref="FF3:FH3"/>
    <mergeCell ref="GA2:GL2"/>
    <mergeCell ref="GM2:GX2"/>
    <mergeCell ref="DS2:ED2"/>
    <mergeCell ref="DG3:DI3"/>
    <mergeCell ref="DJ3:DL3"/>
    <mergeCell ref="DM3:DO3"/>
    <mergeCell ref="DP3:DR3"/>
    <mergeCell ref="HW2:IH2"/>
    <mergeCell ref="II2:IT2"/>
    <mergeCell ref="C1:N1"/>
    <mergeCell ref="C2:E3"/>
    <mergeCell ref="O1:Z1"/>
    <mergeCell ref="O2:Q3"/>
    <mergeCell ref="R2:U3"/>
    <mergeCell ref="V2:V3"/>
    <mergeCell ref="W2:Z3"/>
    <mergeCell ref="GY2:HJ2"/>
    <mergeCell ref="HK2:HV2"/>
    <mergeCell ref="FO3:FQ3"/>
    <mergeCell ref="FR3:FT3"/>
    <mergeCell ref="EQ3:ES3"/>
    <mergeCell ref="ET3:EV3"/>
    <mergeCell ref="EW3:EY3"/>
    <mergeCell ref="EZ3:FB3"/>
    <mergeCell ref="FC3:FE3"/>
    <mergeCell ref="GY3:HA3"/>
    <mergeCell ref="GJ3:GL3"/>
    <mergeCell ref="GM3:GO3"/>
    <mergeCell ref="GP3:GR3"/>
    <mergeCell ref="GS3:GU3"/>
    <mergeCell ref="GV3:GX3"/>
    <mergeCell ref="HB3:HD3"/>
    <mergeCell ref="HE3:HG3"/>
    <mergeCell ref="AA1:EP1"/>
    <mergeCell ref="EQ1:JF1"/>
    <mergeCell ref="FU3:FW3"/>
    <mergeCell ref="FX3:FZ3"/>
    <mergeCell ref="GA3:GC3"/>
    <mergeCell ref="GD3:GF3"/>
    <mergeCell ref="GG3:GI3"/>
    <mergeCell ref="HN3:HP3"/>
    <mergeCell ref="HQ3:HS3"/>
    <mergeCell ref="HT3:HV3"/>
    <mergeCell ref="HW3:HY3"/>
    <mergeCell ref="HZ3:IB3"/>
    <mergeCell ref="IR3:IT3"/>
    <mergeCell ref="IU3:IW3"/>
    <mergeCell ref="IX3:IZ3"/>
    <mergeCell ref="JA3:JC3"/>
    <mergeCell ref="IU2:JF2"/>
    <mergeCell ref="HH3:HJ3"/>
    <mergeCell ref="HK3:HM3"/>
    <mergeCell ref="JD3:JF3"/>
    <mergeCell ref="IC3:IE3"/>
    <mergeCell ref="IF3:IH3"/>
    <mergeCell ref="II3:IK3"/>
    <mergeCell ref="IL3:I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998D-0461-4DBF-854F-BFD94D3490EF}">
  <sheetPr>
    <tabColor theme="9" tint="-0.499984740745262"/>
  </sheetPr>
  <dimension ref="A1:CH226"/>
  <sheetViews>
    <sheetView showGridLines="0" zoomScale="85" zoomScaleNormal="85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BP214" sqref="BP214"/>
    </sheetView>
  </sheetViews>
  <sheetFormatPr defaultRowHeight="13.5" customHeight="1" x14ac:dyDescent="0.25"/>
  <cols>
    <col min="1" max="1" width="5.140625" style="10" bestFit="1" customWidth="1"/>
    <col min="2" max="2" width="19.42578125" style="74" customWidth="1"/>
    <col min="3" max="62" width="6.7109375" style="23" customWidth="1"/>
    <col min="63" max="63" width="10.140625" style="55" customWidth="1"/>
    <col min="64" max="64" width="10.85546875" style="23" customWidth="1"/>
    <col min="65" max="67" width="10.140625" style="23" customWidth="1"/>
    <col min="68" max="70" width="6.85546875" style="10" customWidth="1"/>
    <col min="71" max="73" width="6.7109375" style="10" customWidth="1"/>
    <col min="74" max="76" width="12.5703125" style="10" customWidth="1"/>
    <col min="77" max="79" width="6.7109375" style="10" customWidth="1"/>
    <col min="80" max="81" width="11.7109375" style="10" customWidth="1"/>
    <col min="82" max="82" width="12.7109375" style="10" customWidth="1"/>
    <col min="83" max="83" width="4.42578125" style="10" customWidth="1"/>
    <col min="84" max="84" width="15.85546875" style="10" customWidth="1"/>
    <col min="85" max="16384" width="9.140625" style="10"/>
  </cols>
  <sheetData>
    <row r="1" spans="1:86" s="60" customFormat="1" ht="18" customHeight="1" x14ac:dyDescent="0.25">
      <c r="A1" s="528" t="s">
        <v>109</v>
      </c>
      <c r="B1" s="529"/>
      <c r="C1" s="584" t="s">
        <v>1</v>
      </c>
      <c r="D1" s="584"/>
      <c r="E1" s="605"/>
      <c r="F1" s="584" t="s">
        <v>2</v>
      </c>
      <c r="G1" s="584"/>
      <c r="H1" s="605"/>
      <c r="I1" s="584" t="s">
        <v>3</v>
      </c>
      <c r="J1" s="584"/>
      <c r="K1" s="605"/>
      <c r="L1" s="584" t="s">
        <v>4</v>
      </c>
      <c r="M1" s="584"/>
      <c r="N1" s="585"/>
      <c r="O1" s="586" t="s">
        <v>1</v>
      </c>
      <c r="P1" s="586"/>
      <c r="Q1" s="602"/>
      <c r="R1" s="586" t="s">
        <v>2</v>
      </c>
      <c r="S1" s="586"/>
      <c r="T1" s="602"/>
      <c r="U1" s="586" t="s">
        <v>3</v>
      </c>
      <c r="V1" s="586"/>
      <c r="W1" s="602"/>
      <c r="X1" s="586" t="s">
        <v>4</v>
      </c>
      <c r="Y1" s="586"/>
      <c r="Z1" s="587"/>
      <c r="AA1" s="579" t="s">
        <v>1</v>
      </c>
      <c r="AB1" s="579"/>
      <c r="AC1" s="603"/>
      <c r="AD1" s="579" t="s">
        <v>2</v>
      </c>
      <c r="AE1" s="579"/>
      <c r="AF1" s="603"/>
      <c r="AG1" s="579" t="s">
        <v>3</v>
      </c>
      <c r="AH1" s="579"/>
      <c r="AI1" s="603"/>
      <c r="AJ1" s="579" t="s">
        <v>4</v>
      </c>
      <c r="AK1" s="579"/>
      <c r="AL1" s="580"/>
      <c r="AM1" s="600" t="s">
        <v>1</v>
      </c>
      <c r="AN1" s="600"/>
      <c r="AO1" s="604"/>
      <c r="AP1" s="600" t="s">
        <v>2</v>
      </c>
      <c r="AQ1" s="600"/>
      <c r="AR1" s="604"/>
      <c r="AS1" s="600" t="s">
        <v>3</v>
      </c>
      <c r="AT1" s="600"/>
      <c r="AU1" s="604"/>
      <c r="AV1" s="600" t="s">
        <v>4</v>
      </c>
      <c r="AW1" s="600"/>
      <c r="AX1" s="601"/>
      <c r="AY1" s="581" t="s">
        <v>44</v>
      </c>
      <c r="AZ1" s="581"/>
      <c r="BA1" s="597"/>
      <c r="BB1" s="581" t="s">
        <v>45</v>
      </c>
      <c r="BC1" s="581"/>
      <c r="BD1" s="597"/>
      <c r="BE1" s="581" t="s">
        <v>46</v>
      </c>
      <c r="BF1" s="581"/>
      <c r="BG1" s="597"/>
      <c r="BH1" s="581" t="s">
        <v>47</v>
      </c>
      <c r="BI1" s="581"/>
      <c r="BJ1" s="582"/>
      <c r="BK1" s="606" t="s">
        <v>43</v>
      </c>
      <c r="BL1" s="606"/>
      <c r="BM1" s="606"/>
      <c r="BN1" s="606"/>
      <c r="BO1" s="607"/>
      <c r="BP1" s="554" t="s">
        <v>327</v>
      </c>
      <c r="BQ1" s="554"/>
      <c r="BR1" s="555"/>
      <c r="BS1" s="520" t="s">
        <v>275</v>
      </c>
      <c r="BT1" s="520"/>
      <c r="BU1" s="520"/>
      <c r="BV1" s="520"/>
      <c r="BW1" s="520"/>
      <c r="BX1" s="521"/>
      <c r="BY1" s="520" t="s">
        <v>276</v>
      </c>
      <c r="BZ1" s="520"/>
      <c r="CA1" s="520"/>
      <c r="CB1" s="520"/>
      <c r="CC1" s="520"/>
      <c r="CD1" s="521"/>
      <c r="CF1" s="42" t="s">
        <v>278</v>
      </c>
      <c r="CG1" s="43">
        <v>44</v>
      </c>
    </row>
    <row r="2" spans="1:86" s="23" customFormat="1" ht="13.5" customHeight="1" x14ac:dyDescent="0.25">
      <c r="A2" s="38" t="s">
        <v>48</v>
      </c>
      <c r="B2" s="49" t="s">
        <v>0</v>
      </c>
      <c r="C2" s="37" t="s">
        <v>270</v>
      </c>
      <c r="D2" s="37" t="s">
        <v>271</v>
      </c>
      <c r="E2" s="51" t="s">
        <v>272</v>
      </c>
      <c r="F2" s="37" t="s">
        <v>336</v>
      </c>
      <c r="G2" s="37" t="s">
        <v>337</v>
      </c>
      <c r="H2" s="51" t="s">
        <v>338</v>
      </c>
      <c r="I2" s="37" t="s">
        <v>363</v>
      </c>
      <c r="J2" s="37" t="s">
        <v>364</v>
      </c>
      <c r="K2" s="51" t="s">
        <v>365</v>
      </c>
      <c r="L2" s="37" t="s">
        <v>366</v>
      </c>
      <c r="M2" s="37" t="s">
        <v>367</v>
      </c>
      <c r="N2" s="45" t="s">
        <v>368</v>
      </c>
      <c r="O2" s="37" t="s">
        <v>369</v>
      </c>
      <c r="P2" s="37" t="s">
        <v>370</v>
      </c>
      <c r="Q2" s="51" t="s">
        <v>371</v>
      </c>
      <c r="R2" s="37" t="s">
        <v>348</v>
      </c>
      <c r="S2" s="37" t="s">
        <v>349</v>
      </c>
      <c r="T2" s="51" t="s">
        <v>350</v>
      </c>
      <c r="U2" s="37" t="s">
        <v>351</v>
      </c>
      <c r="V2" s="37" t="s">
        <v>352</v>
      </c>
      <c r="W2" s="51" t="s">
        <v>353</v>
      </c>
      <c r="X2" s="37" t="s">
        <v>372</v>
      </c>
      <c r="Y2" s="37" t="s">
        <v>373</v>
      </c>
      <c r="Z2" s="45" t="s">
        <v>374</v>
      </c>
      <c r="AA2" s="37" t="s">
        <v>375</v>
      </c>
      <c r="AB2" s="37" t="s">
        <v>376</v>
      </c>
      <c r="AC2" s="51" t="s">
        <v>377</v>
      </c>
      <c r="AD2" s="37" t="s">
        <v>378</v>
      </c>
      <c r="AE2" s="37" t="s">
        <v>379</v>
      </c>
      <c r="AF2" s="51" t="s">
        <v>380</v>
      </c>
      <c r="AG2" s="37" t="s">
        <v>381</v>
      </c>
      <c r="AH2" s="37" t="s">
        <v>382</v>
      </c>
      <c r="AI2" s="51" t="s">
        <v>383</v>
      </c>
      <c r="AJ2" s="37" t="s">
        <v>384</v>
      </c>
      <c r="AK2" s="37" t="s">
        <v>385</v>
      </c>
      <c r="AL2" s="45" t="s">
        <v>386</v>
      </c>
      <c r="AM2" s="37" t="s">
        <v>419</v>
      </c>
      <c r="AN2" s="37" t="s">
        <v>420</v>
      </c>
      <c r="AO2" s="51" t="s">
        <v>421</v>
      </c>
      <c r="AP2" s="37" t="s">
        <v>422</v>
      </c>
      <c r="AQ2" s="37" t="s">
        <v>423</v>
      </c>
      <c r="AR2" s="51" t="s">
        <v>424</v>
      </c>
      <c r="AS2" s="37" t="s">
        <v>425</v>
      </c>
      <c r="AT2" s="37" t="s">
        <v>426</v>
      </c>
      <c r="AU2" s="51" t="s">
        <v>427</v>
      </c>
      <c r="AV2" s="37" t="s">
        <v>428</v>
      </c>
      <c r="AW2" s="37" t="s">
        <v>429</v>
      </c>
      <c r="AX2" s="45" t="s">
        <v>430</v>
      </c>
      <c r="AY2" s="37" t="s">
        <v>387</v>
      </c>
      <c r="AZ2" s="37" t="s">
        <v>388</v>
      </c>
      <c r="BA2" s="51" t="s">
        <v>389</v>
      </c>
      <c r="BB2" s="37" t="s">
        <v>390</v>
      </c>
      <c r="BC2" s="37" t="s">
        <v>391</v>
      </c>
      <c r="BD2" s="51" t="s">
        <v>392</v>
      </c>
      <c r="BE2" s="37" t="s">
        <v>393</v>
      </c>
      <c r="BF2" s="37" t="s">
        <v>394</v>
      </c>
      <c r="BG2" s="51" t="s">
        <v>395</v>
      </c>
      <c r="BH2" s="37" t="s">
        <v>396</v>
      </c>
      <c r="BI2" s="37" t="s">
        <v>397</v>
      </c>
      <c r="BJ2" s="45" t="s">
        <v>398</v>
      </c>
      <c r="BK2" s="32" t="s">
        <v>5</v>
      </c>
      <c r="BL2" s="37" t="s">
        <v>1</v>
      </c>
      <c r="BM2" s="37" t="s">
        <v>2</v>
      </c>
      <c r="BN2" s="37" t="s">
        <v>3</v>
      </c>
      <c r="BO2" s="45" t="s">
        <v>4</v>
      </c>
      <c r="BP2" s="37" t="s">
        <v>431</v>
      </c>
      <c r="BQ2" s="37" t="s">
        <v>432</v>
      </c>
      <c r="BR2" s="45" t="s">
        <v>433</v>
      </c>
      <c r="BS2" s="37" t="s">
        <v>355</v>
      </c>
      <c r="BT2" s="37" t="s">
        <v>356</v>
      </c>
      <c r="BU2" s="37" t="s">
        <v>277</v>
      </c>
      <c r="BV2" s="37" t="s">
        <v>357</v>
      </c>
      <c r="BW2" s="37" t="s">
        <v>358</v>
      </c>
      <c r="BX2" s="45" t="s">
        <v>281</v>
      </c>
      <c r="BY2" s="37" t="s">
        <v>359</v>
      </c>
      <c r="BZ2" s="37" t="s">
        <v>360</v>
      </c>
      <c r="CA2" s="37" t="s">
        <v>361</v>
      </c>
      <c r="CB2" s="37" t="s">
        <v>279</v>
      </c>
      <c r="CC2" s="37" t="s">
        <v>280</v>
      </c>
      <c r="CD2" s="45" t="s">
        <v>362</v>
      </c>
      <c r="CF2" s="33" t="s">
        <v>802</v>
      </c>
      <c r="CG2" s="43" t="s">
        <v>808</v>
      </c>
      <c r="CH2" s="206">
        <f>VLOOKUP(CG2,Calculator!X2:Y13,2,0)</f>
        <v>0.06</v>
      </c>
    </row>
    <row r="3" spans="1:86" ht="13.5" customHeight="1" x14ac:dyDescent="0.25">
      <c r="A3" s="36" t="s">
        <v>49</v>
      </c>
      <c r="B3" s="70" t="s">
        <v>675</v>
      </c>
      <c r="C3" s="41">
        <v>0</v>
      </c>
      <c r="D3" s="41">
        <v>20</v>
      </c>
      <c r="E3" s="50">
        <v>20</v>
      </c>
      <c r="F3" s="41">
        <v>0</v>
      </c>
      <c r="G3" s="41">
        <v>20</v>
      </c>
      <c r="H3" s="50">
        <v>20</v>
      </c>
      <c r="I3" s="41">
        <v>40</v>
      </c>
      <c r="J3" s="41">
        <v>0</v>
      </c>
      <c r="K3" s="50">
        <v>0</v>
      </c>
      <c r="L3" s="41">
        <v>40</v>
      </c>
      <c r="M3" s="41">
        <v>0</v>
      </c>
      <c r="N3" s="46">
        <v>0</v>
      </c>
      <c r="O3" s="34">
        <v>35</v>
      </c>
      <c r="P3" s="34">
        <v>40</v>
      </c>
      <c r="Q3" s="52">
        <v>40</v>
      </c>
      <c r="R3" s="34">
        <v>35</v>
      </c>
      <c r="S3" s="34">
        <v>40</v>
      </c>
      <c r="T3" s="52">
        <v>40</v>
      </c>
      <c r="U3" s="34">
        <v>80</v>
      </c>
      <c r="V3" s="34">
        <v>45</v>
      </c>
      <c r="W3" s="52">
        <v>30</v>
      </c>
      <c r="X3" s="34">
        <v>80</v>
      </c>
      <c r="Y3" s="34">
        <v>45</v>
      </c>
      <c r="Z3" s="46">
        <v>30</v>
      </c>
      <c r="AA3" s="41">
        <v>37</v>
      </c>
      <c r="AB3" s="41">
        <v>0</v>
      </c>
      <c r="AC3" s="50">
        <v>0</v>
      </c>
      <c r="AD3" s="41">
        <v>37</v>
      </c>
      <c r="AE3" s="41">
        <v>0</v>
      </c>
      <c r="AF3" s="50">
        <v>0</v>
      </c>
      <c r="AG3" s="41">
        <v>37</v>
      </c>
      <c r="AH3" s="41">
        <v>25</v>
      </c>
      <c r="AI3" s="50">
        <v>25</v>
      </c>
      <c r="AJ3" s="41">
        <v>47</v>
      </c>
      <c r="AK3" s="41">
        <v>25</v>
      </c>
      <c r="AL3" s="48">
        <v>35</v>
      </c>
      <c r="AM3" s="34">
        <v>10</v>
      </c>
      <c r="AN3" s="34">
        <v>10</v>
      </c>
      <c r="AO3" s="52">
        <v>20</v>
      </c>
      <c r="AP3" s="34">
        <v>10</v>
      </c>
      <c r="AQ3" s="34">
        <v>10</v>
      </c>
      <c r="AR3" s="52">
        <v>20</v>
      </c>
      <c r="AS3" s="34">
        <v>10</v>
      </c>
      <c r="AT3" s="34">
        <v>10</v>
      </c>
      <c r="AU3" s="52">
        <v>20</v>
      </c>
      <c r="AV3" s="34">
        <v>10</v>
      </c>
      <c r="AW3" s="34">
        <v>10</v>
      </c>
      <c r="AX3" s="46">
        <v>20</v>
      </c>
      <c r="AY3" s="34">
        <f t="shared" ref="AY3:AY34" si="0">O3+AA3+AM3+BP3</f>
        <v>325.20469155839999</v>
      </c>
      <c r="AZ3" s="34">
        <f t="shared" ref="AZ3:AZ34" si="1">P3+AB3+AN3+BQ3</f>
        <v>292.75102105600001</v>
      </c>
      <c r="BA3" s="52">
        <f t="shared" ref="BA3:BA34" si="2">Q3+AC3+AO3+BR3</f>
        <v>303.88519731199995</v>
      </c>
      <c r="BB3" s="34">
        <f t="shared" ref="BB3:BB34" si="3">R3+AD3+AP3+BP3</f>
        <v>325.20469155839999</v>
      </c>
      <c r="BC3" s="34">
        <f t="shared" ref="BC3:BC34" si="4">S3+AE3+AQ3+BQ3</f>
        <v>292.75102105600001</v>
      </c>
      <c r="BD3" s="52">
        <f t="shared" ref="BD3:BD34" si="5">T3+AF3+AR3+BR3</f>
        <v>303.88519731199995</v>
      </c>
      <c r="BE3" s="34">
        <f t="shared" ref="BE3:BE34" si="6">U3+AG3+AS3+BP3</f>
        <v>370.20469155839999</v>
      </c>
      <c r="BF3" s="34">
        <f t="shared" ref="BF3:BF34" si="7">V3+AH3+AT3+BQ3</f>
        <v>322.75102105600001</v>
      </c>
      <c r="BG3" s="52">
        <f t="shared" ref="BG3:BG34" si="8">W3+AI3+AU3+BR3</f>
        <v>318.88519731199995</v>
      </c>
      <c r="BH3" s="34">
        <f t="shared" ref="BH3:BH34" si="9">X3+AJ3+AV3+BP3</f>
        <v>380.20469155839999</v>
      </c>
      <c r="BI3" s="34">
        <f t="shared" ref="BI3:BI34" si="10">Y3+AK3+AW3+BQ3</f>
        <v>322.75102105600001</v>
      </c>
      <c r="BJ3" s="46">
        <f t="shared" ref="BJ3:BJ34" si="11">Z3+AL3+AX3+BR3</f>
        <v>328.88519731199995</v>
      </c>
      <c r="BK3" s="57">
        <f t="shared" ref="BK3:BK34" si="12">BL3+BM3+BN3+BO3</f>
        <v>3887.3636397055998</v>
      </c>
      <c r="BL3" s="34">
        <f t="shared" ref="BL3:BL34" si="13">AY3+AZ3+BA3</f>
        <v>921.84090992639995</v>
      </c>
      <c r="BM3" s="34">
        <f t="shared" ref="BM3:BM34" si="14">BB3+BC3+BD3</f>
        <v>921.84090992639995</v>
      </c>
      <c r="BN3" s="34">
        <f t="shared" ref="BN3:BN34" si="15">BE3+BF3+BG3</f>
        <v>1011.8409099263999</v>
      </c>
      <c r="BO3" s="46">
        <f t="shared" ref="BO3:BO34" si="16">BH3+BI3+BJ3</f>
        <v>1031.8409099263999</v>
      </c>
      <c r="BP3" s="65">
        <f t="shared" ref="BP3:BP34" si="17">900*0.1+(BV3-900)*0.2</f>
        <v>243.20469155839996</v>
      </c>
      <c r="BQ3" s="65">
        <f t="shared" ref="BQ3:BQ34" si="18">900*0.1+(BW3-900)*0.2</f>
        <v>242.75102105599998</v>
      </c>
      <c r="BR3" s="66">
        <f t="shared" ref="BR3:BR34" si="19">900*0.1+(BX3-900)*0.2</f>
        <v>243.88519731199995</v>
      </c>
      <c r="BS3" s="34">
        <v>128</v>
      </c>
      <c r="BT3" s="34">
        <v>128</v>
      </c>
      <c r="BU3" s="52">
        <v>128</v>
      </c>
      <c r="BV3" s="58">
        <f t="shared" ref="BV3:BV34" si="20">(BS3+CB3*(CG$1-1))+500+((BS3+CB3*(CG$1-1))+500)*$CH$2</f>
        <v>1666.0234577919998</v>
      </c>
      <c r="BW3" s="58">
        <f t="shared" ref="BW3:BW34" si="21">(BT3+CC3*(CG$1-1))+500+((BT3+CC3*(CG$1-1))+500)*$CH$2</f>
        <v>1663.75510528</v>
      </c>
      <c r="BX3" s="59">
        <f t="shared" ref="BX3:BX34" si="22">(BU3+CD3*(CG$1-1))+500+((BU3+CD3*(CG$1-1))+500)*$CH$2</f>
        <v>1669.4259865599997</v>
      </c>
      <c r="BY3" s="44">
        <v>8.82</v>
      </c>
      <c r="BZ3" s="44">
        <v>8.8000000000000007</v>
      </c>
      <c r="CA3" s="53">
        <v>8.85</v>
      </c>
      <c r="CB3" s="58">
        <f t="shared" ref="CB3:CB34" si="23">(((((1+20/100)*$BY3)*(1+20/100)))*(1+20/100))*(1+20/100)*(1+20/100)</f>
        <v>21.946982399999996</v>
      </c>
      <c r="CC3" s="58">
        <f t="shared" ref="CC3:CC34" si="24">(((((1+20/100)*$BZ3)*(1+20/100)))*(1+20/100))*(1+20/100)*(1+20/100)</f>
        <v>21.897215999999997</v>
      </c>
      <c r="CD3" s="59">
        <f t="shared" ref="CD3:CD34" si="25">(((((1+20/100)*$CA3)*(1+20/100)))*(1+20/100))*(1+20/100)*(1+20/100)</f>
        <v>22.021631999999993</v>
      </c>
    </row>
    <row r="4" spans="1:86" ht="13.5" customHeight="1" x14ac:dyDescent="0.25">
      <c r="A4" s="36" t="s">
        <v>50</v>
      </c>
      <c r="B4" s="67" t="s">
        <v>676</v>
      </c>
      <c r="C4" s="34">
        <v>0</v>
      </c>
      <c r="D4" s="34">
        <v>45</v>
      </c>
      <c r="E4" s="52">
        <v>0</v>
      </c>
      <c r="F4" s="34">
        <v>0</v>
      </c>
      <c r="G4" s="34">
        <v>45</v>
      </c>
      <c r="H4" s="52">
        <v>0</v>
      </c>
      <c r="I4" s="34">
        <v>0</v>
      </c>
      <c r="J4" s="34">
        <v>0</v>
      </c>
      <c r="K4" s="52">
        <v>0</v>
      </c>
      <c r="L4" s="34">
        <v>50</v>
      </c>
      <c r="M4" s="34">
        <v>0</v>
      </c>
      <c r="N4" s="46">
        <v>0</v>
      </c>
      <c r="O4" s="34">
        <v>0</v>
      </c>
      <c r="P4" s="34">
        <v>60</v>
      </c>
      <c r="Q4" s="52">
        <v>60</v>
      </c>
      <c r="R4" s="34">
        <v>0</v>
      </c>
      <c r="S4" s="34">
        <v>60</v>
      </c>
      <c r="T4" s="52">
        <v>60</v>
      </c>
      <c r="U4" s="34">
        <v>0</v>
      </c>
      <c r="V4" s="34">
        <v>40</v>
      </c>
      <c r="W4" s="52">
        <v>40</v>
      </c>
      <c r="X4" s="34">
        <v>115</v>
      </c>
      <c r="Y4" s="34">
        <v>40</v>
      </c>
      <c r="Z4" s="46">
        <v>40</v>
      </c>
      <c r="AA4" s="34">
        <v>6</v>
      </c>
      <c r="AB4" s="34">
        <v>30</v>
      </c>
      <c r="AC4" s="52">
        <v>0</v>
      </c>
      <c r="AD4" s="34">
        <v>6</v>
      </c>
      <c r="AE4" s="34">
        <v>30</v>
      </c>
      <c r="AF4" s="52">
        <v>0</v>
      </c>
      <c r="AG4" s="34">
        <v>6</v>
      </c>
      <c r="AH4" s="34">
        <v>30</v>
      </c>
      <c r="AI4" s="52">
        <v>0</v>
      </c>
      <c r="AJ4" s="34">
        <v>46</v>
      </c>
      <c r="AK4" s="34">
        <v>40</v>
      </c>
      <c r="AL4" s="46">
        <v>10</v>
      </c>
      <c r="AM4" s="34">
        <v>0</v>
      </c>
      <c r="AN4" s="34">
        <v>0</v>
      </c>
      <c r="AO4" s="52">
        <v>0</v>
      </c>
      <c r="AP4" s="34">
        <v>0</v>
      </c>
      <c r="AQ4" s="34">
        <v>0</v>
      </c>
      <c r="AR4" s="52">
        <v>0</v>
      </c>
      <c r="AS4" s="34">
        <v>0</v>
      </c>
      <c r="AT4" s="34">
        <v>0</v>
      </c>
      <c r="AU4" s="52">
        <v>0</v>
      </c>
      <c r="AV4" s="34">
        <v>0</v>
      </c>
      <c r="AW4" s="34">
        <v>0</v>
      </c>
      <c r="AX4" s="46">
        <v>0</v>
      </c>
      <c r="AY4" s="34">
        <f t="shared" si="0"/>
        <v>244.87568005119994</v>
      </c>
      <c r="AZ4" s="34">
        <f t="shared" si="1"/>
        <v>339.29526635520006</v>
      </c>
      <c r="BA4" s="52">
        <f t="shared" si="2"/>
        <v>303.09653831679998</v>
      </c>
      <c r="BB4" s="34">
        <f t="shared" si="3"/>
        <v>244.87568005119994</v>
      </c>
      <c r="BC4" s="34">
        <f t="shared" si="4"/>
        <v>339.29526635520006</v>
      </c>
      <c r="BD4" s="52">
        <f t="shared" si="5"/>
        <v>303.09653831679998</v>
      </c>
      <c r="BE4" s="34">
        <f t="shared" si="6"/>
        <v>244.87568005119994</v>
      </c>
      <c r="BF4" s="34">
        <f t="shared" si="7"/>
        <v>319.29526635520006</v>
      </c>
      <c r="BG4" s="52">
        <f t="shared" si="8"/>
        <v>283.09653831679998</v>
      </c>
      <c r="BH4" s="34">
        <f t="shared" si="9"/>
        <v>399.87568005119994</v>
      </c>
      <c r="BI4" s="34">
        <f t="shared" si="10"/>
        <v>329.29526635520006</v>
      </c>
      <c r="BJ4" s="46">
        <f t="shared" si="11"/>
        <v>293.09653831679998</v>
      </c>
      <c r="BK4" s="57">
        <f t="shared" si="12"/>
        <v>3644.0699388927997</v>
      </c>
      <c r="BL4" s="34">
        <f t="shared" si="13"/>
        <v>887.26748472319991</v>
      </c>
      <c r="BM4" s="34">
        <f t="shared" si="14"/>
        <v>887.26748472319991</v>
      </c>
      <c r="BN4" s="34">
        <f t="shared" si="15"/>
        <v>847.26748472319991</v>
      </c>
      <c r="BO4" s="46">
        <f t="shared" si="16"/>
        <v>1022.2674847231999</v>
      </c>
      <c r="BP4" s="65">
        <f t="shared" si="17"/>
        <v>238.87568005119994</v>
      </c>
      <c r="BQ4" s="65">
        <f t="shared" si="18"/>
        <v>249.29526635520003</v>
      </c>
      <c r="BR4" s="66">
        <f t="shared" si="19"/>
        <v>243.09653831679998</v>
      </c>
      <c r="BS4" s="34">
        <v>114</v>
      </c>
      <c r="BT4" s="34">
        <v>115</v>
      </c>
      <c r="BU4" s="52">
        <v>120</v>
      </c>
      <c r="BV4" s="58">
        <f t="shared" si="20"/>
        <v>1644.3784002559996</v>
      </c>
      <c r="BW4" s="58">
        <f t="shared" si="21"/>
        <v>1696.4763317760001</v>
      </c>
      <c r="BX4" s="59">
        <f t="shared" si="22"/>
        <v>1665.4826915839999</v>
      </c>
      <c r="BY4" s="44">
        <v>8.76</v>
      </c>
      <c r="BZ4" s="44">
        <v>9.2100000000000009</v>
      </c>
      <c r="CA4" s="53">
        <v>8.89</v>
      </c>
      <c r="CB4" s="58">
        <f t="shared" si="23"/>
        <v>21.797683199999991</v>
      </c>
      <c r="CC4" s="58">
        <f t="shared" si="24"/>
        <v>22.917427199999999</v>
      </c>
      <c r="CD4" s="59">
        <f t="shared" si="25"/>
        <v>22.121164799999995</v>
      </c>
    </row>
    <row r="5" spans="1:86" ht="13.5" customHeight="1" x14ac:dyDescent="0.25">
      <c r="A5" s="36" t="s">
        <v>51</v>
      </c>
      <c r="B5" s="62" t="s">
        <v>815</v>
      </c>
      <c r="C5" s="34">
        <v>0</v>
      </c>
      <c r="D5" s="34">
        <v>45</v>
      </c>
      <c r="E5" s="52">
        <v>0</v>
      </c>
      <c r="F5" s="34">
        <v>60</v>
      </c>
      <c r="G5" s="34">
        <v>45</v>
      </c>
      <c r="H5" s="52">
        <v>60</v>
      </c>
      <c r="I5" s="34">
        <v>0</v>
      </c>
      <c r="J5" s="34">
        <v>0</v>
      </c>
      <c r="K5" s="50">
        <v>0</v>
      </c>
      <c r="L5" s="41">
        <v>0</v>
      </c>
      <c r="M5" s="41">
        <v>0</v>
      </c>
      <c r="N5" s="48">
        <v>0</v>
      </c>
      <c r="O5" s="41">
        <v>20</v>
      </c>
      <c r="P5" s="41">
        <v>60</v>
      </c>
      <c r="Q5" s="50">
        <v>15</v>
      </c>
      <c r="R5" s="41">
        <v>130</v>
      </c>
      <c r="S5" s="41">
        <v>95</v>
      </c>
      <c r="T5" s="50">
        <v>125</v>
      </c>
      <c r="U5" s="41">
        <v>0</v>
      </c>
      <c r="V5" s="41">
        <v>0</v>
      </c>
      <c r="W5" s="50">
        <v>0</v>
      </c>
      <c r="X5" s="41">
        <v>0</v>
      </c>
      <c r="Y5" s="41">
        <v>0</v>
      </c>
      <c r="Z5" s="48">
        <v>0</v>
      </c>
      <c r="AA5" s="41">
        <v>10</v>
      </c>
      <c r="AB5" s="41">
        <v>0</v>
      </c>
      <c r="AC5" s="50">
        <v>0</v>
      </c>
      <c r="AD5" s="41">
        <v>80</v>
      </c>
      <c r="AE5" s="41">
        <v>20</v>
      </c>
      <c r="AF5" s="50">
        <v>45</v>
      </c>
      <c r="AG5" s="41">
        <v>0</v>
      </c>
      <c r="AH5" s="41">
        <v>0</v>
      </c>
      <c r="AI5" s="50">
        <v>0</v>
      </c>
      <c r="AJ5" s="41">
        <v>0</v>
      </c>
      <c r="AK5" s="41">
        <v>0</v>
      </c>
      <c r="AL5" s="48">
        <v>0</v>
      </c>
      <c r="AM5" s="41">
        <v>0</v>
      </c>
      <c r="AN5" s="41">
        <v>0</v>
      </c>
      <c r="AO5" s="50">
        <v>0</v>
      </c>
      <c r="AP5" s="41">
        <v>5</v>
      </c>
      <c r="AQ5" s="41">
        <v>10</v>
      </c>
      <c r="AR5" s="50">
        <v>10</v>
      </c>
      <c r="AS5" s="41">
        <v>0</v>
      </c>
      <c r="AT5" s="41">
        <v>0</v>
      </c>
      <c r="AU5" s="50">
        <v>0</v>
      </c>
      <c r="AV5" s="41">
        <v>0</v>
      </c>
      <c r="AW5" s="41">
        <v>0</v>
      </c>
      <c r="AX5" s="48">
        <v>0</v>
      </c>
      <c r="AY5" s="41">
        <f t="shared" si="0"/>
        <v>286.72579512319987</v>
      </c>
      <c r="AZ5" s="41">
        <f t="shared" si="1"/>
        <v>309.96524334079993</v>
      </c>
      <c r="BA5" s="50">
        <f t="shared" si="2"/>
        <v>259.58053831680002</v>
      </c>
      <c r="BB5" s="41">
        <f t="shared" si="3"/>
        <v>471.72579512319987</v>
      </c>
      <c r="BC5" s="41">
        <f t="shared" si="4"/>
        <v>374.96524334079993</v>
      </c>
      <c r="BD5" s="50">
        <f t="shared" si="5"/>
        <v>424.58053831680002</v>
      </c>
      <c r="BE5" s="41">
        <f t="shared" si="6"/>
        <v>256.72579512319987</v>
      </c>
      <c r="BF5" s="41">
        <f t="shared" si="7"/>
        <v>249.96524334079996</v>
      </c>
      <c r="BG5" s="50">
        <f t="shared" si="8"/>
        <v>244.58053831680002</v>
      </c>
      <c r="BH5" s="41">
        <f t="shared" si="9"/>
        <v>256.72579512319987</v>
      </c>
      <c r="BI5" s="41">
        <f t="shared" si="10"/>
        <v>249.96524334079996</v>
      </c>
      <c r="BJ5" s="48">
        <f t="shared" si="11"/>
        <v>244.58053831680002</v>
      </c>
      <c r="BK5" s="56">
        <f t="shared" si="12"/>
        <v>3630.0863071231997</v>
      </c>
      <c r="BL5" s="41">
        <f t="shared" si="13"/>
        <v>856.27157678079982</v>
      </c>
      <c r="BM5" s="41">
        <f t="shared" si="14"/>
        <v>1271.2715767807999</v>
      </c>
      <c r="BN5" s="41">
        <f t="shared" si="15"/>
        <v>751.27157678079982</v>
      </c>
      <c r="BO5" s="46">
        <f t="shared" si="16"/>
        <v>751.27157678079982</v>
      </c>
      <c r="BP5" s="95">
        <f t="shared" si="17"/>
        <v>256.72579512319987</v>
      </c>
      <c r="BQ5" s="95">
        <f t="shared" si="18"/>
        <v>249.96524334079996</v>
      </c>
      <c r="BR5" s="96">
        <f t="shared" si="19"/>
        <v>244.58053831680002</v>
      </c>
      <c r="BS5" s="34">
        <v>134</v>
      </c>
      <c r="BT5" s="34">
        <v>131</v>
      </c>
      <c r="BU5" s="52">
        <v>127</v>
      </c>
      <c r="BV5" s="98">
        <f t="shared" si="20"/>
        <v>1733.6289756159995</v>
      </c>
      <c r="BW5" s="98">
        <f t="shared" si="21"/>
        <v>1699.8262167039998</v>
      </c>
      <c r="BX5" s="100">
        <f t="shared" si="22"/>
        <v>1672.902691584</v>
      </c>
      <c r="BY5" s="44">
        <v>9.36</v>
      </c>
      <c r="BZ5" s="44">
        <v>9.09</v>
      </c>
      <c r="CA5" s="53">
        <v>8.89</v>
      </c>
      <c r="CB5" s="98">
        <f t="shared" si="23"/>
        <v>23.290675199999992</v>
      </c>
      <c r="CC5" s="98">
        <f t="shared" si="24"/>
        <v>22.618828799999996</v>
      </c>
      <c r="CD5" s="100">
        <f t="shared" si="25"/>
        <v>22.121164799999995</v>
      </c>
    </row>
    <row r="6" spans="1:86" ht="13.5" customHeight="1" x14ac:dyDescent="0.25">
      <c r="A6" s="36" t="s">
        <v>52</v>
      </c>
      <c r="B6" s="67" t="s">
        <v>677</v>
      </c>
      <c r="C6" s="34">
        <v>30</v>
      </c>
      <c r="D6" s="34">
        <v>0</v>
      </c>
      <c r="E6" s="52">
        <v>30</v>
      </c>
      <c r="F6" s="34">
        <v>50</v>
      </c>
      <c r="G6" s="34">
        <v>20</v>
      </c>
      <c r="H6" s="52">
        <v>30</v>
      </c>
      <c r="I6" s="34">
        <v>0</v>
      </c>
      <c r="J6" s="34">
        <v>0</v>
      </c>
      <c r="K6" s="52">
        <v>0</v>
      </c>
      <c r="L6" s="34">
        <v>0</v>
      </c>
      <c r="M6" s="34">
        <v>0</v>
      </c>
      <c r="N6" s="46">
        <v>0</v>
      </c>
      <c r="O6" s="34">
        <v>35</v>
      </c>
      <c r="P6" s="34">
        <v>10</v>
      </c>
      <c r="Q6" s="52">
        <v>45</v>
      </c>
      <c r="R6" s="34">
        <v>90</v>
      </c>
      <c r="S6" s="34">
        <v>50</v>
      </c>
      <c r="T6" s="52">
        <v>65</v>
      </c>
      <c r="U6" s="34"/>
      <c r="V6" s="34">
        <v>25</v>
      </c>
      <c r="W6" s="52">
        <v>25</v>
      </c>
      <c r="X6" s="34"/>
      <c r="Y6" s="34">
        <v>25</v>
      </c>
      <c r="Z6" s="46">
        <v>25</v>
      </c>
      <c r="AA6" s="34">
        <v>6</v>
      </c>
      <c r="AB6" s="34">
        <v>0</v>
      </c>
      <c r="AC6" s="52">
        <v>10</v>
      </c>
      <c r="AD6" s="34">
        <v>56</v>
      </c>
      <c r="AE6" s="34">
        <v>35</v>
      </c>
      <c r="AF6" s="52">
        <v>30</v>
      </c>
      <c r="AG6" s="34">
        <v>6</v>
      </c>
      <c r="AH6" s="34">
        <v>0</v>
      </c>
      <c r="AI6" s="52">
        <v>10</v>
      </c>
      <c r="AJ6" s="34">
        <v>6</v>
      </c>
      <c r="AK6" s="34">
        <v>0</v>
      </c>
      <c r="AL6" s="46">
        <v>10</v>
      </c>
      <c r="AM6" s="34">
        <v>5</v>
      </c>
      <c r="AN6" s="34">
        <v>10</v>
      </c>
      <c r="AO6" s="52">
        <v>10</v>
      </c>
      <c r="AP6" s="34">
        <v>35</v>
      </c>
      <c r="AQ6" s="34">
        <v>20</v>
      </c>
      <c r="AR6" s="52">
        <v>20</v>
      </c>
      <c r="AS6" s="34">
        <v>5</v>
      </c>
      <c r="AT6" s="34">
        <v>5</v>
      </c>
      <c r="AU6" s="52">
        <v>5</v>
      </c>
      <c r="AV6" s="34">
        <v>5</v>
      </c>
      <c r="AW6" s="34">
        <v>5</v>
      </c>
      <c r="AX6" s="46">
        <v>5</v>
      </c>
      <c r="AY6" s="34">
        <f t="shared" si="0"/>
        <v>289.35304407039996</v>
      </c>
      <c r="AZ6" s="34">
        <f t="shared" si="1"/>
        <v>262.89937356799999</v>
      </c>
      <c r="BA6" s="52">
        <f t="shared" si="2"/>
        <v>309.03354982399998</v>
      </c>
      <c r="BB6" s="34">
        <f t="shared" si="3"/>
        <v>424.35304407039996</v>
      </c>
      <c r="BC6" s="34">
        <f t="shared" si="4"/>
        <v>347.89937356799999</v>
      </c>
      <c r="BD6" s="52">
        <f t="shared" si="5"/>
        <v>359.03354982399998</v>
      </c>
      <c r="BE6" s="34">
        <f t="shared" si="6"/>
        <v>254.35304407039999</v>
      </c>
      <c r="BF6" s="34">
        <f t="shared" si="7"/>
        <v>272.89937356799999</v>
      </c>
      <c r="BG6" s="52">
        <f t="shared" si="8"/>
        <v>284.03354982399998</v>
      </c>
      <c r="BH6" s="34">
        <f t="shared" si="9"/>
        <v>254.35304407039999</v>
      </c>
      <c r="BI6" s="34">
        <f t="shared" si="10"/>
        <v>272.89937356799999</v>
      </c>
      <c r="BJ6" s="46">
        <f t="shared" si="11"/>
        <v>284.03354982399998</v>
      </c>
      <c r="BK6" s="57">
        <f t="shared" si="12"/>
        <v>3615.1438698495995</v>
      </c>
      <c r="BL6" s="34">
        <f t="shared" si="13"/>
        <v>861.28596746239987</v>
      </c>
      <c r="BM6" s="34">
        <f t="shared" si="14"/>
        <v>1131.2859674623999</v>
      </c>
      <c r="BN6" s="34">
        <f t="shared" si="15"/>
        <v>811.28596746239987</v>
      </c>
      <c r="BO6" s="46">
        <f t="shared" si="16"/>
        <v>811.28596746239987</v>
      </c>
      <c r="BP6" s="65">
        <f t="shared" si="17"/>
        <v>243.35304407039999</v>
      </c>
      <c r="BQ6" s="65">
        <f t="shared" si="18"/>
        <v>242.89937356799996</v>
      </c>
      <c r="BR6" s="66">
        <f t="shared" si="19"/>
        <v>244.03354982399998</v>
      </c>
      <c r="BS6" s="34">
        <v>118</v>
      </c>
      <c r="BT6" s="34">
        <v>118</v>
      </c>
      <c r="BU6" s="52">
        <v>118</v>
      </c>
      <c r="BV6" s="58">
        <f t="shared" si="20"/>
        <v>1666.7652203519999</v>
      </c>
      <c r="BW6" s="58">
        <f t="shared" si="21"/>
        <v>1664.4968678399998</v>
      </c>
      <c r="BX6" s="59">
        <f t="shared" si="22"/>
        <v>1670.1677491199998</v>
      </c>
      <c r="BY6" s="44">
        <v>8.92</v>
      </c>
      <c r="BZ6" s="44">
        <v>8.9</v>
      </c>
      <c r="CA6" s="53">
        <v>8.9499999999999993</v>
      </c>
      <c r="CB6" s="58">
        <f t="shared" si="23"/>
        <v>22.195814399999993</v>
      </c>
      <c r="CC6" s="58">
        <f t="shared" si="24"/>
        <v>22.146047999999997</v>
      </c>
      <c r="CD6" s="59">
        <f t="shared" si="25"/>
        <v>22.270463999999993</v>
      </c>
    </row>
    <row r="7" spans="1:86" ht="13.5" customHeight="1" x14ac:dyDescent="0.25">
      <c r="A7" s="36" t="s">
        <v>53</v>
      </c>
      <c r="B7" s="70" t="s">
        <v>502</v>
      </c>
      <c r="C7" s="34">
        <v>0</v>
      </c>
      <c r="D7" s="34">
        <v>0</v>
      </c>
      <c r="E7" s="52">
        <v>0</v>
      </c>
      <c r="F7" s="34">
        <v>0</v>
      </c>
      <c r="G7" s="34">
        <v>0</v>
      </c>
      <c r="H7" s="52">
        <v>0</v>
      </c>
      <c r="I7" s="34">
        <v>0</v>
      </c>
      <c r="J7" s="34">
        <v>0</v>
      </c>
      <c r="K7" s="52">
        <v>0</v>
      </c>
      <c r="L7" s="34">
        <v>55</v>
      </c>
      <c r="M7" s="34">
        <v>55</v>
      </c>
      <c r="N7" s="46">
        <v>40</v>
      </c>
      <c r="O7" s="34">
        <v>0</v>
      </c>
      <c r="P7" s="34">
        <v>0</v>
      </c>
      <c r="Q7" s="52">
        <v>0</v>
      </c>
      <c r="R7" s="34">
        <v>0</v>
      </c>
      <c r="S7" s="34">
        <v>0</v>
      </c>
      <c r="T7" s="52">
        <v>0</v>
      </c>
      <c r="U7" s="34">
        <v>20</v>
      </c>
      <c r="V7" s="34">
        <v>10</v>
      </c>
      <c r="W7" s="52">
        <v>10</v>
      </c>
      <c r="X7" s="34">
        <v>130</v>
      </c>
      <c r="Y7" s="34">
        <v>120</v>
      </c>
      <c r="Z7" s="46">
        <v>95</v>
      </c>
      <c r="AA7" s="34">
        <v>0</v>
      </c>
      <c r="AB7" s="34">
        <v>0</v>
      </c>
      <c r="AC7" s="52">
        <v>0</v>
      </c>
      <c r="AD7" s="34">
        <v>0</v>
      </c>
      <c r="AE7" s="34">
        <v>0</v>
      </c>
      <c r="AF7" s="52">
        <v>0</v>
      </c>
      <c r="AG7" s="34">
        <v>0</v>
      </c>
      <c r="AH7" s="34">
        <v>30</v>
      </c>
      <c r="AI7" s="52">
        <v>30</v>
      </c>
      <c r="AJ7" s="34">
        <v>70</v>
      </c>
      <c r="AK7" s="34">
        <v>50</v>
      </c>
      <c r="AL7" s="46">
        <v>40</v>
      </c>
      <c r="AM7" s="34">
        <v>0</v>
      </c>
      <c r="AN7" s="34">
        <v>0</v>
      </c>
      <c r="AO7" s="52">
        <v>0</v>
      </c>
      <c r="AP7" s="34">
        <v>0</v>
      </c>
      <c r="AQ7" s="34">
        <v>0</v>
      </c>
      <c r="AR7" s="52">
        <v>0</v>
      </c>
      <c r="AS7" s="34">
        <v>15</v>
      </c>
      <c r="AT7" s="34">
        <v>16</v>
      </c>
      <c r="AU7" s="52">
        <v>0</v>
      </c>
      <c r="AV7" s="34">
        <v>38</v>
      </c>
      <c r="AW7" s="34">
        <v>21</v>
      </c>
      <c r="AX7" s="46">
        <v>10</v>
      </c>
      <c r="AY7" s="34">
        <f t="shared" si="0"/>
        <v>244.49152680960003</v>
      </c>
      <c r="AZ7" s="34">
        <f t="shared" si="1"/>
        <v>240.05866854399991</v>
      </c>
      <c r="BA7" s="52">
        <f t="shared" si="2"/>
        <v>236.0498102784</v>
      </c>
      <c r="BB7" s="34">
        <f t="shared" si="3"/>
        <v>244.49152680960003</v>
      </c>
      <c r="BC7" s="34">
        <f t="shared" si="4"/>
        <v>240.05866854399991</v>
      </c>
      <c r="BD7" s="52">
        <f t="shared" si="5"/>
        <v>236.0498102784</v>
      </c>
      <c r="BE7" s="34">
        <f t="shared" si="6"/>
        <v>279.49152680960003</v>
      </c>
      <c r="BF7" s="34">
        <f t="shared" si="7"/>
        <v>296.05866854399994</v>
      </c>
      <c r="BG7" s="52">
        <f t="shared" si="8"/>
        <v>276.0498102784</v>
      </c>
      <c r="BH7" s="34">
        <f t="shared" si="9"/>
        <v>482.49152680960003</v>
      </c>
      <c r="BI7" s="34">
        <f t="shared" si="10"/>
        <v>431.05866854399994</v>
      </c>
      <c r="BJ7" s="46">
        <f t="shared" si="11"/>
        <v>381.0498102784</v>
      </c>
      <c r="BK7" s="57">
        <f t="shared" si="12"/>
        <v>3587.4000225279997</v>
      </c>
      <c r="BL7" s="34">
        <f t="shared" si="13"/>
        <v>720.60000563199992</v>
      </c>
      <c r="BM7" s="34">
        <f t="shared" si="14"/>
        <v>720.60000563199992</v>
      </c>
      <c r="BN7" s="34">
        <f t="shared" si="15"/>
        <v>851.60000563199992</v>
      </c>
      <c r="BO7" s="46">
        <f t="shared" si="16"/>
        <v>1294.6000056319999</v>
      </c>
      <c r="BP7" s="65">
        <f t="shared" si="17"/>
        <v>244.49152680960003</v>
      </c>
      <c r="BQ7" s="65">
        <f t="shared" si="18"/>
        <v>240.05866854399991</v>
      </c>
      <c r="BR7" s="66">
        <f t="shared" si="19"/>
        <v>236.0498102784</v>
      </c>
      <c r="BS7" s="34">
        <v>133</v>
      </c>
      <c r="BT7" s="34">
        <v>126</v>
      </c>
      <c r="BU7" s="52">
        <v>121</v>
      </c>
      <c r="BV7" s="58">
        <f t="shared" si="20"/>
        <v>1672.457634048</v>
      </c>
      <c r="BW7" s="58">
        <f t="shared" si="21"/>
        <v>1650.2933427199996</v>
      </c>
      <c r="BX7" s="59">
        <f t="shared" si="22"/>
        <v>1630.249051392</v>
      </c>
      <c r="BY7" s="44">
        <v>8.83</v>
      </c>
      <c r="BZ7" s="44">
        <v>8.6999999999999993</v>
      </c>
      <c r="CA7" s="53">
        <v>8.57</v>
      </c>
      <c r="CB7" s="58">
        <f t="shared" si="23"/>
        <v>21.971865599999997</v>
      </c>
      <c r="CC7" s="58">
        <f t="shared" si="24"/>
        <v>21.648383999999997</v>
      </c>
      <c r="CD7" s="59">
        <f t="shared" si="25"/>
        <v>21.324902399999996</v>
      </c>
    </row>
    <row r="8" spans="1:86" ht="13.5" customHeight="1" x14ac:dyDescent="0.25">
      <c r="A8" s="36" t="s">
        <v>54</v>
      </c>
      <c r="B8" s="62" t="s">
        <v>1124</v>
      </c>
      <c r="C8" s="34">
        <v>0</v>
      </c>
      <c r="D8" s="34">
        <v>0</v>
      </c>
      <c r="E8" s="52">
        <v>0</v>
      </c>
      <c r="F8" s="34">
        <v>0</v>
      </c>
      <c r="G8" s="34">
        <v>0</v>
      </c>
      <c r="H8" s="52">
        <v>0</v>
      </c>
      <c r="I8" s="34">
        <v>60</v>
      </c>
      <c r="J8" s="34">
        <v>60</v>
      </c>
      <c r="K8" s="50">
        <v>45</v>
      </c>
      <c r="L8" s="41">
        <v>0</v>
      </c>
      <c r="M8" s="41">
        <v>0</v>
      </c>
      <c r="N8" s="48">
        <v>0</v>
      </c>
      <c r="O8" s="41">
        <v>0</v>
      </c>
      <c r="P8" s="41">
        <v>0</v>
      </c>
      <c r="Q8" s="50">
        <v>0</v>
      </c>
      <c r="R8" s="41">
        <v>0</v>
      </c>
      <c r="S8" s="41">
        <v>0</v>
      </c>
      <c r="T8" s="50">
        <v>0</v>
      </c>
      <c r="U8" s="41">
        <v>120</v>
      </c>
      <c r="V8" s="41">
        <v>120</v>
      </c>
      <c r="W8" s="50">
        <v>75</v>
      </c>
      <c r="X8" s="41">
        <v>15</v>
      </c>
      <c r="Y8" s="41">
        <v>15</v>
      </c>
      <c r="Z8" s="48">
        <v>15</v>
      </c>
      <c r="AA8" s="41">
        <v>0</v>
      </c>
      <c r="AB8" s="41">
        <v>0</v>
      </c>
      <c r="AC8" s="50">
        <v>0</v>
      </c>
      <c r="AD8" s="41">
        <v>0</v>
      </c>
      <c r="AE8" s="41">
        <v>0</v>
      </c>
      <c r="AF8" s="50">
        <v>0</v>
      </c>
      <c r="AG8" s="41">
        <v>85</v>
      </c>
      <c r="AH8" s="41">
        <v>65</v>
      </c>
      <c r="AI8" s="50">
        <v>65</v>
      </c>
      <c r="AJ8" s="41">
        <v>10</v>
      </c>
      <c r="AK8" s="41">
        <v>0</v>
      </c>
      <c r="AL8" s="48">
        <v>0</v>
      </c>
      <c r="AM8" s="41">
        <v>0</v>
      </c>
      <c r="AN8" s="41">
        <v>0</v>
      </c>
      <c r="AO8" s="50">
        <v>0</v>
      </c>
      <c r="AP8" s="41">
        <v>0</v>
      </c>
      <c r="AQ8" s="41">
        <v>0</v>
      </c>
      <c r="AR8" s="50">
        <v>0</v>
      </c>
      <c r="AS8" s="41">
        <v>5</v>
      </c>
      <c r="AT8" s="41">
        <v>15</v>
      </c>
      <c r="AU8" s="50">
        <v>10</v>
      </c>
      <c r="AV8" s="41">
        <v>0</v>
      </c>
      <c r="AW8" s="41">
        <v>0</v>
      </c>
      <c r="AX8" s="48">
        <v>0</v>
      </c>
      <c r="AY8" s="41">
        <f t="shared" si="0"/>
        <v>256.51379512319988</v>
      </c>
      <c r="AZ8" s="41">
        <f t="shared" si="1"/>
        <v>235.79330452479999</v>
      </c>
      <c r="BA8" s="50">
        <f t="shared" si="2"/>
        <v>247.72656133119992</v>
      </c>
      <c r="BB8" s="41">
        <f t="shared" si="3"/>
        <v>256.51379512319988</v>
      </c>
      <c r="BC8" s="41">
        <f t="shared" si="4"/>
        <v>235.79330452479999</v>
      </c>
      <c r="BD8" s="50">
        <f t="shared" si="5"/>
        <v>247.72656133119992</v>
      </c>
      <c r="BE8" s="41">
        <f t="shared" si="6"/>
        <v>466.51379512319988</v>
      </c>
      <c r="BF8" s="41">
        <f t="shared" si="7"/>
        <v>435.79330452479996</v>
      </c>
      <c r="BG8" s="50">
        <f t="shared" si="8"/>
        <v>397.72656133119995</v>
      </c>
      <c r="BH8" s="41">
        <f t="shared" si="9"/>
        <v>281.51379512319988</v>
      </c>
      <c r="BI8" s="41">
        <f t="shared" si="10"/>
        <v>250.79330452479999</v>
      </c>
      <c r="BJ8" s="48">
        <f t="shared" si="11"/>
        <v>262.72656133119995</v>
      </c>
      <c r="BK8" s="56">
        <f t="shared" si="12"/>
        <v>3575.1346439167992</v>
      </c>
      <c r="BL8" s="41">
        <f t="shared" si="13"/>
        <v>740.03366097919979</v>
      </c>
      <c r="BM8" s="41">
        <f t="shared" si="14"/>
        <v>740.03366097919979</v>
      </c>
      <c r="BN8" s="41">
        <f t="shared" si="15"/>
        <v>1300.0336609791998</v>
      </c>
      <c r="BO8" s="46">
        <f t="shared" si="16"/>
        <v>795.03366097919979</v>
      </c>
      <c r="BP8" s="95">
        <f t="shared" si="17"/>
        <v>256.51379512319988</v>
      </c>
      <c r="BQ8" s="95">
        <f t="shared" si="18"/>
        <v>235.79330452479999</v>
      </c>
      <c r="BR8" s="96">
        <f t="shared" si="19"/>
        <v>247.72656133119992</v>
      </c>
      <c r="BS8" s="34">
        <v>133</v>
      </c>
      <c r="BT8" s="34">
        <v>123</v>
      </c>
      <c r="BU8" s="52">
        <v>129</v>
      </c>
      <c r="BV8" s="98">
        <f t="shared" si="20"/>
        <v>1732.5689756159995</v>
      </c>
      <c r="BW8" s="98">
        <f t="shared" si="21"/>
        <v>1628.9665226239999</v>
      </c>
      <c r="BX8" s="100">
        <f t="shared" si="22"/>
        <v>1688.6328066559995</v>
      </c>
      <c r="BY8" s="44">
        <v>9.36</v>
      </c>
      <c r="BZ8" s="44">
        <v>8.5399999999999991</v>
      </c>
      <c r="CA8" s="53">
        <v>9.01</v>
      </c>
      <c r="CB8" s="98">
        <f t="shared" si="23"/>
        <v>23.290675199999992</v>
      </c>
      <c r="CC8" s="98">
        <f t="shared" si="24"/>
        <v>21.250252799999995</v>
      </c>
      <c r="CD8" s="100">
        <f t="shared" si="25"/>
        <v>22.419763199999995</v>
      </c>
    </row>
    <row r="9" spans="1:86" ht="13.5" customHeight="1" x14ac:dyDescent="0.25">
      <c r="A9" s="36" t="s">
        <v>55</v>
      </c>
      <c r="B9" s="70" t="s">
        <v>746</v>
      </c>
      <c r="C9" s="34">
        <v>55</v>
      </c>
      <c r="D9" s="34">
        <v>40</v>
      </c>
      <c r="E9" s="52">
        <v>55</v>
      </c>
      <c r="F9" s="34">
        <v>0</v>
      </c>
      <c r="G9" s="34">
        <v>40</v>
      </c>
      <c r="H9" s="52">
        <v>0</v>
      </c>
      <c r="I9" s="34">
        <v>0</v>
      </c>
      <c r="J9" s="34">
        <v>0</v>
      </c>
      <c r="K9" s="50">
        <v>0</v>
      </c>
      <c r="L9" s="41">
        <v>0</v>
      </c>
      <c r="M9" s="41">
        <v>0</v>
      </c>
      <c r="N9" s="48">
        <v>0</v>
      </c>
      <c r="O9" s="41">
        <v>115</v>
      </c>
      <c r="P9" s="41">
        <v>100</v>
      </c>
      <c r="Q9" s="50">
        <v>100</v>
      </c>
      <c r="R9" s="41">
        <v>0</v>
      </c>
      <c r="S9" s="41">
        <v>40</v>
      </c>
      <c r="T9" s="50">
        <v>25</v>
      </c>
      <c r="U9" s="41">
        <v>0</v>
      </c>
      <c r="V9" s="41">
        <v>0</v>
      </c>
      <c r="W9" s="50">
        <v>0</v>
      </c>
      <c r="X9" s="41">
        <v>0</v>
      </c>
      <c r="Y9" s="41">
        <v>0</v>
      </c>
      <c r="Z9" s="48">
        <v>0</v>
      </c>
      <c r="AA9" s="41">
        <v>75</v>
      </c>
      <c r="AB9" s="41">
        <v>65</v>
      </c>
      <c r="AC9" s="50">
        <v>65</v>
      </c>
      <c r="AD9" s="41">
        <v>10</v>
      </c>
      <c r="AE9" s="41">
        <v>0</v>
      </c>
      <c r="AF9" s="50">
        <v>0</v>
      </c>
      <c r="AG9" s="41">
        <v>0</v>
      </c>
      <c r="AH9" s="41">
        <v>0</v>
      </c>
      <c r="AI9" s="50">
        <v>0</v>
      </c>
      <c r="AJ9" s="41">
        <v>0</v>
      </c>
      <c r="AK9" s="41">
        <v>0</v>
      </c>
      <c r="AL9" s="48">
        <v>0</v>
      </c>
      <c r="AM9" s="41">
        <v>10</v>
      </c>
      <c r="AN9" s="41">
        <v>10</v>
      </c>
      <c r="AO9" s="50">
        <v>10</v>
      </c>
      <c r="AP9" s="41">
        <v>0</v>
      </c>
      <c r="AQ9" s="41">
        <v>0</v>
      </c>
      <c r="AR9" s="50">
        <v>0</v>
      </c>
      <c r="AS9" s="41">
        <v>0</v>
      </c>
      <c r="AT9" s="41">
        <v>0</v>
      </c>
      <c r="AU9" s="50">
        <v>0</v>
      </c>
      <c r="AV9" s="41">
        <v>0</v>
      </c>
      <c r="AW9" s="41">
        <v>0</v>
      </c>
      <c r="AX9" s="48">
        <v>0</v>
      </c>
      <c r="AY9" s="41">
        <f t="shared" si="0"/>
        <v>445.24620881919998</v>
      </c>
      <c r="AZ9" s="41">
        <f t="shared" si="1"/>
        <v>413.45598653440004</v>
      </c>
      <c r="BA9" s="50">
        <f t="shared" si="2"/>
        <v>422.95339658239993</v>
      </c>
      <c r="BB9" s="41">
        <f t="shared" si="3"/>
        <v>255.24620881919998</v>
      </c>
      <c r="BC9" s="41">
        <f t="shared" si="4"/>
        <v>278.45598653440004</v>
      </c>
      <c r="BD9" s="50">
        <f t="shared" si="5"/>
        <v>272.95339658239993</v>
      </c>
      <c r="BE9" s="41">
        <f t="shared" si="6"/>
        <v>245.24620881919998</v>
      </c>
      <c r="BF9" s="41">
        <f t="shared" si="7"/>
        <v>238.45598653440001</v>
      </c>
      <c r="BG9" s="50">
        <f t="shared" si="8"/>
        <v>247.95339658239996</v>
      </c>
      <c r="BH9" s="41">
        <f t="shared" si="9"/>
        <v>245.24620881919998</v>
      </c>
      <c r="BI9" s="41">
        <f t="shared" si="10"/>
        <v>238.45598653440001</v>
      </c>
      <c r="BJ9" s="48">
        <f t="shared" si="11"/>
        <v>247.95339658239996</v>
      </c>
      <c r="BK9" s="56">
        <f t="shared" si="12"/>
        <v>3551.6223677439993</v>
      </c>
      <c r="BL9" s="41">
        <f t="shared" si="13"/>
        <v>1281.6555919359998</v>
      </c>
      <c r="BM9" s="41">
        <f t="shared" si="14"/>
        <v>806.65559193599995</v>
      </c>
      <c r="BN9" s="41">
        <f t="shared" si="15"/>
        <v>731.65559193599995</v>
      </c>
      <c r="BO9" s="46">
        <f t="shared" si="16"/>
        <v>731.65559193599995</v>
      </c>
      <c r="BP9" s="95">
        <f t="shared" si="17"/>
        <v>245.24620881919998</v>
      </c>
      <c r="BQ9" s="95">
        <f t="shared" si="18"/>
        <v>238.45598653440001</v>
      </c>
      <c r="BR9" s="96">
        <f t="shared" si="19"/>
        <v>247.95339658239996</v>
      </c>
      <c r="BS9" s="34">
        <v>128</v>
      </c>
      <c r="BT9" s="34">
        <v>127</v>
      </c>
      <c r="BU9" s="52">
        <v>129</v>
      </c>
      <c r="BV9" s="98">
        <f t="shared" si="20"/>
        <v>1676.2310440959998</v>
      </c>
      <c r="BW9" s="98">
        <f t="shared" si="21"/>
        <v>1642.2799326720001</v>
      </c>
      <c r="BX9" s="100">
        <f t="shared" si="22"/>
        <v>1689.7669829119998</v>
      </c>
      <c r="BY9" s="44">
        <v>8.91</v>
      </c>
      <c r="BZ9" s="44">
        <v>8.6199999999999992</v>
      </c>
      <c r="CA9" s="53">
        <v>9.02</v>
      </c>
      <c r="CB9" s="98">
        <f t="shared" si="23"/>
        <v>22.170931199999995</v>
      </c>
      <c r="CC9" s="98">
        <f t="shared" si="24"/>
        <v>21.449318399999999</v>
      </c>
      <c r="CD9" s="100">
        <f t="shared" si="25"/>
        <v>22.444646399999996</v>
      </c>
    </row>
    <row r="10" spans="1:86" ht="13.5" customHeight="1" x14ac:dyDescent="0.25">
      <c r="A10" s="36" t="s">
        <v>56</v>
      </c>
      <c r="B10" s="70" t="s">
        <v>206</v>
      </c>
      <c r="C10" s="34">
        <v>50</v>
      </c>
      <c r="D10" s="34">
        <v>0</v>
      </c>
      <c r="E10" s="52">
        <v>50</v>
      </c>
      <c r="F10" s="34">
        <v>0</v>
      </c>
      <c r="G10" s="34">
        <v>0</v>
      </c>
      <c r="H10" s="52">
        <v>0</v>
      </c>
      <c r="I10" s="34">
        <v>0</v>
      </c>
      <c r="J10" s="34">
        <v>0</v>
      </c>
      <c r="K10" s="52">
        <v>0</v>
      </c>
      <c r="L10" s="34">
        <v>0</v>
      </c>
      <c r="M10" s="34">
        <v>0</v>
      </c>
      <c r="N10" s="46">
        <v>0</v>
      </c>
      <c r="O10" s="34">
        <v>105</v>
      </c>
      <c r="P10" s="34">
        <v>70</v>
      </c>
      <c r="Q10" s="52">
        <v>120</v>
      </c>
      <c r="R10" s="34">
        <v>20</v>
      </c>
      <c r="S10" s="34">
        <v>40</v>
      </c>
      <c r="T10" s="52">
        <v>40</v>
      </c>
      <c r="U10" s="34">
        <v>0</v>
      </c>
      <c r="V10" s="34">
        <v>0</v>
      </c>
      <c r="W10" s="52">
        <v>0</v>
      </c>
      <c r="X10" s="34">
        <v>0</v>
      </c>
      <c r="Y10" s="34">
        <v>0</v>
      </c>
      <c r="Z10" s="46">
        <v>0</v>
      </c>
      <c r="AA10" s="34">
        <v>60</v>
      </c>
      <c r="AB10" s="34">
        <v>50</v>
      </c>
      <c r="AC10" s="52">
        <v>20</v>
      </c>
      <c r="AD10" s="34">
        <v>40</v>
      </c>
      <c r="AE10" s="34">
        <v>40</v>
      </c>
      <c r="AF10" s="52">
        <v>0</v>
      </c>
      <c r="AG10" s="34">
        <v>0</v>
      </c>
      <c r="AH10" s="34">
        <v>0</v>
      </c>
      <c r="AI10" s="52">
        <v>0</v>
      </c>
      <c r="AJ10" s="34">
        <v>0</v>
      </c>
      <c r="AK10" s="34">
        <v>0</v>
      </c>
      <c r="AL10" s="46">
        <v>0</v>
      </c>
      <c r="AM10" s="34">
        <v>25</v>
      </c>
      <c r="AN10" s="34">
        <v>10</v>
      </c>
      <c r="AO10" s="52">
        <v>10</v>
      </c>
      <c r="AP10" s="34">
        <v>0</v>
      </c>
      <c r="AQ10" s="34">
        <v>0</v>
      </c>
      <c r="AR10" s="52">
        <v>0</v>
      </c>
      <c r="AS10" s="34">
        <v>0</v>
      </c>
      <c r="AT10" s="34">
        <v>0</v>
      </c>
      <c r="AU10" s="52">
        <v>0</v>
      </c>
      <c r="AV10" s="34">
        <v>0</v>
      </c>
      <c r="AW10" s="34">
        <v>0</v>
      </c>
      <c r="AX10" s="46">
        <v>0</v>
      </c>
      <c r="AY10" s="34">
        <f t="shared" si="0"/>
        <v>433.65836206079996</v>
      </c>
      <c r="AZ10" s="34">
        <f t="shared" si="1"/>
        <v>368.28849228800004</v>
      </c>
      <c r="BA10" s="52">
        <f t="shared" si="2"/>
        <v>391.19284479999999</v>
      </c>
      <c r="BB10" s="34">
        <f t="shared" si="3"/>
        <v>303.65836206079996</v>
      </c>
      <c r="BC10" s="34">
        <f t="shared" si="4"/>
        <v>318.28849228800004</v>
      </c>
      <c r="BD10" s="52">
        <f t="shared" si="5"/>
        <v>281.19284479999999</v>
      </c>
      <c r="BE10" s="34">
        <f t="shared" si="6"/>
        <v>243.65836206079996</v>
      </c>
      <c r="BF10" s="34">
        <f t="shared" si="7"/>
        <v>238.28849228800001</v>
      </c>
      <c r="BG10" s="52">
        <f t="shared" si="8"/>
        <v>241.19284479999996</v>
      </c>
      <c r="BH10" s="34">
        <f t="shared" si="9"/>
        <v>243.65836206079996</v>
      </c>
      <c r="BI10" s="34">
        <f t="shared" si="10"/>
        <v>238.28849228800001</v>
      </c>
      <c r="BJ10" s="46">
        <f t="shared" si="11"/>
        <v>241.19284479999996</v>
      </c>
      <c r="BK10" s="57">
        <f t="shared" si="12"/>
        <v>3542.5587965952</v>
      </c>
      <c r="BL10" s="34">
        <f t="shared" si="13"/>
        <v>1193.1396991488</v>
      </c>
      <c r="BM10" s="34">
        <f t="shared" si="14"/>
        <v>903.13969914879999</v>
      </c>
      <c r="BN10" s="34">
        <f t="shared" si="15"/>
        <v>723.13969914879999</v>
      </c>
      <c r="BO10" s="46">
        <f t="shared" si="16"/>
        <v>723.13969914879999</v>
      </c>
      <c r="BP10" s="65">
        <f t="shared" si="17"/>
        <v>243.65836206079996</v>
      </c>
      <c r="BQ10" s="65">
        <f t="shared" si="18"/>
        <v>238.28849228800001</v>
      </c>
      <c r="BR10" s="66">
        <f t="shared" si="19"/>
        <v>241.19284479999996</v>
      </c>
      <c r="BS10" s="34">
        <v>128</v>
      </c>
      <c r="BT10" s="34">
        <v>123</v>
      </c>
      <c r="BU10" s="52">
        <v>126</v>
      </c>
      <c r="BV10" s="58">
        <f t="shared" si="20"/>
        <v>1668.2918103039997</v>
      </c>
      <c r="BW10" s="58">
        <f t="shared" si="21"/>
        <v>1641.44246144</v>
      </c>
      <c r="BX10" s="59">
        <f t="shared" si="22"/>
        <v>1655.9642239999998</v>
      </c>
      <c r="BY10" s="44">
        <v>8.84</v>
      </c>
      <c r="BZ10" s="44">
        <v>8.65</v>
      </c>
      <c r="CA10" s="53">
        <v>8.75</v>
      </c>
      <c r="CB10" s="58">
        <f t="shared" si="23"/>
        <v>21.996748799999995</v>
      </c>
      <c r="CC10" s="58">
        <f t="shared" si="24"/>
        <v>21.523968</v>
      </c>
      <c r="CD10" s="59">
        <f t="shared" si="25"/>
        <v>21.772799999999997</v>
      </c>
    </row>
    <row r="11" spans="1:86" ht="13.5" customHeight="1" x14ac:dyDescent="0.25">
      <c r="A11" s="36" t="s">
        <v>57</v>
      </c>
      <c r="B11" s="67" t="s">
        <v>85</v>
      </c>
      <c r="C11" s="34">
        <v>50</v>
      </c>
      <c r="D11" s="34">
        <v>0</v>
      </c>
      <c r="E11" s="52">
        <v>0</v>
      </c>
      <c r="F11" s="34">
        <v>50</v>
      </c>
      <c r="G11" s="34">
        <v>40</v>
      </c>
      <c r="H11" s="52">
        <v>40</v>
      </c>
      <c r="I11" s="34">
        <v>0</v>
      </c>
      <c r="J11" s="34">
        <v>0</v>
      </c>
      <c r="K11" s="52">
        <v>0</v>
      </c>
      <c r="L11" s="34">
        <v>0</v>
      </c>
      <c r="M11" s="34">
        <v>0</v>
      </c>
      <c r="N11" s="46">
        <v>0</v>
      </c>
      <c r="O11" s="34">
        <v>50</v>
      </c>
      <c r="P11" s="34">
        <v>0</v>
      </c>
      <c r="Q11" s="52">
        <v>10</v>
      </c>
      <c r="R11" s="34">
        <v>90</v>
      </c>
      <c r="S11" s="34">
        <v>75</v>
      </c>
      <c r="T11" s="52">
        <v>65</v>
      </c>
      <c r="U11" s="34">
        <v>0</v>
      </c>
      <c r="V11" s="34">
        <v>0</v>
      </c>
      <c r="W11" s="52">
        <v>0</v>
      </c>
      <c r="X11" s="34">
        <v>0</v>
      </c>
      <c r="Y11" s="34">
        <v>0</v>
      </c>
      <c r="Z11" s="46">
        <v>0</v>
      </c>
      <c r="AA11" s="34">
        <v>6</v>
      </c>
      <c r="AB11" s="34">
        <v>0</v>
      </c>
      <c r="AC11" s="52">
        <v>0</v>
      </c>
      <c r="AD11" s="34">
        <v>51</v>
      </c>
      <c r="AE11" s="34">
        <v>35</v>
      </c>
      <c r="AF11" s="52">
        <v>45</v>
      </c>
      <c r="AG11" s="34">
        <v>6</v>
      </c>
      <c r="AH11" s="34">
        <v>0</v>
      </c>
      <c r="AI11" s="52">
        <v>0</v>
      </c>
      <c r="AJ11" s="34">
        <v>6</v>
      </c>
      <c r="AK11" s="34">
        <v>0</v>
      </c>
      <c r="AL11" s="46">
        <v>0</v>
      </c>
      <c r="AM11" s="34">
        <v>0</v>
      </c>
      <c r="AN11" s="34">
        <v>0</v>
      </c>
      <c r="AO11" s="52">
        <v>0</v>
      </c>
      <c r="AP11" s="34">
        <v>30</v>
      </c>
      <c r="AQ11" s="34">
        <v>10</v>
      </c>
      <c r="AR11" s="52">
        <v>10</v>
      </c>
      <c r="AS11" s="34">
        <v>0</v>
      </c>
      <c r="AT11" s="34">
        <v>0</v>
      </c>
      <c r="AU11" s="52">
        <v>0</v>
      </c>
      <c r="AV11" s="34">
        <v>0</v>
      </c>
      <c r="AW11" s="34">
        <v>0</v>
      </c>
      <c r="AX11" s="46">
        <v>0</v>
      </c>
      <c r="AY11" s="34">
        <f t="shared" si="0"/>
        <v>300.38337356800002</v>
      </c>
      <c r="AZ11" s="34">
        <f t="shared" si="1"/>
        <v>253.97410160640004</v>
      </c>
      <c r="BA11" s="52">
        <f t="shared" si="2"/>
        <v>270.88731238399993</v>
      </c>
      <c r="BB11" s="34">
        <f t="shared" si="3"/>
        <v>415.38337356800002</v>
      </c>
      <c r="BC11" s="34">
        <f t="shared" si="4"/>
        <v>373.97410160640004</v>
      </c>
      <c r="BD11" s="52">
        <f t="shared" si="5"/>
        <v>380.88731238399993</v>
      </c>
      <c r="BE11" s="34">
        <f t="shared" si="6"/>
        <v>250.383373568</v>
      </c>
      <c r="BF11" s="34">
        <f t="shared" si="7"/>
        <v>253.97410160640004</v>
      </c>
      <c r="BG11" s="52">
        <f t="shared" si="8"/>
        <v>260.88731238399993</v>
      </c>
      <c r="BH11" s="34">
        <f t="shared" si="9"/>
        <v>250.383373568</v>
      </c>
      <c r="BI11" s="34">
        <f t="shared" si="10"/>
        <v>253.97410160640004</v>
      </c>
      <c r="BJ11" s="46">
        <f t="shared" si="11"/>
        <v>260.88731238399993</v>
      </c>
      <c r="BK11" s="57">
        <f t="shared" si="12"/>
        <v>3525.9791502336002</v>
      </c>
      <c r="BL11" s="34">
        <f t="shared" si="13"/>
        <v>825.24478755840005</v>
      </c>
      <c r="BM11" s="34">
        <f t="shared" si="14"/>
        <v>1170.2447875584</v>
      </c>
      <c r="BN11" s="34">
        <f t="shared" si="15"/>
        <v>765.24478755840005</v>
      </c>
      <c r="BO11" s="46">
        <f t="shared" si="16"/>
        <v>765.24478755840005</v>
      </c>
      <c r="BP11" s="65">
        <f t="shared" si="17"/>
        <v>244.383373568</v>
      </c>
      <c r="BQ11" s="65">
        <f t="shared" si="18"/>
        <v>253.97410160640004</v>
      </c>
      <c r="BR11" s="66">
        <f t="shared" si="19"/>
        <v>260.88731238399993</v>
      </c>
      <c r="BS11" s="34">
        <v>125</v>
      </c>
      <c r="BT11" s="34">
        <v>136</v>
      </c>
      <c r="BU11" s="52">
        <v>144</v>
      </c>
      <c r="BV11" s="58">
        <f t="shared" si="20"/>
        <v>1671.9168678399999</v>
      </c>
      <c r="BW11" s="58">
        <f t="shared" si="21"/>
        <v>1719.8705080320001</v>
      </c>
      <c r="BX11" s="59">
        <f t="shared" si="22"/>
        <v>1754.4365619199996</v>
      </c>
      <c r="BY11" s="44">
        <v>8.9</v>
      </c>
      <c r="BZ11" s="44">
        <v>9.2200000000000006</v>
      </c>
      <c r="CA11" s="53">
        <v>9.4499999999999993</v>
      </c>
      <c r="CB11" s="58">
        <f t="shared" si="23"/>
        <v>22.146047999999997</v>
      </c>
      <c r="CC11" s="58">
        <f t="shared" si="24"/>
        <v>22.9423104</v>
      </c>
      <c r="CD11" s="59">
        <f t="shared" si="25"/>
        <v>23.514623999999991</v>
      </c>
    </row>
    <row r="12" spans="1:86" ht="13.5" customHeight="1" x14ac:dyDescent="0.25">
      <c r="A12" s="36" t="s">
        <v>58</v>
      </c>
      <c r="B12" s="70" t="s">
        <v>171</v>
      </c>
      <c r="C12" s="34">
        <v>0</v>
      </c>
      <c r="D12" s="34">
        <v>0</v>
      </c>
      <c r="E12" s="52">
        <v>0</v>
      </c>
      <c r="F12" s="34">
        <v>0</v>
      </c>
      <c r="G12" s="34">
        <v>0</v>
      </c>
      <c r="H12" s="52">
        <v>0</v>
      </c>
      <c r="I12" s="34">
        <v>0</v>
      </c>
      <c r="J12" s="34">
        <v>0</v>
      </c>
      <c r="K12" s="52">
        <v>0</v>
      </c>
      <c r="L12" s="34">
        <v>50</v>
      </c>
      <c r="M12" s="34">
        <v>40</v>
      </c>
      <c r="N12" s="46">
        <v>40</v>
      </c>
      <c r="O12" s="34">
        <v>0</v>
      </c>
      <c r="P12" s="34">
        <v>0</v>
      </c>
      <c r="Q12" s="52">
        <v>0</v>
      </c>
      <c r="R12" s="34">
        <v>0</v>
      </c>
      <c r="S12" s="34">
        <v>0</v>
      </c>
      <c r="T12" s="52">
        <v>0</v>
      </c>
      <c r="U12" s="34">
        <v>0</v>
      </c>
      <c r="V12" s="34">
        <v>0</v>
      </c>
      <c r="W12" s="52">
        <v>0</v>
      </c>
      <c r="X12" s="34">
        <v>125</v>
      </c>
      <c r="Y12" s="34">
        <v>95</v>
      </c>
      <c r="Z12" s="46">
        <v>80</v>
      </c>
      <c r="AA12" s="34">
        <v>0</v>
      </c>
      <c r="AB12" s="34">
        <v>0</v>
      </c>
      <c r="AC12" s="52">
        <v>0</v>
      </c>
      <c r="AD12" s="34">
        <v>0</v>
      </c>
      <c r="AE12" s="34">
        <v>0</v>
      </c>
      <c r="AF12" s="52">
        <v>0</v>
      </c>
      <c r="AG12" s="34">
        <v>10</v>
      </c>
      <c r="AH12" s="34">
        <v>30</v>
      </c>
      <c r="AI12" s="52">
        <v>30</v>
      </c>
      <c r="AJ12" s="34">
        <v>75</v>
      </c>
      <c r="AK12" s="34">
        <v>40</v>
      </c>
      <c r="AL12" s="46">
        <v>50</v>
      </c>
      <c r="AM12" s="34">
        <v>0</v>
      </c>
      <c r="AN12" s="34">
        <v>0</v>
      </c>
      <c r="AO12" s="52">
        <v>0</v>
      </c>
      <c r="AP12" s="34">
        <v>0</v>
      </c>
      <c r="AQ12" s="34">
        <v>0</v>
      </c>
      <c r="AR12" s="52">
        <v>0</v>
      </c>
      <c r="AS12" s="34">
        <v>0</v>
      </c>
      <c r="AT12" s="34">
        <v>0</v>
      </c>
      <c r="AU12" s="52">
        <v>0</v>
      </c>
      <c r="AV12" s="34">
        <v>10</v>
      </c>
      <c r="AW12" s="34">
        <v>5</v>
      </c>
      <c r="AX12" s="46">
        <v>10</v>
      </c>
      <c r="AY12" s="34">
        <f t="shared" si="0"/>
        <v>251.28174909439997</v>
      </c>
      <c r="AZ12" s="34">
        <f t="shared" si="1"/>
        <v>243.20469155839996</v>
      </c>
      <c r="BA12" s="52">
        <f t="shared" si="2"/>
        <v>245.20170306559996</v>
      </c>
      <c r="BB12" s="34">
        <f t="shared" si="3"/>
        <v>251.28174909439997</v>
      </c>
      <c r="BC12" s="34">
        <f t="shared" si="4"/>
        <v>243.20469155839996</v>
      </c>
      <c r="BD12" s="52">
        <f t="shared" si="5"/>
        <v>245.20170306559996</v>
      </c>
      <c r="BE12" s="34">
        <f t="shared" si="6"/>
        <v>261.28174909439997</v>
      </c>
      <c r="BF12" s="34">
        <f t="shared" si="7"/>
        <v>273.20469155839999</v>
      </c>
      <c r="BG12" s="52">
        <f t="shared" si="8"/>
        <v>275.20170306559999</v>
      </c>
      <c r="BH12" s="34">
        <f t="shared" si="9"/>
        <v>461.28174909439997</v>
      </c>
      <c r="BI12" s="34">
        <f t="shared" si="10"/>
        <v>383.20469155839999</v>
      </c>
      <c r="BJ12" s="46">
        <f t="shared" si="11"/>
        <v>385.20170306559999</v>
      </c>
      <c r="BK12" s="57">
        <f t="shared" si="12"/>
        <v>3518.7525748735998</v>
      </c>
      <c r="BL12" s="34">
        <f t="shared" si="13"/>
        <v>739.68814371839994</v>
      </c>
      <c r="BM12" s="34">
        <f t="shared" si="14"/>
        <v>739.68814371839994</v>
      </c>
      <c r="BN12" s="34">
        <f t="shared" si="15"/>
        <v>809.68814371839994</v>
      </c>
      <c r="BO12" s="46">
        <f t="shared" si="16"/>
        <v>1229.6881437183999</v>
      </c>
      <c r="BP12" s="65">
        <f t="shared" si="17"/>
        <v>251.28174909439997</v>
      </c>
      <c r="BQ12" s="65">
        <f t="shared" si="18"/>
        <v>243.20469155839996</v>
      </c>
      <c r="BR12" s="66">
        <f t="shared" si="19"/>
        <v>245.20170306559996</v>
      </c>
      <c r="BS12" s="34">
        <v>134</v>
      </c>
      <c r="BT12" s="34">
        <v>128</v>
      </c>
      <c r="BU12" s="52">
        <v>131</v>
      </c>
      <c r="BV12" s="58">
        <f t="shared" si="20"/>
        <v>1706.4087454719997</v>
      </c>
      <c r="BW12" s="58">
        <f t="shared" si="21"/>
        <v>1666.0234577919998</v>
      </c>
      <c r="BX12" s="59">
        <f t="shared" si="22"/>
        <v>1676.0085153279997</v>
      </c>
      <c r="BY12" s="44">
        <v>9.1199999999999992</v>
      </c>
      <c r="BZ12" s="44">
        <v>8.82</v>
      </c>
      <c r="CA12" s="53">
        <v>8.8800000000000008</v>
      </c>
      <c r="CB12" s="58">
        <f t="shared" si="23"/>
        <v>22.693478399999993</v>
      </c>
      <c r="CC12" s="58">
        <f t="shared" si="24"/>
        <v>21.946982399999996</v>
      </c>
      <c r="CD12" s="59">
        <f t="shared" si="25"/>
        <v>22.096281599999998</v>
      </c>
    </row>
    <row r="13" spans="1:86" ht="13.5" customHeight="1" x14ac:dyDescent="0.25">
      <c r="A13" s="36" t="s">
        <v>59</v>
      </c>
      <c r="B13" s="70" t="s">
        <v>326</v>
      </c>
      <c r="C13" s="34">
        <v>0</v>
      </c>
      <c r="D13" s="34">
        <v>0</v>
      </c>
      <c r="E13" s="52">
        <v>0</v>
      </c>
      <c r="F13" s="34">
        <v>0</v>
      </c>
      <c r="G13" s="34">
        <v>0</v>
      </c>
      <c r="H13" s="52">
        <v>0</v>
      </c>
      <c r="I13" s="34">
        <v>0</v>
      </c>
      <c r="J13" s="34">
        <v>40</v>
      </c>
      <c r="K13" s="52">
        <v>0</v>
      </c>
      <c r="L13" s="34">
        <v>50</v>
      </c>
      <c r="M13" s="34">
        <v>40</v>
      </c>
      <c r="N13" s="46">
        <v>50</v>
      </c>
      <c r="O13" s="34">
        <v>0</v>
      </c>
      <c r="P13" s="34">
        <v>0</v>
      </c>
      <c r="Q13" s="52">
        <v>0</v>
      </c>
      <c r="R13" s="34">
        <v>0</v>
      </c>
      <c r="S13" s="34">
        <v>0</v>
      </c>
      <c r="T13" s="52">
        <v>0</v>
      </c>
      <c r="U13" s="34">
        <v>15</v>
      </c>
      <c r="V13" s="34">
        <v>80</v>
      </c>
      <c r="W13" s="52">
        <v>25</v>
      </c>
      <c r="X13" s="34">
        <v>120</v>
      </c>
      <c r="Y13" s="34">
        <v>80</v>
      </c>
      <c r="Z13" s="46">
        <v>110</v>
      </c>
      <c r="AA13" s="34">
        <v>0</v>
      </c>
      <c r="AB13" s="34">
        <v>0</v>
      </c>
      <c r="AC13" s="52">
        <v>0</v>
      </c>
      <c r="AD13" s="34">
        <v>0</v>
      </c>
      <c r="AE13" s="34">
        <v>0</v>
      </c>
      <c r="AF13" s="52">
        <v>0</v>
      </c>
      <c r="AG13" s="34">
        <v>0</v>
      </c>
      <c r="AH13" s="34">
        <v>0</v>
      </c>
      <c r="AI13" s="52">
        <v>0</v>
      </c>
      <c r="AJ13" s="34">
        <v>65</v>
      </c>
      <c r="AK13" s="34">
        <v>55</v>
      </c>
      <c r="AL13" s="46">
        <v>45</v>
      </c>
      <c r="AM13" s="34">
        <v>0</v>
      </c>
      <c r="AN13" s="34">
        <v>0</v>
      </c>
      <c r="AO13" s="52">
        <v>0</v>
      </c>
      <c r="AP13" s="34">
        <v>0</v>
      </c>
      <c r="AQ13" s="34">
        <v>0</v>
      </c>
      <c r="AR13" s="52">
        <v>0</v>
      </c>
      <c r="AS13" s="34">
        <v>0</v>
      </c>
      <c r="AT13" s="34">
        <v>0</v>
      </c>
      <c r="AU13" s="52">
        <v>0</v>
      </c>
      <c r="AV13" s="34">
        <v>10</v>
      </c>
      <c r="AW13" s="34">
        <v>10</v>
      </c>
      <c r="AX13" s="46">
        <v>10</v>
      </c>
      <c r="AY13" s="34">
        <f t="shared" si="0"/>
        <v>245.41370306559995</v>
      </c>
      <c r="AZ13" s="34">
        <f t="shared" si="1"/>
        <v>238.48565703679998</v>
      </c>
      <c r="BA13" s="52">
        <f t="shared" si="2"/>
        <v>236.98682178559994</v>
      </c>
      <c r="BB13" s="34">
        <f t="shared" si="3"/>
        <v>245.41370306559995</v>
      </c>
      <c r="BC13" s="34">
        <f t="shared" si="4"/>
        <v>238.48565703679998</v>
      </c>
      <c r="BD13" s="52">
        <f t="shared" si="5"/>
        <v>236.98682178559994</v>
      </c>
      <c r="BE13" s="34">
        <f t="shared" si="6"/>
        <v>260.41370306559998</v>
      </c>
      <c r="BF13" s="34">
        <f t="shared" si="7"/>
        <v>318.48565703679998</v>
      </c>
      <c r="BG13" s="52">
        <f t="shared" si="8"/>
        <v>261.98682178559994</v>
      </c>
      <c r="BH13" s="34">
        <f t="shared" si="9"/>
        <v>440.41370306559998</v>
      </c>
      <c r="BI13" s="34">
        <f t="shared" si="10"/>
        <v>383.48565703679998</v>
      </c>
      <c r="BJ13" s="46">
        <f t="shared" si="11"/>
        <v>401.98682178559994</v>
      </c>
      <c r="BK13" s="57">
        <f t="shared" si="12"/>
        <v>3508.5447275519991</v>
      </c>
      <c r="BL13" s="34">
        <f t="shared" si="13"/>
        <v>720.88618188799978</v>
      </c>
      <c r="BM13" s="34">
        <f t="shared" si="14"/>
        <v>720.88618188799978</v>
      </c>
      <c r="BN13" s="34">
        <f t="shared" si="15"/>
        <v>840.88618188799978</v>
      </c>
      <c r="BO13" s="46">
        <f t="shared" si="16"/>
        <v>1225.8861818879998</v>
      </c>
      <c r="BP13" s="65">
        <f t="shared" si="17"/>
        <v>245.41370306559995</v>
      </c>
      <c r="BQ13" s="65">
        <f t="shared" si="18"/>
        <v>238.48565703679998</v>
      </c>
      <c r="BR13" s="66">
        <f t="shared" si="19"/>
        <v>236.98682178559994</v>
      </c>
      <c r="BS13" s="34">
        <v>132</v>
      </c>
      <c r="BT13" s="34">
        <v>125</v>
      </c>
      <c r="BU13" s="52">
        <v>119</v>
      </c>
      <c r="BV13" s="58">
        <f t="shared" si="20"/>
        <v>1677.0685153279996</v>
      </c>
      <c r="BW13" s="58">
        <f t="shared" si="21"/>
        <v>1642.4282851839998</v>
      </c>
      <c r="BX13" s="59">
        <f t="shared" si="22"/>
        <v>1634.9341089279997</v>
      </c>
      <c r="BY13" s="44">
        <v>8.8800000000000008</v>
      </c>
      <c r="BZ13" s="44">
        <v>8.64</v>
      </c>
      <c r="CA13" s="53">
        <v>8.6300000000000008</v>
      </c>
      <c r="CB13" s="58">
        <f t="shared" si="23"/>
        <v>22.096281599999998</v>
      </c>
      <c r="CC13" s="58">
        <f t="shared" si="24"/>
        <v>21.499084799999995</v>
      </c>
      <c r="CD13" s="59">
        <f t="shared" si="25"/>
        <v>21.474201599999997</v>
      </c>
    </row>
    <row r="14" spans="1:86" ht="13.5" customHeight="1" x14ac:dyDescent="0.25">
      <c r="A14" s="36" t="s">
        <v>60</v>
      </c>
      <c r="B14" s="70" t="s">
        <v>84</v>
      </c>
      <c r="C14" s="34">
        <v>0</v>
      </c>
      <c r="D14" s="34">
        <v>40</v>
      </c>
      <c r="E14" s="52">
        <v>0</v>
      </c>
      <c r="F14" s="34">
        <v>50</v>
      </c>
      <c r="G14" s="34">
        <v>40</v>
      </c>
      <c r="H14" s="52">
        <v>50</v>
      </c>
      <c r="I14" s="34">
        <v>0</v>
      </c>
      <c r="J14" s="34">
        <v>0</v>
      </c>
      <c r="K14" s="52">
        <v>0</v>
      </c>
      <c r="L14" s="34">
        <v>0</v>
      </c>
      <c r="M14" s="34">
        <v>0</v>
      </c>
      <c r="N14" s="46">
        <v>0</v>
      </c>
      <c r="O14" s="34">
        <v>10</v>
      </c>
      <c r="P14" s="34">
        <v>50</v>
      </c>
      <c r="Q14" s="52">
        <v>20</v>
      </c>
      <c r="R14" s="34">
        <v>115</v>
      </c>
      <c r="S14" s="34">
        <v>50</v>
      </c>
      <c r="T14" s="52">
        <v>80</v>
      </c>
      <c r="U14" s="34">
        <v>0</v>
      </c>
      <c r="V14" s="34">
        <v>0</v>
      </c>
      <c r="W14" s="52">
        <v>0</v>
      </c>
      <c r="X14" s="34">
        <v>0</v>
      </c>
      <c r="Y14" s="34">
        <v>0</v>
      </c>
      <c r="Z14" s="46">
        <v>0</v>
      </c>
      <c r="AA14" s="34">
        <v>16</v>
      </c>
      <c r="AB14" s="34">
        <v>35</v>
      </c>
      <c r="AC14" s="52">
        <v>35</v>
      </c>
      <c r="AD14" s="34">
        <v>66</v>
      </c>
      <c r="AE14" s="34">
        <v>45</v>
      </c>
      <c r="AF14" s="52">
        <v>35</v>
      </c>
      <c r="AG14" s="34">
        <v>6</v>
      </c>
      <c r="AH14" s="34">
        <v>0</v>
      </c>
      <c r="AI14" s="52">
        <v>0</v>
      </c>
      <c r="AJ14" s="34">
        <v>6</v>
      </c>
      <c r="AK14" s="34">
        <v>0</v>
      </c>
      <c r="AL14" s="46">
        <v>0</v>
      </c>
      <c r="AM14" s="34">
        <v>0</v>
      </c>
      <c r="AN14" s="34">
        <v>0</v>
      </c>
      <c r="AO14" s="52">
        <v>0</v>
      </c>
      <c r="AP14" s="34">
        <v>10</v>
      </c>
      <c r="AQ14" s="34">
        <v>10</v>
      </c>
      <c r="AR14" s="52">
        <v>15</v>
      </c>
      <c r="AS14" s="34">
        <v>0</v>
      </c>
      <c r="AT14" s="34">
        <v>0</v>
      </c>
      <c r="AU14" s="52">
        <v>0</v>
      </c>
      <c r="AV14" s="34">
        <v>0</v>
      </c>
      <c r="AW14" s="34">
        <v>0</v>
      </c>
      <c r="AX14" s="46">
        <v>0</v>
      </c>
      <c r="AY14" s="34">
        <f t="shared" si="0"/>
        <v>266.55684480000002</v>
      </c>
      <c r="AZ14" s="34">
        <f t="shared" si="1"/>
        <v>319.68879877120003</v>
      </c>
      <c r="BA14" s="52">
        <f t="shared" si="2"/>
        <v>304.95040808959993</v>
      </c>
      <c r="BB14" s="34">
        <f t="shared" si="3"/>
        <v>431.55684480000002</v>
      </c>
      <c r="BC14" s="34">
        <f t="shared" si="4"/>
        <v>339.68879877120003</v>
      </c>
      <c r="BD14" s="52">
        <f t="shared" si="5"/>
        <v>379.95040808959993</v>
      </c>
      <c r="BE14" s="34">
        <f t="shared" si="6"/>
        <v>246.55684479999999</v>
      </c>
      <c r="BF14" s="34">
        <f t="shared" si="7"/>
        <v>234.6887987712</v>
      </c>
      <c r="BG14" s="52">
        <f t="shared" si="8"/>
        <v>249.95040808959993</v>
      </c>
      <c r="BH14" s="34">
        <f t="shared" si="9"/>
        <v>246.55684479999999</v>
      </c>
      <c r="BI14" s="34">
        <f t="shared" si="10"/>
        <v>234.6887987712</v>
      </c>
      <c r="BJ14" s="46">
        <f t="shared" si="11"/>
        <v>249.95040808959993</v>
      </c>
      <c r="BK14" s="57">
        <f t="shared" si="12"/>
        <v>3504.7842066431995</v>
      </c>
      <c r="BL14" s="34">
        <f t="shared" si="13"/>
        <v>891.19605166079998</v>
      </c>
      <c r="BM14" s="34">
        <f t="shared" si="14"/>
        <v>1151.1960516608001</v>
      </c>
      <c r="BN14" s="34">
        <f t="shared" si="15"/>
        <v>731.19605166079987</v>
      </c>
      <c r="BO14" s="46">
        <f t="shared" si="16"/>
        <v>731.19605166079987</v>
      </c>
      <c r="BP14" s="65">
        <f t="shared" si="17"/>
        <v>240.55684479999999</v>
      </c>
      <c r="BQ14" s="65">
        <f t="shared" si="18"/>
        <v>234.6887987712</v>
      </c>
      <c r="BR14" s="66">
        <f t="shared" si="19"/>
        <v>249.95040808959993</v>
      </c>
      <c r="BS14" s="34">
        <v>123</v>
      </c>
      <c r="BT14" s="34">
        <v>121</v>
      </c>
      <c r="BU14" s="52">
        <v>132</v>
      </c>
      <c r="BV14" s="58">
        <f t="shared" si="20"/>
        <v>1652.784224</v>
      </c>
      <c r="BW14" s="58">
        <f t="shared" si="21"/>
        <v>1623.4439938559999</v>
      </c>
      <c r="BX14" s="59">
        <f t="shared" si="22"/>
        <v>1699.7520404479997</v>
      </c>
      <c r="BY14" s="44">
        <v>8.75</v>
      </c>
      <c r="BZ14" s="44">
        <v>8.51</v>
      </c>
      <c r="CA14" s="53">
        <v>9.08</v>
      </c>
      <c r="CB14" s="58">
        <f t="shared" si="23"/>
        <v>21.772799999999997</v>
      </c>
      <c r="CC14" s="58">
        <f t="shared" si="24"/>
        <v>21.175603199999998</v>
      </c>
      <c r="CD14" s="59">
        <f t="shared" si="25"/>
        <v>22.593945599999994</v>
      </c>
    </row>
    <row r="15" spans="1:86" ht="13.5" customHeight="1" x14ac:dyDescent="0.25">
      <c r="A15" s="36" t="s">
        <v>61</v>
      </c>
      <c r="B15" s="71" t="s">
        <v>153</v>
      </c>
      <c r="C15" s="34">
        <v>0</v>
      </c>
      <c r="D15" s="34">
        <v>0</v>
      </c>
      <c r="E15" s="52">
        <v>0</v>
      </c>
      <c r="F15" s="34">
        <v>0</v>
      </c>
      <c r="G15" s="34">
        <v>0</v>
      </c>
      <c r="H15" s="52">
        <v>0</v>
      </c>
      <c r="I15" s="34">
        <v>45</v>
      </c>
      <c r="J15" s="34">
        <v>35</v>
      </c>
      <c r="K15" s="52">
        <v>35</v>
      </c>
      <c r="L15" s="34">
        <v>0</v>
      </c>
      <c r="M15" s="34">
        <v>35</v>
      </c>
      <c r="N15" s="46">
        <v>35</v>
      </c>
      <c r="O15" s="34">
        <v>0</v>
      </c>
      <c r="P15" s="34">
        <v>0</v>
      </c>
      <c r="Q15" s="52">
        <v>0</v>
      </c>
      <c r="R15" s="34">
        <v>0</v>
      </c>
      <c r="S15" s="34">
        <v>0</v>
      </c>
      <c r="T15" s="52">
        <v>0</v>
      </c>
      <c r="U15" s="34">
        <v>90</v>
      </c>
      <c r="V15" s="34">
        <v>75</v>
      </c>
      <c r="W15" s="52">
        <v>85</v>
      </c>
      <c r="X15" s="34">
        <v>5</v>
      </c>
      <c r="Y15" s="34">
        <v>35</v>
      </c>
      <c r="Z15" s="46">
        <v>45</v>
      </c>
      <c r="AA15" s="34">
        <v>0</v>
      </c>
      <c r="AB15" s="34">
        <v>0</v>
      </c>
      <c r="AC15" s="52">
        <v>0</v>
      </c>
      <c r="AD15" s="34">
        <v>0</v>
      </c>
      <c r="AE15" s="34">
        <v>0</v>
      </c>
      <c r="AF15" s="52">
        <v>0</v>
      </c>
      <c r="AG15" s="34">
        <v>55</v>
      </c>
      <c r="AH15" s="34">
        <v>50</v>
      </c>
      <c r="AI15" s="52">
        <v>50</v>
      </c>
      <c r="AJ15" s="34">
        <v>10</v>
      </c>
      <c r="AK15" s="34">
        <v>30</v>
      </c>
      <c r="AL15" s="46">
        <v>30</v>
      </c>
      <c r="AM15" s="34">
        <v>0</v>
      </c>
      <c r="AN15" s="34">
        <v>0</v>
      </c>
      <c r="AO15" s="52">
        <v>0</v>
      </c>
      <c r="AP15" s="34">
        <v>0</v>
      </c>
      <c r="AQ15" s="34">
        <v>0</v>
      </c>
      <c r="AR15" s="52">
        <v>0</v>
      </c>
      <c r="AS15" s="34">
        <v>5</v>
      </c>
      <c r="AT15" s="34">
        <v>10</v>
      </c>
      <c r="AU15" s="52">
        <v>10</v>
      </c>
      <c r="AV15" s="34">
        <v>0</v>
      </c>
      <c r="AW15" s="34">
        <v>0</v>
      </c>
      <c r="AX15" s="46">
        <v>0</v>
      </c>
      <c r="AY15" s="34">
        <f t="shared" si="0"/>
        <v>244.14170306559996</v>
      </c>
      <c r="AZ15" s="34">
        <f t="shared" si="1"/>
        <v>239.22550379519998</v>
      </c>
      <c r="BA15" s="52">
        <f t="shared" si="2"/>
        <v>246.12387932160001</v>
      </c>
      <c r="BB15" s="34">
        <f t="shared" si="3"/>
        <v>244.14170306559996</v>
      </c>
      <c r="BC15" s="34">
        <f t="shared" si="4"/>
        <v>239.22550379519998</v>
      </c>
      <c r="BD15" s="52">
        <f t="shared" si="5"/>
        <v>246.12387932160001</v>
      </c>
      <c r="BE15" s="34">
        <f t="shared" si="6"/>
        <v>394.14170306559993</v>
      </c>
      <c r="BF15" s="34">
        <f t="shared" si="7"/>
        <v>374.22550379519998</v>
      </c>
      <c r="BG15" s="52">
        <f t="shared" si="8"/>
        <v>391.12387932160004</v>
      </c>
      <c r="BH15" s="34">
        <f t="shared" si="9"/>
        <v>259.14170306559993</v>
      </c>
      <c r="BI15" s="34">
        <f t="shared" si="10"/>
        <v>304.22550379519998</v>
      </c>
      <c r="BJ15" s="46">
        <f t="shared" si="11"/>
        <v>321.12387932160004</v>
      </c>
      <c r="BK15" s="57">
        <f t="shared" si="12"/>
        <v>3502.9643447296003</v>
      </c>
      <c r="BL15" s="34">
        <f t="shared" si="13"/>
        <v>729.49108618239995</v>
      </c>
      <c r="BM15" s="34">
        <f t="shared" si="14"/>
        <v>729.49108618239995</v>
      </c>
      <c r="BN15" s="34">
        <f t="shared" si="15"/>
        <v>1159.4910861824001</v>
      </c>
      <c r="BO15" s="46">
        <f t="shared" si="16"/>
        <v>884.49108618239995</v>
      </c>
      <c r="BP15" s="65">
        <f t="shared" si="17"/>
        <v>244.14170306559996</v>
      </c>
      <c r="BQ15" s="65">
        <f t="shared" si="18"/>
        <v>239.22550379519998</v>
      </c>
      <c r="BR15" s="66">
        <f t="shared" si="19"/>
        <v>246.12387932160001</v>
      </c>
      <c r="BS15" s="34">
        <v>126</v>
      </c>
      <c r="BT15" s="34">
        <v>121</v>
      </c>
      <c r="BU15" s="52">
        <v>130</v>
      </c>
      <c r="BV15" s="58">
        <f t="shared" si="20"/>
        <v>1670.7085153279997</v>
      </c>
      <c r="BW15" s="58">
        <f t="shared" si="21"/>
        <v>1646.1275189759999</v>
      </c>
      <c r="BX15" s="59">
        <f t="shared" si="22"/>
        <v>1680.619396608</v>
      </c>
      <c r="BY15" s="44">
        <v>8.8800000000000008</v>
      </c>
      <c r="BZ15" s="44">
        <v>8.7100000000000009</v>
      </c>
      <c r="CA15" s="53">
        <v>8.93</v>
      </c>
      <c r="CB15" s="58">
        <f t="shared" si="23"/>
        <v>22.096281599999998</v>
      </c>
      <c r="CC15" s="58">
        <f t="shared" si="24"/>
        <v>21.673267199999994</v>
      </c>
      <c r="CD15" s="59">
        <f t="shared" si="25"/>
        <v>22.220697599999998</v>
      </c>
    </row>
    <row r="16" spans="1:86" ht="13.5" customHeight="1" x14ac:dyDescent="0.25">
      <c r="A16" s="36" t="s">
        <v>62</v>
      </c>
      <c r="B16" s="62" t="s">
        <v>653</v>
      </c>
      <c r="C16" s="34">
        <v>0</v>
      </c>
      <c r="D16" s="34">
        <v>0</v>
      </c>
      <c r="E16" s="52">
        <v>0</v>
      </c>
      <c r="F16" s="34">
        <v>0</v>
      </c>
      <c r="G16" s="34">
        <v>0</v>
      </c>
      <c r="H16" s="52">
        <v>0</v>
      </c>
      <c r="I16" s="34">
        <v>55</v>
      </c>
      <c r="J16" s="34">
        <v>55</v>
      </c>
      <c r="K16" s="50">
        <v>40</v>
      </c>
      <c r="L16" s="41">
        <v>0</v>
      </c>
      <c r="M16" s="41">
        <v>0</v>
      </c>
      <c r="N16" s="48">
        <v>0</v>
      </c>
      <c r="O16" s="41">
        <v>0</v>
      </c>
      <c r="P16" s="41">
        <v>0</v>
      </c>
      <c r="Q16" s="50">
        <v>0</v>
      </c>
      <c r="R16" s="41">
        <v>0</v>
      </c>
      <c r="S16" s="41">
        <v>0</v>
      </c>
      <c r="T16" s="50">
        <v>0</v>
      </c>
      <c r="U16" s="41">
        <v>120</v>
      </c>
      <c r="V16" s="41">
        <v>105</v>
      </c>
      <c r="W16" s="50">
        <v>85</v>
      </c>
      <c r="X16" s="41">
        <v>15</v>
      </c>
      <c r="Y16" s="41">
        <v>25</v>
      </c>
      <c r="Z16" s="48">
        <v>5</v>
      </c>
      <c r="AA16" s="41">
        <v>0</v>
      </c>
      <c r="AB16" s="41">
        <v>0</v>
      </c>
      <c r="AC16" s="50">
        <v>0</v>
      </c>
      <c r="AD16" s="41">
        <v>0</v>
      </c>
      <c r="AE16" s="41">
        <v>0</v>
      </c>
      <c r="AF16" s="50">
        <v>0</v>
      </c>
      <c r="AG16" s="41">
        <v>85</v>
      </c>
      <c r="AH16" s="41">
        <v>10</v>
      </c>
      <c r="AI16" s="50">
        <v>55</v>
      </c>
      <c r="AJ16" s="41">
        <v>10</v>
      </c>
      <c r="AK16" s="41">
        <v>0</v>
      </c>
      <c r="AL16" s="48">
        <v>35</v>
      </c>
      <c r="AM16" s="41">
        <v>0</v>
      </c>
      <c r="AN16" s="41">
        <v>0</v>
      </c>
      <c r="AO16" s="50">
        <v>0</v>
      </c>
      <c r="AP16" s="41">
        <v>0</v>
      </c>
      <c r="AQ16" s="41">
        <v>0</v>
      </c>
      <c r="AR16" s="50">
        <v>0</v>
      </c>
      <c r="AS16" s="41">
        <v>23</v>
      </c>
      <c r="AT16" s="41">
        <v>15</v>
      </c>
      <c r="AU16" s="50">
        <v>10</v>
      </c>
      <c r="AV16" s="41">
        <v>0</v>
      </c>
      <c r="AW16" s="41">
        <v>0</v>
      </c>
      <c r="AX16" s="48">
        <v>0</v>
      </c>
      <c r="AY16" s="41">
        <f t="shared" si="0"/>
        <v>244.98970306559997</v>
      </c>
      <c r="AZ16" s="41">
        <f t="shared" si="1"/>
        <v>239.59016279040003</v>
      </c>
      <c r="BA16" s="50">
        <f t="shared" si="2"/>
        <v>240.75400954879998</v>
      </c>
      <c r="BB16" s="41">
        <f t="shared" si="3"/>
        <v>244.98970306559997</v>
      </c>
      <c r="BC16" s="41">
        <f t="shared" si="4"/>
        <v>239.59016279040003</v>
      </c>
      <c r="BD16" s="50">
        <f t="shared" si="5"/>
        <v>240.75400954879998</v>
      </c>
      <c r="BE16" s="41">
        <f t="shared" si="6"/>
        <v>472.9897030656</v>
      </c>
      <c r="BF16" s="41">
        <f t="shared" si="7"/>
        <v>369.59016279040003</v>
      </c>
      <c r="BG16" s="50">
        <f t="shared" si="8"/>
        <v>390.75400954880001</v>
      </c>
      <c r="BH16" s="41">
        <f t="shared" si="9"/>
        <v>269.9897030656</v>
      </c>
      <c r="BI16" s="41">
        <f t="shared" si="10"/>
        <v>264.59016279040003</v>
      </c>
      <c r="BJ16" s="48">
        <f t="shared" si="11"/>
        <v>280.75400954880001</v>
      </c>
      <c r="BK16" s="56">
        <f t="shared" si="12"/>
        <v>3499.3355016191999</v>
      </c>
      <c r="BL16" s="41">
        <f t="shared" si="13"/>
        <v>725.33387540479998</v>
      </c>
      <c r="BM16" s="41">
        <f t="shared" si="14"/>
        <v>725.33387540479998</v>
      </c>
      <c r="BN16" s="41">
        <f t="shared" si="15"/>
        <v>1233.3338754048</v>
      </c>
      <c r="BO16" s="46">
        <f t="shared" si="16"/>
        <v>815.33387540479998</v>
      </c>
      <c r="BP16" s="95">
        <f t="shared" si="17"/>
        <v>244.98970306559997</v>
      </c>
      <c r="BQ16" s="95">
        <f t="shared" si="18"/>
        <v>239.59016279040003</v>
      </c>
      <c r="BR16" s="96">
        <f t="shared" si="19"/>
        <v>240.75400954879998</v>
      </c>
      <c r="BS16" s="34">
        <v>130</v>
      </c>
      <c r="BT16" s="34">
        <v>127</v>
      </c>
      <c r="BU16" s="52">
        <v>125</v>
      </c>
      <c r="BV16" s="98">
        <f t="shared" si="20"/>
        <v>1674.9485153279998</v>
      </c>
      <c r="BW16" s="98">
        <f t="shared" si="21"/>
        <v>1647.9508139520001</v>
      </c>
      <c r="BX16" s="100">
        <f t="shared" si="22"/>
        <v>1653.7700477439998</v>
      </c>
      <c r="BY16" s="44">
        <v>8.8800000000000008</v>
      </c>
      <c r="BZ16" s="44">
        <v>8.67</v>
      </c>
      <c r="CA16" s="53">
        <v>8.74</v>
      </c>
      <c r="CB16" s="98">
        <f t="shared" si="23"/>
        <v>22.096281599999998</v>
      </c>
      <c r="CC16" s="98">
        <f t="shared" si="24"/>
        <v>21.573734399999999</v>
      </c>
      <c r="CD16" s="100">
        <f t="shared" si="25"/>
        <v>21.747916799999995</v>
      </c>
    </row>
    <row r="17" spans="1:82" ht="13.5" customHeight="1" x14ac:dyDescent="0.25">
      <c r="A17" s="36" t="s">
        <v>63</v>
      </c>
      <c r="B17" s="193" t="s">
        <v>665</v>
      </c>
      <c r="C17" s="34">
        <v>0</v>
      </c>
      <c r="D17" s="34">
        <v>0</v>
      </c>
      <c r="E17" s="52">
        <v>0</v>
      </c>
      <c r="F17" s="34">
        <v>0</v>
      </c>
      <c r="G17" s="34">
        <v>0</v>
      </c>
      <c r="H17" s="52">
        <v>0</v>
      </c>
      <c r="I17" s="34">
        <v>0</v>
      </c>
      <c r="J17" s="34">
        <v>0</v>
      </c>
      <c r="K17" s="50">
        <v>0</v>
      </c>
      <c r="L17" s="41">
        <v>55</v>
      </c>
      <c r="M17" s="41">
        <v>40</v>
      </c>
      <c r="N17" s="48">
        <v>55</v>
      </c>
      <c r="O17" s="41">
        <v>0</v>
      </c>
      <c r="P17" s="41">
        <v>0</v>
      </c>
      <c r="Q17" s="50">
        <v>0</v>
      </c>
      <c r="R17" s="41">
        <v>0</v>
      </c>
      <c r="S17" s="41">
        <v>0</v>
      </c>
      <c r="T17" s="50">
        <v>0</v>
      </c>
      <c r="U17" s="41">
        <v>0</v>
      </c>
      <c r="V17" s="41">
        <v>20</v>
      </c>
      <c r="W17" s="50">
        <v>20</v>
      </c>
      <c r="X17" s="41">
        <v>80</v>
      </c>
      <c r="Y17" s="41">
        <v>105</v>
      </c>
      <c r="Z17" s="48">
        <v>130</v>
      </c>
      <c r="AA17" s="41">
        <v>0</v>
      </c>
      <c r="AB17" s="41">
        <v>0</v>
      </c>
      <c r="AC17" s="50">
        <v>0</v>
      </c>
      <c r="AD17" s="41">
        <v>0</v>
      </c>
      <c r="AE17" s="41">
        <v>0</v>
      </c>
      <c r="AF17" s="50">
        <v>0</v>
      </c>
      <c r="AG17" s="41">
        <v>10</v>
      </c>
      <c r="AH17" s="41">
        <v>0</v>
      </c>
      <c r="AI17" s="50">
        <v>0</v>
      </c>
      <c r="AJ17" s="41">
        <v>75</v>
      </c>
      <c r="AK17" s="41">
        <v>60</v>
      </c>
      <c r="AL17" s="48">
        <v>60</v>
      </c>
      <c r="AM17" s="41">
        <v>0</v>
      </c>
      <c r="AN17" s="41">
        <v>0</v>
      </c>
      <c r="AO17" s="50">
        <v>0</v>
      </c>
      <c r="AP17" s="41">
        <v>0</v>
      </c>
      <c r="AQ17" s="41">
        <v>0</v>
      </c>
      <c r="AR17" s="50">
        <v>0</v>
      </c>
      <c r="AS17" s="41">
        <v>0</v>
      </c>
      <c r="AT17" s="41">
        <v>0</v>
      </c>
      <c r="AU17" s="50">
        <v>0</v>
      </c>
      <c r="AV17" s="41">
        <v>5</v>
      </c>
      <c r="AW17" s="41">
        <v>10</v>
      </c>
      <c r="AX17" s="48">
        <v>5</v>
      </c>
      <c r="AY17" s="41">
        <f t="shared" si="0"/>
        <v>244.97486781439994</v>
      </c>
      <c r="AZ17" s="41">
        <f t="shared" si="1"/>
        <v>242.56869155839999</v>
      </c>
      <c r="BA17" s="50">
        <f t="shared" si="2"/>
        <v>241.88818580479989</v>
      </c>
      <c r="BB17" s="41">
        <f t="shared" si="3"/>
        <v>244.97486781439994</v>
      </c>
      <c r="BC17" s="41">
        <f t="shared" si="4"/>
        <v>242.56869155839999</v>
      </c>
      <c r="BD17" s="50">
        <f t="shared" si="5"/>
        <v>241.88818580479989</v>
      </c>
      <c r="BE17" s="41">
        <f t="shared" si="6"/>
        <v>254.97486781439994</v>
      </c>
      <c r="BF17" s="41">
        <f t="shared" si="7"/>
        <v>262.56869155840002</v>
      </c>
      <c r="BG17" s="50">
        <f t="shared" si="8"/>
        <v>261.88818580479989</v>
      </c>
      <c r="BH17" s="41">
        <f t="shared" si="9"/>
        <v>404.97486781439994</v>
      </c>
      <c r="BI17" s="41">
        <f t="shared" si="10"/>
        <v>417.56869155840002</v>
      </c>
      <c r="BJ17" s="48">
        <f t="shared" si="11"/>
        <v>436.88818580479989</v>
      </c>
      <c r="BK17" s="56">
        <f t="shared" si="12"/>
        <v>3497.7269807103994</v>
      </c>
      <c r="BL17" s="41">
        <f t="shared" si="13"/>
        <v>729.43174517759985</v>
      </c>
      <c r="BM17" s="41">
        <f t="shared" si="14"/>
        <v>729.43174517759985</v>
      </c>
      <c r="BN17" s="41">
        <f t="shared" si="15"/>
        <v>779.43174517759985</v>
      </c>
      <c r="BO17" s="46">
        <f t="shared" si="16"/>
        <v>1259.4317451775999</v>
      </c>
      <c r="BP17" s="95">
        <f t="shared" si="17"/>
        <v>244.97486781439994</v>
      </c>
      <c r="BQ17" s="95">
        <f t="shared" si="18"/>
        <v>242.56869155839999</v>
      </c>
      <c r="BR17" s="96">
        <f t="shared" si="19"/>
        <v>241.88818580479989</v>
      </c>
      <c r="BS17" s="34">
        <v>131</v>
      </c>
      <c r="BT17" s="34">
        <v>125</v>
      </c>
      <c r="BU17" s="52">
        <v>125</v>
      </c>
      <c r="BV17" s="98">
        <f t="shared" si="20"/>
        <v>1674.8743390719997</v>
      </c>
      <c r="BW17" s="98">
        <f t="shared" si="21"/>
        <v>1662.843457792</v>
      </c>
      <c r="BX17" s="100">
        <f t="shared" si="22"/>
        <v>1659.4409290239994</v>
      </c>
      <c r="BY17" s="44">
        <v>8.8699999999999992</v>
      </c>
      <c r="BZ17" s="44">
        <v>8.82</v>
      </c>
      <c r="CA17" s="53">
        <v>8.7899999999999991</v>
      </c>
      <c r="CB17" s="98">
        <f t="shared" si="23"/>
        <v>22.071398399999993</v>
      </c>
      <c r="CC17" s="98">
        <f t="shared" si="24"/>
        <v>21.946982399999996</v>
      </c>
      <c r="CD17" s="100">
        <f t="shared" si="25"/>
        <v>21.872332799999992</v>
      </c>
    </row>
    <row r="18" spans="1:82" ht="13.5" customHeight="1" x14ac:dyDescent="0.25">
      <c r="A18" s="36" t="s">
        <v>64</v>
      </c>
      <c r="B18" s="71" t="s">
        <v>140</v>
      </c>
      <c r="C18" s="34">
        <v>0</v>
      </c>
      <c r="D18" s="34">
        <v>0</v>
      </c>
      <c r="E18" s="52">
        <v>0</v>
      </c>
      <c r="F18" s="34">
        <v>0</v>
      </c>
      <c r="G18" s="34">
        <v>0</v>
      </c>
      <c r="H18" s="52">
        <v>0</v>
      </c>
      <c r="I18" s="34">
        <v>50</v>
      </c>
      <c r="J18" s="34">
        <v>40</v>
      </c>
      <c r="K18" s="52">
        <v>40</v>
      </c>
      <c r="L18" s="34">
        <v>0</v>
      </c>
      <c r="M18" s="34">
        <v>40</v>
      </c>
      <c r="N18" s="46">
        <v>40</v>
      </c>
      <c r="O18" s="34">
        <v>0</v>
      </c>
      <c r="P18" s="34">
        <v>0</v>
      </c>
      <c r="Q18" s="52">
        <v>0</v>
      </c>
      <c r="R18" s="34">
        <v>0</v>
      </c>
      <c r="S18" s="34">
        <v>0</v>
      </c>
      <c r="T18" s="52">
        <v>0</v>
      </c>
      <c r="U18" s="34">
        <v>90</v>
      </c>
      <c r="V18" s="34">
        <v>90</v>
      </c>
      <c r="W18" s="52">
        <v>70</v>
      </c>
      <c r="X18" s="34">
        <v>0</v>
      </c>
      <c r="Y18" s="34">
        <v>40</v>
      </c>
      <c r="Z18" s="46">
        <v>40</v>
      </c>
      <c r="AA18" s="34">
        <v>0</v>
      </c>
      <c r="AB18" s="34">
        <v>0</v>
      </c>
      <c r="AC18" s="52">
        <v>0</v>
      </c>
      <c r="AD18" s="34">
        <v>0</v>
      </c>
      <c r="AE18" s="34">
        <v>0</v>
      </c>
      <c r="AF18" s="52">
        <v>0</v>
      </c>
      <c r="AG18" s="34">
        <v>60</v>
      </c>
      <c r="AH18" s="34">
        <v>50</v>
      </c>
      <c r="AI18" s="52">
        <v>40</v>
      </c>
      <c r="AJ18" s="34">
        <v>0</v>
      </c>
      <c r="AK18" s="34">
        <v>0</v>
      </c>
      <c r="AL18" s="46">
        <v>0</v>
      </c>
      <c r="AM18" s="34">
        <v>0</v>
      </c>
      <c r="AN18" s="34">
        <v>0</v>
      </c>
      <c r="AO18" s="52">
        <v>0</v>
      </c>
      <c r="AP18" s="34">
        <v>0</v>
      </c>
      <c r="AQ18" s="34">
        <v>0</v>
      </c>
      <c r="AR18" s="52">
        <v>0</v>
      </c>
      <c r="AS18" s="34">
        <v>5</v>
      </c>
      <c r="AT18" s="34">
        <v>10</v>
      </c>
      <c r="AU18" s="52">
        <v>10</v>
      </c>
      <c r="AV18" s="34">
        <v>0</v>
      </c>
      <c r="AW18" s="34">
        <v>0</v>
      </c>
      <c r="AX18" s="46">
        <v>0</v>
      </c>
      <c r="AY18" s="34">
        <f t="shared" si="0"/>
        <v>251.75025484800005</v>
      </c>
      <c r="AZ18" s="34">
        <f t="shared" si="1"/>
        <v>248.64873758719997</v>
      </c>
      <c r="BA18" s="52">
        <f t="shared" si="2"/>
        <v>247.10539658239998</v>
      </c>
      <c r="BB18" s="34">
        <f t="shared" si="3"/>
        <v>251.75025484800005</v>
      </c>
      <c r="BC18" s="34">
        <f t="shared" si="4"/>
        <v>248.64873758719997</v>
      </c>
      <c r="BD18" s="52">
        <f t="shared" si="5"/>
        <v>247.10539658239998</v>
      </c>
      <c r="BE18" s="34">
        <f t="shared" si="6"/>
        <v>406.75025484800005</v>
      </c>
      <c r="BF18" s="34">
        <f t="shared" si="7"/>
        <v>398.6487375872</v>
      </c>
      <c r="BG18" s="52">
        <f t="shared" si="8"/>
        <v>367.10539658239998</v>
      </c>
      <c r="BH18" s="34">
        <f t="shared" si="9"/>
        <v>251.75025484800005</v>
      </c>
      <c r="BI18" s="34">
        <f t="shared" si="10"/>
        <v>288.6487375872</v>
      </c>
      <c r="BJ18" s="46">
        <f t="shared" si="11"/>
        <v>287.10539658239998</v>
      </c>
      <c r="BK18" s="57">
        <f t="shared" si="12"/>
        <v>3495.0175560704001</v>
      </c>
      <c r="BL18" s="34">
        <f t="shared" si="13"/>
        <v>747.50438901760003</v>
      </c>
      <c r="BM18" s="34">
        <f t="shared" si="14"/>
        <v>747.50438901760003</v>
      </c>
      <c r="BN18" s="34">
        <f t="shared" si="15"/>
        <v>1172.5043890176</v>
      </c>
      <c r="BO18" s="46">
        <f t="shared" si="16"/>
        <v>827.50438901760003</v>
      </c>
      <c r="BP18" s="65">
        <f t="shared" si="17"/>
        <v>251.75025484800005</v>
      </c>
      <c r="BQ18" s="65">
        <f t="shared" si="18"/>
        <v>248.64873758719997</v>
      </c>
      <c r="BR18" s="66">
        <f t="shared" si="19"/>
        <v>247.10539658239998</v>
      </c>
      <c r="BS18" s="34">
        <v>133</v>
      </c>
      <c r="BT18" s="34">
        <v>128</v>
      </c>
      <c r="BU18" s="52">
        <v>125</v>
      </c>
      <c r="BV18" s="58">
        <f t="shared" si="20"/>
        <v>1708.7512742400002</v>
      </c>
      <c r="BW18" s="58">
        <f t="shared" si="21"/>
        <v>1693.2436879359998</v>
      </c>
      <c r="BX18" s="59">
        <f t="shared" si="22"/>
        <v>1685.5269829119998</v>
      </c>
      <c r="BY18" s="44">
        <v>9.15</v>
      </c>
      <c r="BZ18" s="44">
        <v>9.06</v>
      </c>
      <c r="CA18" s="53">
        <v>9.02</v>
      </c>
      <c r="CB18" s="58">
        <f t="shared" si="23"/>
        <v>22.768128000000001</v>
      </c>
      <c r="CC18" s="58">
        <f t="shared" si="24"/>
        <v>22.544179199999999</v>
      </c>
      <c r="CD18" s="59">
        <f t="shared" si="25"/>
        <v>22.444646399999996</v>
      </c>
    </row>
    <row r="19" spans="1:82" ht="13.5" customHeight="1" x14ac:dyDescent="0.25">
      <c r="A19" s="36" t="s">
        <v>65</v>
      </c>
      <c r="B19" s="70" t="s">
        <v>299</v>
      </c>
      <c r="C19" s="34">
        <v>0</v>
      </c>
      <c r="D19" s="34">
        <v>0</v>
      </c>
      <c r="E19" s="52">
        <v>0</v>
      </c>
      <c r="F19" s="34">
        <v>0</v>
      </c>
      <c r="G19" s="34">
        <v>0</v>
      </c>
      <c r="H19" s="52">
        <v>0</v>
      </c>
      <c r="I19" s="34">
        <v>0</v>
      </c>
      <c r="J19" s="34">
        <v>45</v>
      </c>
      <c r="K19" s="52">
        <v>0</v>
      </c>
      <c r="L19" s="34">
        <v>40</v>
      </c>
      <c r="M19" s="34">
        <v>45</v>
      </c>
      <c r="N19" s="46">
        <v>40</v>
      </c>
      <c r="O19" s="34">
        <v>0</v>
      </c>
      <c r="P19" s="34">
        <v>0</v>
      </c>
      <c r="Q19" s="52">
        <v>0</v>
      </c>
      <c r="R19" s="34">
        <v>0</v>
      </c>
      <c r="S19" s="34">
        <v>0</v>
      </c>
      <c r="T19" s="52">
        <v>0</v>
      </c>
      <c r="U19" s="34">
        <v>15</v>
      </c>
      <c r="V19" s="34">
        <v>55</v>
      </c>
      <c r="W19" s="52">
        <v>0</v>
      </c>
      <c r="X19" s="34">
        <v>100</v>
      </c>
      <c r="Y19" s="34">
        <v>85</v>
      </c>
      <c r="Z19" s="46">
        <v>90</v>
      </c>
      <c r="AA19" s="34">
        <v>0</v>
      </c>
      <c r="AB19" s="34">
        <v>0</v>
      </c>
      <c r="AC19" s="52">
        <v>0</v>
      </c>
      <c r="AD19" s="34">
        <v>0</v>
      </c>
      <c r="AE19" s="34">
        <v>0</v>
      </c>
      <c r="AF19" s="52">
        <v>0</v>
      </c>
      <c r="AG19" s="34">
        <v>45</v>
      </c>
      <c r="AH19" s="34">
        <v>0</v>
      </c>
      <c r="AI19" s="52">
        <v>0</v>
      </c>
      <c r="AJ19" s="34">
        <v>65</v>
      </c>
      <c r="AK19" s="34">
        <v>50</v>
      </c>
      <c r="AL19" s="46">
        <v>40</v>
      </c>
      <c r="AM19" s="34">
        <v>0</v>
      </c>
      <c r="AN19" s="34">
        <v>0</v>
      </c>
      <c r="AO19" s="52">
        <v>0</v>
      </c>
      <c r="AP19" s="34">
        <v>0</v>
      </c>
      <c r="AQ19" s="34">
        <v>0</v>
      </c>
      <c r="AR19" s="52">
        <v>0</v>
      </c>
      <c r="AS19" s="34">
        <v>0</v>
      </c>
      <c r="AT19" s="34">
        <v>0</v>
      </c>
      <c r="AU19" s="52">
        <v>0</v>
      </c>
      <c r="AV19" s="34">
        <v>0</v>
      </c>
      <c r="AW19" s="34">
        <v>0</v>
      </c>
      <c r="AX19" s="46">
        <v>0</v>
      </c>
      <c r="AY19" s="34">
        <f t="shared" si="0"/>
        <v>244.27522032640002</v>
      </c>
      <c r="AZ19" s="34">
        <f t="shared" si="1"/>
        <v>242.92904407039995</v>
      </c>
      <c r="BA19" s="52">
        <f t="shared" si="2"/>
        <v>249.67476060160004</v>
      </c>
      <c r="BB19" s="34">
        <f t="shared" si="3"/>
        <v>244.27522032640002</v>
      </c>
      <c r="BC19" s="34">
        <f t="shared" si="4"/>
        <v>242.92904407039995</v>
      </c>
      <c r="BD19" s="52">
        <f t="shared" si="5"/>
        <v>249.67476060160004</v>
      </c>
      <c r="BE19" s="34">
        <f t="shared" si="6"/>
        <v>304.27522032640002</v>
      </c>
      <c r="BF19" s="34">
        <f t="shared" si="7"/>
        <v>297.92904407039998</v>
      </c>
      <c r="BG19" s="52">
        <f t="shared" si="8"/>
        <v>249.67476060160004</v>
      </c>
      <c r="BH19" s="34">
        <f t="shared" si="9"/>
        <v>409.27522032640002</v>
      </c>
      <c r="BI19" s="34">
        <f t="shared" si="10"/>
        <v>377.92904407039998</v>
      </c>
      <c r="BJ19" s="46">
        <f t="shared" si="11"/>
        <v>379.67476060160004</v>
      </c>
      <c r="BK19" s="57">
        <f t="shared" si="12"/>
        <v>3492.5160999936002</v>
      </c>
      <c r="BL19" s="34">
        <f t="shared" si="13"/>
        <v>736.87902499840004</v>
      </c>
      <c r="BM19" s="34">
        <f t="shared" si="14"/>
        <v>736.87902499840004</v>
      </c>
      <c r="BN19" s="34">
        <f t="shared" si="15"/>
        <v>851.87902499840004</v>
      </c>
      <c r="BO19" s="46">
        <f t="shared" si="16"/>
        <v>1166.8790249983999</v>
      </c>
      <c r="BP19" s="65">
        <f t="shared" si="17"/>
        <v>244.27522032640002</v>
      </c>
      <c r="BQ19" s="65">
        <f t="shared" si="18"/>
        <v>242.92904407039995</v>
      </c>
      <c r="BR19" s="66">
        <f t="shared" si="19"/>
        <v>249.67476060160004</v>
      </c>
      <c r="BS19" s="34">
        <v>117</v>
      </c>
      <c r="BT19" s="34">
        <v>116</v>
      </c>
      <c r="BU19" s="52">
        <v>120</v>
      </c>
      <c r="BV19" s="58">
        <f t="shared" si="20"/>
        <v>1671.376101632</v>
      </c>
      <c r="BW19" s="58">
        <f t="shared" si="21"/>
        <v>1664.6452203519998</v>
      </c>
      <c r="BX19" s="59">
        <f t="shared" si="22"/>
        <v>1698.3738030080001</v>
      </c>
      <c r="BY19" s="44">
        <v>8.9700000000000006</v>
      </c>
      <c r="BZ19" s="44">
        <v>8.92</v>
      </c>
      <c r="CA19" s="53">
        <v>9.18</v>
      </c>
      <c r="CB19" s="58">
        <f t="shared" si="23"/>
        <v>22.3202304</v>
      </c>
      <c r="CC19" s="58">
        <f t="shared" si="24"/>
        <v>22.195814399999993</v>
      </c>
      <c r="CD19" s="59">
        <f t="shared" si="25"/>
        <v>22.842777599999998</v>
      </c>
    </row>
    <row r="20" spans="1:82" ht="13.5" customHeight="1" x14ac:dyDescent="0.25">
      <c r="A20" s="36" t="s">
        <v>66</v>
      </c>
      <c r="B20" s="70" t="s">
        <v>631</v>
      </c>
      <c r="C20" s="34">
        <v>0</v>
      </c>
      <c r="D20" s="34">
        <v>0</v>
      </c>
      <c r="E20" s="52">
        <v>0</v>
      </c>
      <c r="F20" s="34">
        <v>0</v>
      </c>
      <c r="G20" s="34">
        <v>0</v>
      </c>
      <c r="H20" s="52">
        <v>0</v>
      </c>
      <c r="I20" s="34">
        <v>55</v>
      </c>
      <c r="J20" s="34">
        <v>0</v>
      </c>
      <c r="K20" s="52">
        <v>55</v>
      </c>
      <c r="L20" s="34">
        <v>0</v>
      </c>
      <c r="M20" s="34">
        <v>0</v>
      </c>
      <c r="N20" s="46">
        <v>0</v>
      </c>
      <c r="O20" s="34">
        <v>0</v>
      </c>
      <c r="P20" s="34">
        <v>0</v>
      </c>
      <c r="Q20" s="52">
        <v>0</v>
      </c>
      <c r="R20" s="34">
        <v>0</v>
      </c>
      <c r="S20" s="34">
        <v>0</v>
      </c>
      <c r="T20" s="52">
        <v>0</v>
      </c>
      <c r="U20" s="34">
        <v>120</v>
      </c>
      <c r="V20" s="34">
        <v>65</v>
      </c>
      <c r="W20" s="52">
        <v>85</v>
      </c>
      <c r="X20" s="34">
        <v>15</v>
      </c>
      <c r="Y20" s="34">
        <v>15</v>
      </c>
      <c r="Z20" s="46">
        <v>15</v>
      </c>
      <c r="AA20" s="34">
        <v>0</v>
      </c>
      <c r="AB20" s="34">
        <v>0</v>
      </c>
      <c r="AC20" s="52">
        <v>0</v>
      </c>
      <c r="AD20" s="34">
        <v>0</v>
      </c>
      <c r="AE20" s="34">
        <v>0</v>
      </c>
      <c r="AF20" s="52">
        <v>0</v>
      </c>
      <c r="AG20" s="34">
        <v>80</v>
      </c>
      <c r="AH20" s="34">
        <v>50</v>
      </c>
      <c r="AI20" s="52">
        <v>60</v>
      </c>
      <c r="AJ20" s="34">
        <v>10</v>
      </c>
      <c r="AK20" s="34">
        <v>0</v>
      </c>
      <c r="AL20" s="46">
        <v>0</v>
      </c>
      <c r="AM20" s="34">
        <v>0</v>
      </c>
      <c r="AN20" s="34">
        <v>0</v>
      </c>
      <c r="AO20" s="52">
        <v>0</v>
      </c>
      <c r="AP20" s="34">
        <v>0</v>
      </c>
      <c r="AQ20" s="34">
        <v>0</v>
      </c>
      <c r="AR20" s="52">
        <v>0</v>
      </c>
      <c r="AS20" s="34">
        <v>20</v>
      </c>
      <c r="AT20" s="34">
        <v>10</v>
      </c>
      <c r="AU20" s="52">
        <v>10</v>
      </c>
      <c r="AV20" s="34">
        <v>10</v>
      </c>
      <c r="AW20" s="34">
        <v>0</v>
      </c>
      <c r="AX20" s="46">
        <v>0</v>
      </c>
      <c r="AY20" s="34">
        <f t="shared" si="0"/>
        <v>241.84368005119993</v>
      </c>
      <c r="AZ20" s="34">
        <f t="shared" si="1"/>
        <v>240.52717429759997</v>
      </c>
      <c r="BA20" s="52">
        <f t="shared" si="2"/>
        <v>246.45886781439995</v>
      </c>
      <c r="BB20" s="34">
        <f t="shared" si="3"/>
        <v>241.84368005119993</v>
      </c>
      <c r="BC20" s="34">
        <f t="shared" si="4"/>
        <v>240.52717429759997</v>
      </c>
      <c r="BD20" s="52">
        <f t="shared" si="5"/>
        <v>246.45886781439995</v>
      </c>
      <c r="BE20" s="34">
        <f t="shared" si="6"/>
        <v>461.84368005119995</v>
      </c>
      <c r="BF20" s="34">
        <f t="shared" si="7"/>
        <v>365.52717429759997</v>
      </c>
      <c r="BG20" s="52">
        <f t="shared" si="8"/>
        <v>401.45886781439992</v>
      </c>
      <c r="BH20" s="34">
        <f t="shared" si="9"/>
        <v>276.84368005119995</v>
      </c>
      <c r="BI20" s="34">
        <f t="shared" si="10"/>
        <v>255.52717429759997</v>
      </c>
      <c r="BJ20" s="46">
        <f t="shared" si="11"/>
        <v>261.45886781439992</v>
      </c>
      <c r="BK20" s="57">
        <f t="shared" si="12"/>
        <v>3480.3188886527992</v>
      </c>
      <c r="BL20" s="34">
        <f t="shared" si="13"/>
        <v>728.82972216319979</v>
      </c>
      <c r="BM20" s="34">
        <f t="shared" si="14"/>
        <v>728.82972216319979</v>
      </c>
      <c r="BN20" s="34">
        <f t="shared" si="15"/>
        <v>1228.8297221631997</v>
      </c>
      <c r="BO20" s="46">
        <f t="shared" si="16"/>
        <v>793.82972216319979</v>
      </c>
      <c r="BP20" s="65">
        <f t="shared" si="17"/>
        <v>241.84368005119993</v>
      </c>
      <c r="BQ20" s="65">
        <f t="shared" si="18"/>
        <v>240.52717429759997</v>
      </c>
      <c r="BR20" s="66">
        <f t="shared" si="19"/>
        <v>246.45886781439995</v>
      </c>
      <c r="BS20" s="34">
        <v>128</v>
      </c>
      <c r="BT20" s="34">
        <v>125</v>
      </c>
      <c r="BU20" s="52">
        <v>138</v>
      </c>
      <c r="BV20" s="58">
        <f t="shared" si="20"/>
        <v>1659.2184002559995</v>
      </c>
      <c r="BW20" s="58">
        <f t="shared" si="21"/>
        <v>1652.6358714879998</v>
      </c>
      <c r="BX20" s="59">
        <f t="shared" si="22"/>
        <v>1682.2943390719997</v>
      </c>
      <c r="BY20" s="44">
        <v>8.76</v>
      </c>
      <c r="BZ20" s="44">
        <v>8.73</v>
      </c>
      <c r="CA20" s="53">
        <v>8.8699999999999992</v>
      </c>
      <c r="CB20" s="58">
        <f t="shared" si="23"/>
        <v>21.797683199999991</v>
      </c>
      <c r="CC20" s="58">
        <f t="shared" si="24"/>
        <v>21.723033599999997</v>
      </c>
      <c r="CD20" s="59">
        <f t="shared" si="25"/>
        <v>22.071398399999993</v>
      </c>
    </row>
    <row r="21" spans="1:82" ht="13.5" customHeight="1" x14ac:dyDescent="0.25">
      <c r="A21" s="36" t="s">
        <v>67</v>
      </c>
      <c r="B21" s="70" t="s">
        <v>492</v>
      </c>
      <c r="C21" s="34">
        <v>0</v>
      </c>
      <c r="D21" s="34">
        <v>0</v>
      </c>
      <c r="E21" s="52">
        <v>0</v>
      </c>
      <c r="F21" s="34">
        <v>0</v>
      </c>
      <c r="G21" s="34">
        <v>0</v>
      </c>
      <c r="H21" s="52">
        <v>0</v>
      </c>
      <c r="I21" s="34">
        <v>50</v>
      </c>
      <c r="J21" s="34">
        <v>40</v>
      </c>
      <c r="K21" s="52">
        <v>40</v>
      </c>
      <c r="L21" s="34">
        <v>0</v>
      </c>
      <c r="M21" s="34">
        <v>40</v>
      </c>
      <c r="N21" s="46">
        <v>40</v>
      </c>
      <c r="O21" s="34">
        <v>0</v>
      </c>
      <c r="P21" s="34">
        <v>0</v>
      </c>
      <c r="Q21" s="52">
        <v>0</v>
      </c>
      <c r="R21" s="34">
        <v>0</v>
      </c>
      <c r="S21" s="34">
        <v>0</v>
      </c>
      <c r="T21" s="52">
        <v>0</v>
      </c>
      <c r="U21" s="34">
        <v>120</v>
      </c>
      <c r="V21" s="34">
        <v>85</v>
      </c>
      <c r="W21" s="52">
        <v>80</v>
      </c>
      <c r="X21" s="34">
        <v>10</v>
      </c>
      <c r="Y21" s="34">
        <v>55</v>
      </c>
      <c r="Z21" s="46">
        <v>50</v>
      </c>
      <c r="AA21" s="34">
        <v>0</v>
      </c>
      <c r="AB21" s="34">
        <v>0</v>
      </c>
      <c r="AC21" s="52">
        <v>0</v>
      </c>
      <c r="AD21" s="34">
        <v>0</v>
      </c>
      <c r="AE21" s="34">
        <v>0</v>
      </c>
      <c r="AF21" s="52">
        <v>0</v>
      </c>
      <c r="AG21" s="34">
        <v>75</v>
      </c>
      <c r="AH21" s="34">
        <v>20</v>
      </c>
      <c r="AI21" s="52">
        <v>40</v>
      </c>
      <c r="AJ21" s="34">
        <v>10</v>
      </c>
      <c r="AK21" s="34">
        <v>0</v>
      </c>
      <c r="AL21" s="46">
        <v>0</v>
      </c>
      <c r="AM21" s="34">
        <v>0</v>
      </c>
      <c r="AN21" s="34">
        <v>0</v>
      </c>
      <c r="AO21" s="52">
        <v>0</v>
      </c>
      <c r="AP21" s="34">
        <v>0</v>
      </c>
      <c r="AQ21" s="34">
        <v>0</v>
      </c>
      <c r="AR21" s="52">
        <v>0</v>
      </c>
      <c r="AS21" s="34">
        <v>15</v>
      </c>
      <c r="AT21" s="34">
        <v>5</v>
      </c>
      <c r="AU21" s="52">
        <v>15</v>
      </c>
      <c r="AV21" s="34">
        <v>0</v>
      </c>
      <c r="AW21" s="34">
        <v>0</v>
      </c>
      <c r="AX21" s="46">
        <v>5</v>
      </c>
      <c r="AY21" s="34">
        <f t="shared" si="0"/>
        <v>244.5360325632</v>
      </c>
      <c r="AZ21" s="34">
        <f t="shared" si="1"/>
        <v>239.136492288</v>
      </c>
      <c r="BA21" s="52">
        <f t="shared" si="2"/>
        <v>240.08833904640002</v>
      </c>
      <c r="BB21" s="34">
        <f t="shared" si="3"/>
        <v>244.5360325632</v>
      </c>
      <c r="BC21" s="34">
        <f t="shared" si="4"/>
        <v>239.136492288</v>
      </c>
      <c r="BD21" s="52">
        <f t="shared" si="5"/>
        <v>240.08833904640002</v>
      </c>
      <c r="BE21" s="34">
        <f t="shared" si="6"/>
        <v>454.53603256320002</v>
      </c>
      <c r="BF21" s="34">
        <f t="shared" si="7"/>
        <v>349.136492288</v>
      </c>
      <c r="BG21" s="52">
        <f t="shared" si="8"/>
        <v>375.08833904640005</v>
      </c>
      <c r="BH21" s="34">
        <f t="shared" si="9"/>
        <v>264.53603256320002</v>
      </c>
      <c r="BI21" s="34">
        <f t="shared" si="10"/>
        <v>294.136492288</v>
      </c>
      <c r="BJ21" s="46">
        <f t="shared" si="11"/>
        <v>295.08833904640005</v>
      </c>
      <c r="BK21" s="57">
        <f t="shared" si="12"/>
        <v>3480.0434555904003</v>
      </c>
      <c r="BL21" s="34">
        <f t="shared" si="13"/>
        <v>723.76086389760007</v>
      </c>
      <c r="BM21" s="34">
        <f t="shared" si="14"/>
        <v>723.76086389760007</v>
      </c>
      <c r="BN21" s="34">
        <f t="shared" si="15"/>
        <v>1178.7608638976001</v>
      </c>
      <c r="BO21" s="46">
        <f t="shared" si="16"/>
        <v>853.76086389760007</v>
      </c>
      <c r="BP21" s="65">
        <f t="shared" si="17"/>
        <v>244.5360325632</v>
      </c>
      <c r="BQ21" s="65">
        <f t="shared" si="18"/>
        <v>239.136492288</v>
      </c>
      <c r="BR21" s="66">
        <f t="shared" si="19"/>
        <v>240.08833904640002</v>
      </c>
      <c r="BS21" s="34">
        <v>130</v>
      </c>
      <c r="BT21" s="34">
        <v>127</v>
      </c>
      <c r="BU21" s="52">
        <v>124</v>
      </c>
      <c r="BV21" s="58">
        <f t="shared" si="20"/>
        <v>1672.6801628159999</v>
      </c>
      <c r="BW21" s="58">
        <f t="shared" si="21"/>
        <v>1645.68246144</v>
      </c>
      <c r="BX21" s="59">
        <f t="shared" si="22"/>
        <v>1650.441695232</v>
      </c>
      <c r="BY21" s="44">
        <v>8.86</v>
      </c>
      <c r="BZ21" s="44">
        <v>8.65</v>
      </c>
      <c r="CA21" s="53">
        <v>8.7200000000000006</v>
      </c>
      <c r="CB21" s="58">
        <f t="shared" si="23"/>
        <v>22.046515199999998</v>
      </c>
      <c r="CC21" s="58">
        <f t="shared" si="24"/>
        <v>21.523968</v>
      </c>
      <c r="CD21" s="59">
        <f t="shared" si="25"/>
        <v>21.698150399999999</v>
      </c>
    </row>
    <row r="22" spans="1:82" ht="13.5" customHeight="1" x14ac:dyDescent="0.25">
      <c r="A22" s="36" t="s">
        <v>68</v>
      </c>
      <c r="B22" s="67" t="s">
        <v>678</v>
      </c>
      <c r="C22" s="34">
        <v>0</v>
      </c>
      <c r="D22" s="34">
        <v>0</v>
      </c>
      <c r="E22" s="52">
        <v>20</v>
      </c>
      <c r="F22" s="34">
        <v>0</v>
      </c>
      <c r="G22" s="34">
        <v>0</v>
      </c>
      <c r="H22" s="52">
        <v>20</v>
      </c>
      <c r="I22" s="34">
        <v>20</v>
      </c>
      <c r="J22" s="34">
        <v>0</v>
      </c>
      <c r="K22" s="52">
        <v>0</v>
      </c>
      <c r="L22" s="34">
        <v>20</v>
      </c>
      <c r="M22" s="34">
        <v>0</v>
      </c>
      <c r="N22" s="46">
        <v>0</v>
      </c>
      <c r="O22" s="34">
        <v>0</v>
      </c>
      <c r="P22" s="34">
        <v>0</v>
      </c>
      <c r="Q22" s="52">
        <v>55</v>
      </c>
      <c r="R22" s="34">
        <v>0</v>
      </c>
      <c r="S22" s="34">
        <v>0</v>
      </c>
      <c r="T22" s="52">
        <v>55</v>
      </c>
      <c r="U22" s="34">
        <v>60</v>
      </c>
      <c r="V22" s="34">
        <v>50</v>
      </c>
      <c r="W22" s="52">
        <v>0</v>
      </c>
      <c r="X22" s="34">
        <v>60</v>
      </c>
      <c r="Y22" s="34">
        <v>50</v>
      </c>
      <c r="Z22" s="46">
        <v>0</v>
      </c>
      <c r="AA22" s="34">
        <v>46</v>
      </c>
      <c r="AB22" s="34">
        <v>0</v>
      </c>
      <c r="AC22" s="52">
        <v>0</v>
      </c>
      <c r="AD22" s="34">
        <v>6</v>
      </c>
      <c r="AE22" s="34">
        <v>0</v>
      </c>
      <c r="AF22" s="52">
        <v>0</v>
      </c>
      <c r="AG22" s="34">
        <v>36</v>
      </c>
      <c r="AH22" s="34">
        <v>10</v>
      </c>
      <c r="AI22" s="52">
        <v>10</v>
      </c>
      <c r="AJ22" s="34">
        <v>36</v>
      </c>
      <c r="AK22" s="34">
        <v>10</v>
      </c>
      <c r="AL22" s="46">
        <v>0</v>
      </c>
      <c r="AM22" s="34">
        <v>0</v>
      </c>
      <c r="AN22" s="34">
        <v>30</v>
      </c>
      <c r="AO22" s="52">
        <v>0</v>
      </c>
      <c r="AP22" s="34">
        <v>0</v>
      </c>
      <c r="AQ22" s="34">
        <v>30</v>
      </c>
      <c r="AR22" s="52">
        <v>0</v>
      </c>
      <c r="AS22" s="34">
        <v>10</v>
      </c>
      <c r="AT22" s="34">
        <v>0</v>
      </c>
      <c r="AU22" s="52">
        <v>0</v>
      </c>
      <c r="AV22" s="34">
        <v>10</v>
      </c>
      <c r="AW22" s="34">
        <v>0</v>
      </c>
      <c r="AX22" s="46">
        <v>0</v>
      </c>
      <c r="AY22" s="34">
        <f t="shared" si="0"/>
        <v>288.08104407039997</v>
      </c>
      <c r="AZ22" s="34">
        <f t="shared" si="1"/>
        <v>271.38570306559996</v>
      </c>
      <c r="BA22" s="52">
        <f t="shared" si="2"/>
        <v>299.07805557759991</v>
      </c>
      <c r="BB22" s="34">
        <f t="shared" si="3"/>
        <v>248.08104407039997</v>
      </c>
      <c r="BC22" s="34">
        <f t="shared" si="4"/>
        <v>271.38570306559996</v>
      </c>
      <c r="BD22" s="52">
        <f t="shared" si="5"/>
        <v>299.07805557759991</v>
      </c>
      <c r="BE22" s="34">
        <f t="shared" si="6"/>
        <v>348.08104407039997</v>
      </c>
      <c r="BF22" s="34">
        <f t="shared" si="7"/>
        <v>301.38570306559996</v>
      </c>
      <c r="BG22" s="52">
        <f t="shared" si="8"/>
        <v>254.07805557759994</v>
      </c>
      <c r="BH22" s="34">
        <f t="shared" si="9"/>
        <v>348.08104407039997</v>
      </c>
      <c r="BI22" s="34">
        <f t="shared" si="10"/>
        <v>301.38570306559996</v>
      </c>
      <c r="BJ22" s="46">
        <f t="shared" si="11"/>
        <v>244.07805557759994</v>
      </c>
      <c r="BK22" s="57">
        <f t="shared" si="12"/>
        <v>3474.1792108543991</v>
      </c>
      <c r="BL22" s="34">
        <f t="shared" si="13"/>
        <v>858.54480271359978</v>
      </c>
      <c r="BM22" s="34">
        <f t="shared" si="14"/>
        <v>818.54480271359978</v>
      </c>
      <c r="BN22" s="34">
        <f t="shared" si="15"/>
        <v>903.54480271359978</v>
      </c>
      <c r="BO22" s="46">
        <f t="shared" si="16"/>
        <v>893.54480271359978</v>
      </c>
      <c r="BP22" s="65">
        <f t="shared" si="17"/>
        <v>242.08104407039997</v>
      </c>
      <c r="BQ22" s="65">
        <f t="shared" si="18"/>
        <v>241.38570306559996</v>
      </c>
      <c r="BR22" s="66">
        <f t="shared" si="19"/>
        <v>244.07805557759994</v>
      </c>
      <c r="BS22" s="34">
        <v>112</v>
      </c>
      <c r="BT22" s="34">
        <v>113</v>
      </c>
      <c r="BU22" s="52">
        <v>115</v>
      </c>
      <c r="BV22" s="58">
        <f t="shared" si="20"/>
        <v>1660.4052203519998</v>
      </c>
      <c r="BW22" s="58">
        <f t="shared" si="21"/>
        <v>1656.9285153279998</v>
      </c>
      <c r="BX22" s="59">
        <f t="shared" si="22"/>
        <v>1670.3902778879997</v>
      </c>
      <c r="BY22" s="44">
        <v>8.92</v>
      </c>
      <c r="BZ22" s="44">
        <v>8.8800000000000008</v>
      </c>
      <c r="CA22" s="53">
        <v>8.98</v>
      </c>
      <c r="CB22" s="58">
        <f t="shared" si="23"/>
        <v>22.195814399999993</v>
      </c>
      <c r="CC22" s="58">
        <f t="shared" si="24"/>
        <v>22.096281599999998</v>
      </c>
      <c r="CD22" s="59">
        <f t="shared" si="25"/>
        <v>22.345113599999994</v>
      </c>
    </row>
    <row r="23" spans="1:82" ht="13.5" customHeight="1" x14ac:dyDescent="0.25">
      <c r="A23" s="36" t="s">
        <v>69</v>
      </c>
      <c r="B23" s="70" t="s">
        <v>500</v>
      </c>
      <c r="C23" s="34">
        <v>0</v>
      </c>
      <c r="D23" s="34">
        <v>0</v>
      </c>
      <c r="E23" s="52">
        <v>0</v>
      </c>
      <c r="F23" s="34">
        <v>50</v>
      </c>
      <c r="G23" s="34">
        <v>40</v>
      </c>
      <c r="H23" s="52">
        <v>50</v>
      </c>
      <c r="I23" s="34">
        <v>0</v>
      </c>
      <c r="J23" s="34">
        <v>0</v>
      </c>
      <c r="K23" s="52">
        <v>0</v>
      </c>
      <c r="L23" s="34">
        <v>0</v>
      </c>
      <c r="M23" s="34">
        <v>0</v>
      </c>
      <c r="N23" s="46">
        <v>0</v>
      </c>
      <c r="O23" s="34">
        <v>20</v>
      </c>
      <c r="P23" s="34">
        <v>0</v>
      </c>
      <c r="Q23" s="52">
        <v>10</v>
      </c>
      <c r="R23" s="34">
        <v>130</v>
      </c>
      <c r="S23" s="34">
        <v>80</v>
      </c>
      <c r="T23" s="52">
        <v>100</v>
      </c>
      <c r="U23" s="34">
        <v>0</v>
      </c>
      <c r="V23" s="34">
        <v>0</v>
      </c>
      <c r="W23" s="52">
        <v>0</v>
      </c>
      <c r="X23" s="34">
        <v>0</v>
      </c>
      <c r="Y23" s="34">
        <v>0</v>
      </c>
      <c r="Z23" s="46">
        <v>0</v>
      </c>
      <c r="AA23" s="34">
        <v>50</v>
      </c>
      <c r="AB23" s="34">
        <v>0</v>
      </c>
      <c r="AC23" s="52">
        <v>0</v>
      </c>
      <c r="AD23" s="34">
        <v>60</v>
      </c>
      <c r="AE23" s="34">
        <v>20</v>
      </c>
      <c r="AF23" s="52">
        <v>60</v>
      </c>
      <c r="AG23" s="34">
        <v>0</v>
      </c>
      <c r="AH23" s="34">
        <v>0</v>
      </c>
      <c r="AI23" s="52">
        <v>0</v>
      </c>
      <c r="AJ23" s="34">
        <v>0</v>
      </c>
      <c r="AK23" s="34">
        <v>0</v>
      </c>
      <c r="AL23" s="46">
        <v>0</v>
      </c>
      <c r="AM23" s="34">
        <v>10</v>
      </c>
      <c r="AN23" s="34">
        <v>0</v>
      </c>
      <c r="AO23" s="52">
        <v>0</v>
      </c>
      <c r="AP23" s="34">
        <v>20</v>
      </c>
      <c r="AQ23" s="34">
        <v>5</v>
      </c>
      <c r="AR23" s="52">
        <v>10</v>
      </c>
      <c r="AS23" s="34">
        <v>0</v>
      </c>
      <c r="AT23" s="34">
        <v>0</v>
      </c>
      <c r="AU23" s="52">
        <v>0</v>
      </c>
      <c r="AV23" s="34">
        <v>0</v>
      </c>
      <c r="AW23" s="34">
        <v>0</v>
      </c>
      <c r="AX23" s="46">
        <v>0</v>
      </c>
      <c r="AY23" s="34">
        <f t="shared" si="0"/>
        <v>317.60798653440003</v>
      </c>
      <c r="AZ23" s="34">
        <f t="shared" si="1"/>
        <v>239.16616279039999</v>
      </c>
      <c r="BA23" s="52">
        <f t="shared" si="2"/>
        <v>256.78954982400001</v>
      </c>
      <c r="BB23" s="34">
        <f t="shared" si="3"/>
        <v>447.60798653440003</v>
      </c>
      <c r="BC23" s="34">
        <f t="shared" si="4"/>
        <v>344.16616279039999</v>
      </c>
      <c r="BD23" s="52">
        <f t="shared" si="5"/>
        <v>416.78954982400001</v>
      </c>
      <c r="BE23" s="34">
        <f t="shared" si="6"/>
        <v>237.60798653440003</v>
      </c>
      <c r="BF23" s="34">
        <f t="shared" si="7"/>
        <v>239.16616279039999</v>
      </c>
      <c r="BG23" s="52">
        <f t="shared" si="8"/>
        <v>246.78954982399998</v>
      </c>
      <c r="BH23" s="34">
        <f t="shared" si="9"/>
        <v>237.60798653440003</v>
      </c>
      <c r="BI23" s="34">
        <f t="shared" si="10"/>
        <v>239.16616279039999</v>
      </c>
      <c r="BJ23" s="46">
        <f t="shared" si="11"/>
        <v>246.78954982399998</v>
      </c>
      <c r="BK23" s="57">
        <f t="shared" si="12"/>
        <v>3469.2547965951999</v>
      </c>
      <c r="BL23" s="34">
        <f t="shared" si="13"/>
        <v>813.56369914879997</v>
      </c>
      <c r="BM23" s="34">
        <f t="shared" si="14"/>
        <v>1208.5636991488</v>
      </c>
      <c r="BN23" s="34">
        <f t="shared" si="15"/>
        <v>723.56369914879997</v>
      </c>
      <c r="BO23" s="46">
        <f t="shared" si="16"/>
        <v>723.56369914879997</v>
      </c>
      <c r="BP23" s="65">
        <f t="shared" si="17"/>
        <v>237.60798653440003</v>
      </c>
      <c r="BQ23" s="65">
        <f t="shared" si="18"/>
        <v>239.16616279039999</v>
      </c>
      <c r="BR23" s="66">
        <f t="shared" si="19"/>
        <v>246.78954982399998</v>
      </c>
      <c r="BS23" s="34">
        <v>123</v>
      </c>
      <c r="BT23" s="34">
        <v>125</v>
      </c>
      <c r="BU23" s="52">
        <v>131</v>
      </c>
      <c r="BV23" s="58">
        <f t="shared" si="20"/>
        <v>1638.0399326720001</v>
      </c>
      <c r="BW23" s="58">
        <f t="shared" si="21"/>
        <v>1645.830813952</v>
      </c>
      <c r="BX23" s="59">
        <f t="shared" si="22"/>
        <v>1683.9477491199998</v>
      </c>
      <c r="BY23" s="44">
        <v>8.6199999999999992</v>
      </c>
      <c r="BZ23" s="44">
        <v>8.67</v>
      </c>
      <c r="CA23" s="53">
        <v>8.9499999999999993</v>
      </c>
      <c r="CB23" s="58">
        <f t="shared" si="23"/>
        <v>21.449318399999999</v>
      </c>
      <c r="CC23" s="58">
        <f t="shared" si="24"/>
        <v>21.573734399999999</v>
      </c>
      <c r="CD23" s="59">
        <f t="shared" si="25"/>
        <v>22.270463999999993</v>
      </c>
    </row>
    <row r="24" spans="1:82" ht="13.5" customHeight="1" x14ac:dyDescent="0.25">
      <c r="A24" s="36" t="s">
        <v>70</v>
      </c>
      <c r="B24" s="70" t="s">
        <v>112</v>
      </c>
      <c r="C24" s="34">
        <v>45</v>
      </c>
      <c r="D24" s="34">
        <v>35</v>
      </c>
      <c r="E24" s="52">
        <v>35</v>
      </c>
      <c r="F24" s="34">
        <v>0</v>
      </c>
      <c r="G24" s="34">
        <v>35</v>
      </c>
      <c r="H24" s="52">
        <v>35</v>
      </c>
      <c r="I24" s="34">
        <v>0</v>
      </c>
      <c r="J24" s="34">
        <v>0</v>
      </c>
      <c r="K24" s="52">
        <v>0</v>
      </c>
      <c r="L24" s="34">
        <v>0</v>
      </c>
      <c r="M24" s="34">
        <v>0</v>
      </c>
      <c r="N24" s="46">
        <v>0</v>
      </c>
      <c r="O24" s="34">
        <v>90</v>
      </c>
      <c r="P24" s="34">
        <v>70</v>
      </c>
      <c r="Q24" s="52">
        <v>60</v>
      </c>
      <c r="R24" s="34">
        <v>25</v>
      </c>
      <c r="S24" s="34">
        <v>60</v>
      </c>
      <c r="T24" s="52">
        <v>50</v>
      </c>
      <c r="U24" s="34">
        <v>0</v>
      </c>
      <c r="V24" s="34">
        <v>0</v>
      </c>
      <c r="W24" s="52">
        <v>0</v>
      </c>
      <c r="X24" s="34">
        <v>0</v>
      </c>
      <c r="Y24" s="34">
        <v>0</v>
      </c>
      <c r="Z24" s="46">
        <v>0</v>
      </c>
      <c r="AA24" s="34">
        <v>70</v>
      </c>
      <c r="AB24" s="34">
        <v>35</v>
      </c>
      <c r="AC24" s="52">
        <v>10</v>
      </c>
      <c r="AD24" s="34">
        <v>0</v>
      </c>
      <c r="AE24" s="34">
        <v>0</v>
      </c>
      <c r="AF24" s="52">
        <v>0</v>
      </c>
      <c r="AG24" s="34">
        <v>0</v>
      </c>
      <c r="AH24" s="34">
        <v>0</v>
      </c>
      <c r="AI24" s="52">
        <v>0</v>
      </c>
      <c r="AJ24" s="34">
        <v>0</v>
      </c>
      <c r="AK24" s="34">
        <v>0</v>
      </c>
      <c r="AL24" s="46">
        <v>0</v>
      </c>
      <c r="AM24" s="34">
        <v>10</v>
      </c>
      <c r="AN24" s="34">
        <v>10</v>
      </c>
      <c r="AO24" s="52">
        <v>10</v>
      </c>
      <c r="AP24" s="34">
        <v>0</v>
      </c>
      <c r="AQ24" s="34">
        <v>0</v>
      </c>
      <c r="AR24" s="52">
        <v>0</v>
      </c>
      <c r="AS24" s="34">
        <v>0</v>
      </c>
      <c r="AT24" s="34">
        <v>0</v>
      </c>
      <c r="AU24" s="52">
        <v>0</v>
      </c>
      <c r="AV24" s="34">
        <v>0</v>
      </c>
      <c r="AW24" s="34">
        <v>0</v>
      </c>
      <c r="AX24" s="46">
        <v>0</v>
      </c>
      <c r="AY24" s="34">
        <f t="shared" si="0"/>
        <v>434.97034690559997</v>
      </c>
      <c r="AZ24" s="34">
        <f t="shared" si="1"/>
        <v>362.24322032640003</v>
      </c>
      <c r="BA24" s="52">
        <f t="shared" si="2"/>
        <v>307.50424698879999</v>
      </c>
      <c r="BB24" s="34">
        <f t="shared" si="3"/>
        <v>289.97034690559997</v>
      </c>
      <c r="BC24" s="34">
        <f t="shared" si="4"/>
        <v>307.24322032640003</v>
      </c>
      <c r="BD24" s="52">
        <f t="shared" si="5"/>
        <v>277.50424698879999</v>
      </c>
      <c r="BE24" s="34">
        <f t="shared" si="6"/>
        <v>264.97034690559997</v>
      </c>
      <c r="BF24" s="34">
        <f t="shared" si="7"/>
        <v>247.24322032640003</v>
      </c>
      <c r="BG24" s="52">
        <f t="shared" si="8"/>
        <v>227.50424698879996</v>
      </c>
      <c r="BH24" s="34">
        <f t="shared" si="9"/>
        <v>264.97034690559997</v>
      </c>
      <c r="BI24" s="34">
        <f t="shared" si="10"/>
        <v>247.24322032640003</v>
      </c>
      <c r="BJ24" s="46">
        <f t="shared" si="11"/>
        <v>227.50424698879996</v>
      </c>
      <c r="BK24" s="57">
        <f t="shared" si="12"/>
        <v>3458.8712568831997</v>
      </c>
      <c r="BL24" s="34">
        <f t="shared" si="13"/>
        <v>1104.7178142207999</v>
      </c>
      <c r="BM24" s="34">
        <f t="shared" si="14"/>
        <v>874.71781422080005</v>
      </c>
      <c r="BN24" s="34">
        <f t="shared" si="15"/>
        <v>739.71781422080005</v>
      </c>
      <c r="BO24" s="46">
        <f t="shared" si="16"/>
        <v>739.71781422080005</v>
      </c>
      <c r="BP24" s="65">
        <f t="shared" si="17"/>
        <v>264.97034690559997</v>
      </c>
      <c r="BQ24" s="65">
        <f t="shared" si="18"/>
        <v>247.24322032640003</v>
      </c>
      <c r="BR24" s="66">
        <f t="shared" si="19"/>
        <v>227.50424698879996</v>
      </c>
      <c r="BS24" s="34">
        <v>144</v>
      </c>
      <c r="BT24" s="34">
        <v>131</v>
      </c>
      <c r="BU24" s="52">
        <v>116</v>
      </c>
      <c r="BV24" s="58">
        <f t="shared" si="20"/>
        <v>1774.851734528</v>
      </c>
      <c r="BW24" s="58">
        <f t="shared" si="21"/>
        <v>1686.2161016320001</v>
      </c>
      <c r="BX24" s="59">
        <f t="shared" si="22"/>
        <v>1587.5212349439998</v>
      </c>
      <c r="BY24" s="44">
        <v>9.6300000000000008</v>
      </c>
      <c r="BZ24" s="44">
        <v>8.9700000000000006</v>
      </c>
      <c r="CA24" s="53">
        <v>8.24</v>
      </c>
      <c r="CB24" s="58">
        <f t="shared" si="23"/>
        <v>23.962521599999999</v>
      </c>
      <c r="CC24" s="58">
        <f t="shared" si="24"/>
        <v>22.3202304</v>
      </c>
      <c r="CD24" s="59">
        <f t="shared" si="25"/>
        <v>20.503756799999998</v>
      </c>
    </row>
    <row r="25" spans="1:82" ht="13.5" customHeight="1" x14ac:dyDescent="0.25">
      <c r="A25" s="36" t="s">
        <v>71</v>
      </c>
      <c r="B25" s="70" t="s">
        <v>648</v>
      </c>
      <c r="C25" s="34">
        <v>0</v>
      </c>
      <c r="D25" s="34">
        <v>0</v>
      </c>
      <c r="E25" s="52">
        <v>0</v>
      </c>
      <c r="F25" s="34">
        <v>55</v>
      </c>
      <c r="G25" s="34">
        <v>55</v>
      </c>
      <c r="H25" s="52">
        <v>40</v>
      </c>
      <c r="I25" s="34">
        <v>0</v>
      </c>
      <c r="J25" s="34">
        <v>0</v>
      </c>
      <c r="K25" s="52">
        <v>0</v>
      </c>
      <c r="L25" s="34">
        <v>0</v>
      </c>
      <c r="M25" s="34">
        <v>0</v>
      </c>
      <c r="N25" s="46">
        <v>0</v>
      </c>
      <c r="O25" s="34">
        <v>15</v>
      </c>
      <c r="P25" s="34">
        <v>10</v>
      </c>
      <c r="Q25" s="52">
        <v>15</v>
      </c>
      <c r="R25" s="34">
        <v>125</v>
      </c>
      <c r="S25" s="34">
        <v>90</v>
      </c>
      <c r="T25" s="52">
        <v>65</v>
      </c>
      <c r="U25" s="34">
        <v>0</v>
      </c>
      <c r="V25" s="34">
        <v>0</v>
      </c>
      <c r="W25" s="52">
        <v>0</v>
      </c>
      <c r="X25" s="34">
        <v>0</v>
      </c>
      <c r="Y25" s="34">
        <v>0</v>
      </c>
      <c r="Z25" s="46">
        <v>0</v>
      </c>
      <c r="AA25" s="34">
        <v>55</v>
      </c>
      <c r="AB25" s="34">
        <v>0</v>
      </c>
      <c r="AC25" s="52">
        <v>0</v>
      </c>
      <c r="AD25" s="34">
        <v>75</v>
      </c>
      <c r="AE25" s="34">
        <v>55</v>
      </c>
      <c r="AF25" s="52">
        <v>20</v>
      </c>
      <c r="AG25" s="34">
        <v>0</v>
      </c>
      <c r="AH25" s="34">
        <v>0</v>
      </c>
      <c r="AI25" s="52">
        <v>0</v>
      </c>
      <c r="AJ25" s="34">
        <v>0</v>
      </c>
      <c r="AK25" s="34">
        <v>0</v>
      </c>
      <c r="AL25" s="46">
        <v>0</v>
      </c>
      <c r="AM25" s="34">
        <v>0</v>
      </c>
      <c r="AN25" s="34">
        <v>0</v>
      </c>
      <c r="AO25" s="52">
        <v>0</v>
      </c>
      <c r="AP25" s="34">
        <v>5</v>
      </c>
      <c r="AQ25" s="34">
        <v>10</v>
      </c>
      <c r="AR25" s="52">
        <v>5</v>
      </c>
      <c r="AS25" s="34">
        <v>0</v>
      </c>
      <c r="AT25" s="34">
        <v>0</v>
      </c>
      <c r="AU25" s="52">
        <v>0</v>
      </c>
      <c r="AV25" s="34">
        <v>0</v>
      </c>
      <c r="AW25" s="34">
        <v>0</v>
      </c>
      <c r="AX25" s="46">
        <v>0</v>
      </c>
      <c r="AY25" s="34">
        <f t="shared" si="0"/>
        <v>307.83482178559996</v>
      </c>
      <c r="AZ25" s="34">
        <f t="shared" si="1"/>
        <v>253.24919731199998</v>
      </c>
      <c r="BA25" s="52">
        <f t="shared" si="2"/>
        <v>261.8043850752</v>
      </c>
      <c r="BB25" s="34">
        <f t="shared" si="3"/>
        <v>442.83482178559996</v>
      </c>
      <c r="BC25" s="34">
        <f t="shared" si="4"/>
        <v>398.24919731199998</v>
      </c>
      <c r="BD25" s="52">
        <f t="shared" si="5"/>
        <v>336.8043850752</v>
      </c>
      <c r="BE25" s="34">
        <f t="shared" si="6"/>
        <v>237.83482178559993</v>
      </c>
      <c r="BF25" s="34">
        <f t="shared" si="7"/>
        <v>243.24919731199998</v>
      </c>
      <c r="BG25" s="52">
        <f t="shared" si="8"/>
        <v>246.8043850752</v>
      </c>
      <c r="BH25" s="34">
        <f t="shared" si="9"/>
        <v>237.83482178559993</v>
      </c>
      <c r="BI25" s="34">
        <f t="shared" si="10"/>
        <v>243.24919731199998</v>
      </c>
      <c r="BJ25" s="46">
        <f t="shared" si="11"/>
        <v>246.8043850752</v>
      </c>
      <c r="BK25" s="57">
        <f t="shared" si="12"/>
        <v>3456.5536166911997</v>
      </c>
      <c r="BL25" s="34">
        <f t="shared" si="13"/>
        <v>822.88840417279994</v>
      </c>
      <c r="BM25" s="34">
        <f t="shared" si="14"/>
        <v>1177.8884041727999</v>
      </c>
      <c r="BN25" s="34">
        <f t="shared" si="15"/>
        <v>727.88840417279994</v>
      </c>
      <c r="BO25" s="46">
        <f t="shared" si="16"/>
        <v>727.88840417279994</v>
      </c>
      <c r="BP25" s="65">
        <f t="shared" si="17"/>
        <v>237.83482178559993</v>
      </c>
      <c r="BQ25" s="65">
        <f t="shared" si="18"/>
        <v>243.24919731199998</v>
      </c>
      <c r="BR25" s="66">
        <f t="shared" si="19"/>
        <v>246.8043850752</v>
      </c>
      <c r="BS25" s="34">
        <v>123</v>
      </c>
      <c r="BT25" s="34">
        <v>125</v>
      </c>
      <c r="BU25" s="52">
        <v>130</v>
      </c>
      <c r="BV25" s="58">
        <f t="shared" si="20"/>
        <v>1639.1741089279997</v>
      </c>
      <c r="BW25" s="58">
        <f t="shared" si="21"/>
        <v>1666.2459865599999</v>
      </c>
      <c r="BX25" s="59">
        <f t="shared" si="22"/>
        <v>1684.0219253759999</v>
      </c>
      <c r="BY25" s="44">
        <v>8.6300000000000008</v>
      </c>
      <c r="BZ25" s="44">
        <v>8.85</v>
      </c>
      <c r="CA25" s="53">
        <v>8.9600000000000009</v>
      </c>
      <c r="CB25" s="58">
        <f t="shared" si="23"/>
        <v>21.474201599999997</v>
      </c>
      <c r="CC25" s="58">
        <f t="shared" si="24"/>
        <v>22.021631999999993</v>
      </c>
      <c r="CD25" s="59">
        <f t="shared" si="25"/>
        <v>22.295347199999998</v>
      </c>
    </row>
    <row r="26" spans="1:82" ht="13.5" customHeight="1" x14ac:dyDescent="0.25">
      <c r="A26" s="36" t="s">
        <v>72</v>
      </c>
      <c r="B26" s="70" t="s">
        <v>113</v>
      </c>
      <c r="C26" s="34">
        <v>50</v>
      </c>
      <c r="D26" s="34">
        <v>40</v>
      </c>
      <c r="E26" s="52">
        <v>50</v>
      </c>
      <c r="F26" s="34">
        <v>0</v>
      </c>
      <c r="G26" s="34">
        <v>40</v>
      </c>
      <c r="H26" s="52">
        <v>0</v>
      </c>
      <c r="I26" s="34">
        <v>0</v>
      </c>
      <c r="J26" s="34">
        <v>0</v>
      </c>
      <c r="K26" s="52">
        <v>0</v>
      </c>
      <c r="L26" s="34">
        <v>0</v>
      </c>
      <c r="M26" s="34">
        <v>0</v>
      </c>
      <c r="N26" s="46">
        <v>0</v>
      </c>
      <c r="O26" s="34">
        <v>95</v>
      </c>
      <c r="P26" s="34">
        <v>80</v>
      </c>
      <c r="Q26" s="52">
        <v>90</v>
      </c>
      <c r="R26" s="34">
        <v>15</v>
      </c>
      <c r="S26" s="34">
        <v>50</v>
      </c>
      <c r="T26" s="52">
        <v>10</v>
      </c>
      <c r="U26" s="34">
        <v>0</v>
      </c>
      <c r="V26" s="34">
        <v>0</v>
      </c>
      <c r="W26" s="52">
        <v>0</v>
      </c>
      <c r="X26" s="34">
        <v>0</v>
      </c>
      <c r="Y26" s="34">
        <v>0</v>
      </c>
      <c r="Z26" s="46">
        <v>0</v>
      </c>
      <c r="AA26" s="34">
        <v>70</v>
      </c>
      <c r="AB26" s="34">
        <v>70</v>
      </c>
      <c r="AC26" s="52">
        <v>10</v>
      </c>
      <c r="AD26" s="34">
        <v>0</v>
      </c>
      <c r="AE26" s="34">
        <v>0</v>
      </c>
      <c r="AF26" s="52">
        <v>0</v>
      </c>
      <c r="AG26" s="34">
        <v>0</v>
      </c>
      <c r="AH26" s="34">
        <v>0</v>
      </c>
      <c r="AI26" s="52">
        <v>0</v>
      </c>
      <c r="AJ26" s="34">
        <v>0</v>
      </c>
      <c r="AK26" s="34">
        <v>0</v>
      </c>
      <c r="AL26" s="46">
        <v>0</v>
      </c>
      <c r="AM26" s="34">
        <v>5</v>
      </c>
      <c r="AN26" s="34">
        <v>10</v>
      </c>
      <c r="AO26" s="52">
        <v>10</v>
      </c>
      <c r="AP26" s="34">
        <v>0</v>
      </c>
      <c r="AQ26" s="34">
        <v>0</v>
      </c>
      <c r="AR26" s="52">
        <v>0</v>
      </c>
      <c r="AS26" s="34">
        <v>0</v>
      </c>
      <c r="AT26" s="34">
        <v>0</v>
      </c>
      <c r="AU26" s="52">
        <v>0</v>
      </c>
      <c r="AV26" s="34">
        <v>0</v>
      </c>
      <c r="AW26" s="34">
        <v>0</v>
      </c>
      <c r="AX26" s="46">
        <v>0</v>
      </c>
      <c r="AY26" s="34">
        <f t="shared" si="0"/>
        <v>418.58939658240001</v>
      </c>
      <c r="AZ26" s="34">
        <f t="shared" si="1"/>
        <v>398.44115128319993</v>
      </c>
      <c r="BA26" s="52">
        <f t="shared" si="2"/>
        <v>355.42853831679997</v>
      </c>
      <c r="BB26" s="34">
        <f t="shared" si="3"/>
        <v>263.58939658240001</v>
      </c>
      <c r="BC26" s="34">
        <f t="shared" si="4"/>
        <v>288.44115128319993</v>
      </c>
      <c r="BD26" s="52">
        <f t="shared" si="5"/>
        <v>255.4285383168</v>
      </c>
      <c r="BE26" s="34">
        <f t="shared" si="6"/>
        <v>248.58939658239998</v>
      </c>
      <c r="BF26" s="34">
        <f t="shared" si="7"/>
        <v>238.44115128319996</v>
      </c>
      <c r="BG26" s="52">
        <f t="shared" si="8"/>
        <v>245.4285383168</v>
      </c>
      <c r="BH26" s="34">
        <f t="shared" si="9"/>
        <v>248.58939658239998</v>
      </c>
      <c r="BI26" s="34">
        <f t="shared" si="10"/>
        <v>238.44115128319996</v>
      </c>
      <c r="BJ26" s="46">
        <f t="shared" si="11"/>
        <v>245.4285383168</v>
      </c>
      <c r="BK26" s="57">
        <f t="shared" si="12"/>
        <v>3444.8363447295997</v>
      </c>
      <c r="BL26" s="34">
        <f t="shared" si="13"/>
        <v>1172.4590861823999</v>
      </c>
      <c r="BM26" s="34">
        <f t="shared" si="14"/>
        <v>807.45908618239991</v>
      </c>
      <c r="BN26" s="34">
        <f t="shared" si="15"/>
        <v>732.45908618239991</v>
      </c>
      <c r="BO26" s="46">
        <f t="shared" si="16"/>
        <v>732.45908618239991</v>
      </c>
      <c r="BP26" s="65">
        <f t="shared" si="17"/>
        <v>248.58939658239998</v>
      </c>
      <c r="BQ26" s="65">
        <f t="shared" si="18"/>
        <v>238.44115128319996</v>
      </c>
      <c r="BR26" s="66">
        <f t="shared" si="19"/>
        <v>245.4285383168</v>
      </c>
      <c r="BS26" s="34">
        <v>132</v>
      </c>
      <c r="BT26" s="34">
        <v>128</v>
      </c>
      <c r="BU26" s="52">
        <v>131</v>
      </c>
      <c r="BV26" s="58">
        <f t="shared" si="20"/>
        <v>1692.9469829119998</v>
      </c>
      <c r="BW26" s="58">
        <f t="shared" si="21"/>
        <v>1642.2057564159998</v>
      </c>
      <c r="BX26" s="59">
        <f t="shared" si="22"/>
        <v>1677.142691584</v>
      </c>
      <c r="BY26" s="44">
        <v>9.02</v>
      </c>
      <c r="BZ26" s="44">
        <v>8.61</v>
      </c>
      <c r="CA26" s="53">
        <v>8.89</v>
      </c>
      <c r="CB26" s="58">
        <f t="shared" si="23"/>
        <v>22.444646399999996</v>
      </c>
      <c r="CC26" s="58">
        <f t="shared" si="24"/>
        <v>21.424435199999994</v>
      </c>
      <c r="CD26" s="59">
        <f t="shared" si="25"/>
        <v>22.121164799999995</v>
      </c>
    </row>
    <row r="27" spans="1:82" ht="13.5" customHeight="1" x14ac:dyDescent="0.25">
      <c r="A27" s="36" t="s">
        <v>73</v>
      </c>
      <c r="B27" s="68" t="s">
        <v>667</v>
      </c>
      <c r="C27" s="34">
        <v>0</v>
      </c>
      <c r="D27" s="34">
        <v>0</v>
      </c>
      <c r="E27" s="52"/>
      <c r="F27" s="34">
        <v>0</v>
      </c>
      <c r="G27" s="34">
        <v>0</v>
      </c>
      <c r="H27" s="52">
        <v>0</v>
      </c>
      <c r="I27" s="34">
        <v>0</v>
      </c>
      <c r="J27" s="34">
        <v>0</v>
      </c>
      <c r="K27" s="52">
        <v>0</v>
      </c>
      <c r="L27" s="34">
        <v>0</v>
      </c>
      <c r="M27" s="34">
        <v>0</v>
      </c>
      <c r="N27" s="46">
        <v>0</v>
      </c>
      <c r="O27" s="34">
        <v>25</v>
      </c>
      <c r="P27" s="34">
        <v>50</v>
      </c>
      <c r="Q27" s="52">
        <v>55</v>
      </c>
      <c r="R27" s="34">
        <v>25</v>
      </c>
      <c r="S27" s="34">
        <v>50</v>
      </c>
      <c r="T27" s="52">
        <v>55</v>
      </c>
      <c r="U27" s="34">
        <v>25</v>
      </c>
      <c r="V27" s="34">
        <v>50</v>
      </c>
      <c r="W27" s="52">
        <v>55</v>
      </c>
      <c r="X27" s="34">
        <v>25</v>
      </c>
      <c r="Y27" s="34">
        <v>50</v>
      </c>
      <c r="Z27" s="46">
        <v>55</v>
      </c>
      <c r="AA27" s="34">
        <v>10</v>
      </c>
      <c r="AB27" s="34">
        <v>0</v>
      </c>
      <c r="AC27" s="52">
        <v>0</v>
      </c>
      <c r="AD27" s="34">
        <v>10</v>
      </c>
      <c r="AE27" s="34">
        <v>0</v>
      </c>
      <c r="AF27" s="52">
        <v>0</v>
      </c>
      <c r="AG27" s="34">
        <v>0</v>
      </c>
      <c r="AH27" s="34">
        <v>0</v>
      </c>
      <c r="AI27" s="52">
        <v>0</v>
      </c>
      <c r="AJ27" s="34">
        <v>10</v>
      </c>
      <c r="AK27" s="34">
        <v>20</v>
      </c>
      <c r="AL27" s="46">
        <v>20</v>
      </c>
      <c r="AM27" s="34">
        <v>0</v>
      </c>
      <c r="AN27" s="34">
        <v>0</v>
      </c>
      <c r="AO27" s="52">
        <v>0</v>
      </c>
      <c r="AP27" s="34">
        <v>0</v>
      </c>
      <c r="AQ27" s="34">
        <v>0</v>
      </c>
      <c r="AR27" s="52">
        <v>0</v>
      </c>
      <c r="AS27" s="34">
        <v>0</v>
      </c>
      <c r="AT27" s="34">
        <v>0</v>
      </c>
      <c r="AU27" s="52">
        <v>0</v>
      </c>
      <c r="AV27" s="34">
        <v>0</v>
      </c>
      <c r="AW27" s="34">
        <v>0</v>
      </c>
      <c r="AX27" s="46">
        <v>0</v>
      </c>
      <c r="AY27" s="34">
        <f t="shared" si="0"/>
        <v>251.32567219200001</v>
      </c>
      <c r="AZ27" s="34">
        <f t="shared" si="1"/>
        <v>296.30190233600001</v>
      </c>
      <c r="BA27" s="52">
        <f t="shared" si="2"/>
        <v>304.74893685759992</v>
      </c>
      <c r="BB27" s="34">
        <f t="shared" si="3"/>
        <v>251.32567219200001</v>
      </c>
      <c r="BC27" s="34">
        <f t="shared" si="4"/>
        <v>296.30190233600001</v>
      </c>
      <c r="BD27" s="52">
        <f t="shared" si="5"/>
        <v>304.74893685759992</v>
      </c>
      <c r="BE27" s="34">
        <f t="shared" si="6"/>
        <v>241.32567219200001</v>
      </c>
      <c r="BF27" s="34">
        <f t="shared" si="7"/>
        <v>296.30190233600001</v>
      </c>
      <c r="BG27" s="52">
        <f t="shared" si="8"/>
        <v>304.74893685759992</v>
      </c>
      <c r="BH27" s="34">
        <f t="shared" si="9"/>
        <v>251.32567219200001</v>
      </c>
      <c r="BI27" s="34">
        <f t="shared" si="10"/>
        <v>316.30190233600001</v>
      </c>
      <c r="BJ27" s="46">
        <f t="shared" si="11"/>
        <v>324.74893685759992</v>
      </c>
      <c r="BK27" s="57">
        <f t="shared" si="12"/>
        <v>3439.5060455423995</v>
      </c>
      <c r="BL27" s="34">
        <f t="shared" si="13"/>
        <v>852.37651138559988</v>
      </c>
      <c r="BM27" s="34">
        <f t="shared" si="14"/>
        <v>852.37651138559988</v>
      </c>
      <c r="BN27" s="34">
        <f t="shared" si="15"/>
        <v>842.37651138559988</v>
      </c>
      <c r="BO27" s="46">
        <f t="shared" si="16"/>
        <v>892.37651138559988</v>
      </c>
      <c r="BP27" s="65">
        <f t="shared" si="17"/>
        <v>216.32567219200001</v>
      </c>
      <c r="BQ27" s="65">
        <f t="shared" si="18"/>
        <v>246.30190233599998</v>
      </c>
      <c r="BR27" s="66">
        <f t="shared" si="19"/>
        <v>249.74893685759994</v>
      </c>
      <c r="BS27" s="34">
        <v>105</v>
      </c>
      <c r="BT27" s="34">
        <v>118</v>
      </c>
      <c r="BU27" s="52">
        <v>115</v>
      </c>
      <c r="BV27" s="58">
        <f t="shared" si="20"/>
        <v>1531.62836096</v>
      </c>
      <c r="BW27" s="58">
        <f t="shared" si="21"/>
        <v>1681.5095116799998</v>
      </c>
      <c r="BX27" s="59">
        <f t="shared" si="22"/>
        <v>1698.7446842879997</v>
      </c>
      <c r="BY27" s="44">
        <v>7.85</v>
      </c>
      <c r="BZ27" s="44">
        <v>9.0500000000000007</v>
      </c>
      <c r="CA27" s="53">
        <v>9.23</v>
      </c>
      <c r="CB27" s="58">
        <f t="shared" si="23"/>
        <v>19.533311999999999</v>
      </c>
      <c r="CC27" s="58">
        <f t="shared" si="24"/>
        <v>22.519295999999997</v>
      </c>
      <c r="CD27" s="59">
        <f t="shared" si="25"/>
        <v>22.967193599999998</v>
      </c>
    </row>
    <row r="28" spans="1:82" ht="13.5" customHeight="1" x14ac:dyDescent="0.25">
      <c r="A28" s="36" t="s">
        <v>74</v>
      </c>
      <c r="B28" s="70" t="s">
        <v>180</v>
      </c>
      <c r="C28" s="34">
        <v>0</v>
      </c>
      <c r="D28" s="34">
        <v>0</v>
      </c>
      <c r="E28" s="52">
        <v>0</v>
      </c>
      <c r="F28" s="34">
        <v>0</v>
      </c>
      <c r="G28" s="34">
        <v>0</v>
      </c>
      <c r="H28" s="52">
        <v>0</v>
      </c>
      <c r="I28" s="34">
        <v>0</v>
      </c>
      <c r="J28" s="34">
        <v>0</v>
      </c>
      <c r="K28" s="52">
        <v>0</v>
      </c>
      <c r="L28" s="34">
        <v>40</v>
      </c>
      <c r="M28" s="34">
        <v>40</v>
      </c>
      <c r="N28" s="46">
        <v>40</v>
      </c>
      <c r="O28" s="34">
        <v>0</v>
      </c>
      <c r="P28" s="34">
        <v>0</v>
      </c>
      <c r="Q28" s="52">
        <v>0</v>
      </c>
      <c r="R28" s="34">
        <v>0</v>
      </c>
      <c r="S28" s="34">
        <v>0</v>
      </c>
      <c r="T28" s="52">
        <v>0</v>
      </c>
      <c r="U28" s="34">
        <v>20</v>
      </c>
      <c r="V28" s="34">
        <v>0</v>
      </c>
      <c r="W28" s="52">
        <v>20</v>
      </c>
      <c r="X28" s="34">
        <v>110</v>
      </c>
      <c r="Y28" s="34">
        <v>60</v>
      </c>
      <c r="Z28" s="46">
        <v>75</v>
      </c>
      <c r="AA28" s="34">
        <v>6</v>
      </c>
      <c r="AB28" s="34">
        <v>0</v>
      </c>
      <c r="AC28" s="52">
        <v>0</v>
      </c>
      <c r="AD28" s="34">
        <v>6</v>
      </c>
      <c r="AE28" s="34">
        <v>0</v>
      </c>
      <c r="AF28" s="52">
        <v>0</v>
      </c>
      <c r="AG28" s="34">
        <v>6</v>
      </c>
      <c r="AH28" s="34">
        <v>25</v>
      </c>
      <c r="AI28" s="52">
        <v>25</v>
      </c>
      <c r="AJ28" s="34">
        <v>56</v>
      </c>
      <c r="AK28" s="34">
        <v>35</v>
      </c>
      <c r="AL28" s="46">
        <v>25</v>
      </c>
      <c r="AM28" s="34">
        <v>0</v>
      </c>
      <c r="AN28" s="34">
        <v>0</v>
      </c>
      <c r="AO28" s="52">
        <v>0</v>
      </c>
      <c r="AP28" s="34">
        <v>0</v>
      </c>
      <c r="AQ28" s="34">
        <v>0</v>
      </c>
      <c r="AR28" s="52">
        <v>0</v>
      </c>
      <c r="AS28" s="34">
        <v>15</v>
      </c>
      <c r="AT28" s="34">
        <v>5</v>
      </c>
      <c r="AU28" s="52">
        <v>5</v>
      </c>
      <c r="AV28" s="34">
        <v>20</v>
      </c>
      <c r="AW28" s="34">
        <v>5</v>
      </c>
      <c r="AX28" s="46">
        <v>5</v>
      </c>
      <c r="AY28" s="34">
        <f t="shared" si="0"/>
        <v>253.09056133119995</v>
      </c>
      <c r="AZ28" s="34">
        <f t="shared" si="1"/>
        <v>242.65770306559995</v>
      </c>
      <c r="BA28" s="52">
        <f t="shared" si="2"/>
        <v>238.43684479999999</v>
      </c>
      <c r="BB28" s="34">
        <f t="shared" si="3"/>
        <v>253.09056133119995</v>
      </c>
      <c r="BC28" s="34">
        <f t="shared" si="4"/>
        <v>242.65770306559995</v>
      </c>
      <c r="BD28" s="52">
        <f t="shared" si="5"/>
        <v>238.43684479999999</v>
      </c>
      <c r="BE28" s="34">
        <f t="shared" si="6"/>
        <v>288.09056133119998</v>
      </c>
      <c r="BF28" s="34">
        <f t="shared" si="7"/>
        <v>272.65770306559995</v>
      </c>
      <c r="BG28" s="52">
        <f t="shared" si="8"/>
        <v>288.43684480000002</v>
      </c>
      <c r="BH28" s="34">
        <f t="shared" si="9"/>
        <v>433.09056133119998</v>
      </c>
      <c r="BI28" s="34">
        <f t="shared" si="10"/>
        <v>342.65770306559995</v>
      </c>
      <c r="BJ28" s="46">
        <f t="shared" si="11"/>
        <v>343.43684480000002</v>
      </c>
      <c r="BK28" s="57">
        <f t="shared" si="12"/>
        <v>3436.7404367871995</v>
      </c>
      <c r="BL28" s="34">
        <f t="shared" si="13"/>
        <v>734.18510919679989</v>
      </c>
      <c r="BM28" s="34">
        <f t="shared" si="14"/>
        <v>734.18510919679989</v>
      </c>
      <c r="BN28" s="34">
        <f t="shared" si="15"/>
        <v>849.18510919679989</v>
      </c>
      <c r="BO28" s="46">
        <f t="shared" si="16"/>
        <v>1119.1851091967999</v>
      </c>
      <c r="BP28" s="65">
        <f t="shared" si="17"/>
        <v>247.09056133119995</v>
      </c>
      <c r="BQ28" s="65">
        <f t="shared" si="18"/>
        <v>242.65770306559995</v>
      </c>
      <c r="BR28" s="66">
        <f t="shared" si="19"/>
        <v>238.43684479999999</v>
      </c>
      <c r="BS28" s="34">
        <v>126</v>
      </c>
      <c r="BT28" s="34">
        <v>119</v>
      </c>
      <c r="BU28" s="52">
        <v>113</v>
      </c>
      <c r="BV28" s="58">
        <f t="shared" si="20"/>
        <v>1685.4528066559997</v>
      </c>
      <c r="BW28" s="58">
        <f t="shared" si="21"/>
        <v>1663.2885153279997</v>
      </c>
      <c r="BX28" s="59">
        <f t="shared" si="22"/>
        <v>1642.1842239999999</v>
      </c>
      <c r="BY28" s="44">
        <v>9.01</v>
      </c>
      <c r="BZ28" s="44">
        <v>8.8800000000000008</v>
      </c>
      <c r="CA28" s="53">
        <v>8.75</v>
      </c>
      <c r="CB28" s="58">
        <f t="shared" si="23"/>
        <v>22.419763199999995</v>
      </c>
      <c r="CC28" s="58">
        <f t="shared" si="24"/>
        <v>22.096281599999998</v>
      </c>
      <c r="CD28" s="59">
        <f t="shared" si="25"/>
        <v>21.772799999999997</v>
      </c>
    </row>
    <row r="29" spans="1:82" ht="13.5" customHeight="1" x14ac:dyDescent="0.25">
      <c r="A29" s="36" t="s">
        <v>75</v>
      </c>
      <c r="B29" s="67" t="s">
        <v>684</v>
      </c>
      <c r="C29" s="34">
        <v>10</v>
      </c>
      <c r="D29" s="34">
        <v>0</v>
      </c>
      <c r="E29" s="52">
        <v>0</v>
      </c>
      <c r="F29" s="34">
        <v>10</v>
      </c>
      <c r="G29" s="34">
        <v>0</v>
      </c>
      <c r="H29" s="52">
        <v>0</v>
      </c>
      <c r="I29" s="34">
        <v>10</v>
      </c>
      <c r="J29" s="34">
        <v>0</v>
      </c>
      <c r="K29" s="52">
        <v>0</v>
      </c>
      <c r="L29" s="34">
        <v>45</v>
      </c>
      <c r="M29" s="34">
        <v>0</v>
      </c>
      <c r="N29" s="46">
        <v>0</v>
      </c>
      <c r="O29" s="34">
        <v>20</v>
      </c>
      <c r="P29" s="34">
        <v>35</v>
      </c>
      <c r="Q29" s="52">
        <v>35</v>
      </c>
      <c r="R29" s="34">
        <v>20</v>
      </c>
      <c r="S29" s="34">
        <v>35</v>
      </c>
      <c r="T29" s="52">
        <v>35</v>
      </c>
      <c r="U29" s="34">
        <v>20</v>
      </c>
      <c r="V29" s="34">
        <v>20</v>
      </c>
      <c r="W29" s="52">
        <v>20</v>
      </c>
      <c r="X29" s="34">
        <v>70</v>
      </c>
      <c r="Y29" s="34">
        <v>20</v>
      </c>
      <c r="Z29" s="46">
        <v>20</v>
      </c>
      <c r="AA29" s="34">
        <v>0</v>
      </c>
      <c r="AB29" s="34">
        <v>0</v>
      </c>
      <c r="AC29" s="52">
        <v>0</v>
      </c>
      <c r="AD29" s="34">
        <v>0</v>
      </c>
      <c r="AE29" s="34">
        <v>0</v>
      </c>
      <c r="AF29" s="52">
        <v>0</v>
      </c>
      <c r="AG29" s="34">
        <v>40</v>
      </c>
      <c r="AH29" s="34">
        <v>20</v>
      </c>
      <c r="AI29" s="52">
        <v>0</v>
      </c>
      <c r="AJ29" s="34">
        <v>60</v>
      </c>
      <c r="AK29" s="34">
        <v>30</v>
      </c>
      <c r="AL29" s="46">
        <v>20</v>
      </c>
      <c r="AM29" s="34">
        <v>0</v>
      </c>
      <c r="AN29" s="34">
        <v>0</v>
      </c>
      <c r="AO29" s="52">
        <v>0</v>
      </c>
      <c r="AP29" s="34">
        <v>0</v>
      </c>
      <c r="AQ29" s="34">
        <v>0</v>
      </c>
      <c r="AR29" s="52">
        <v>0</v>
      </c>
      <c r="AS29" s="34">
        <v>0</v>
      </c>
      <c r="AT29" s="34">
        <v>0</v>
      </c>
      <c r="AU29" s="52">
        <v>0</v>
      </c>
      <c r="AV29" s="34">
        <v>0</v>
      </c>
      <c r="AW29" s="34">
        <v>0</v>
      </c>
      <c r="AX29" s="46">
        <v>0</v>
      </c>
      <c r="AY29" s="34">
        <f t="shared" si="0"/>
        <v>259.60069155839994</v>
      </c>
      <c r="AZ29" s="34">
        <f t="shared" si="1"/>
        <v>278.65405557759993</v>
      </c>
      <c r="BA29" s="52">
        <f t="shared" si="2"/>
        <v>279.07805557759991</v>
      </c>
      <c r="BB29" s="34">
        <f t="shared" si="3"/>
        <v>259.60069155839994</v>
      </c>
      <c r="BC29" s="34">
        <f t="shared" si="4"/>
        <v>278.65405557759993</v>
      </c>
      <c r="BD29" s="52">
        <f t="shared" si="5"/>
        <v>279.07805557759991</v>
      </c>
      <c r="BE29" s="34">
        <f t="shared" si="6"/>
        <v>299.60069155839994</v>
      </c>
      <c r="BF29" s="34">
        <f t="shared" si="7"/>
        <v>283.65405557759993</v>
      </c>
      <c r="BG29" s="52">
        <f t="shared" si="8"/>
        <v>264.07805557759991</v>
      </c>
      <c r="BH29" s="34">
        <f t="shared" si="9"/>
        <v>369.60069155839994</v>
      </c>
      <c r="BI29" s="34">
        <f t="shared" si="10"/>
        <v>293.65405557759993</v>
      </c>
      <c r="BJ29" s="46">
        <f t="shared" si="11"/>
        <v>284.07805557759991</v>
      </c>
      <c r="BK29" s="57">
        <f t="shared" si="12"/>
        <v>3429.3312108543992</v>
      </c>
      <c r="BL29" s="34">
        <f t="shared" si="13"/>
        <v>817.33280271359979</v>
      </c>
      <c r="BM29" s="34">
        <f t="shared" si="14"/>
        <v>817.33280271359979</v>
      </c>
      <c r="BN29" s="34">
        <f t="shared" si="15"/>
        <v>847.33280271359979</v>
      </c>
      <c r="BO29" s="46">
        <f t="shared" si="16"/>
        <v>947.33280271359979</v>
      </c>
      <c r="BP29" s="65">
        <f t="shared" si="17"/>
        <v>239.60069155839997</v>
      </c>
      <c r="BQ29" s="65">
        <f t="shared" si="18"/>
        <v>243.65405557759996</v>
      </c>
      <c r="BR29" s="66">
        <f t="shared" si="19"/>
        <v>244.07805557759994</v>
      </c>
      <c r="BS29" s="34">
        <v>111</v>
      </c>
      <c r="BT29" s="34">
        <v>113</v>
      </c>
      <c r="BU29" s="52">
        <v>115</v>
      </c>
      <c r="BV29" s="58">
        <f t="shared" si="20"/>
        <v>1648.0034577919998</v>
      </c>
      <c r="BW29" s="58">
        <f t="shared" si="21"/>
        <v>1668.2702778879998</v>
      </c>
      <c r="BX29" s="59">
        <f t="shared" si="22"/>
        <v>1670.3902778879997</v>
      </c>
      <c r="BY29" s="44">
        <v>8.82</v>
      </c>
      <c r="BZ29" s="44">
        <v>8.98</v>
      </c>
      <c r="CA29" s="53">
        <v>8.98</v>
      </c>
      <c r="CB29" s="58">
        <f t="shared" si="23"/>
        <v>21.946982399999996</v>
      </c>
      <c r="CC29" s="58">
        <f t="shared" si="24"/>
        <v>22.345113599999994</v>
      </c>
      <c r="CD29" s="59">
        <f t="shared" si="25"/>
        <v>22.345113599999994</v>
      </c>
    </row>
    <row r="30" spans="1:82" ht="13.5" customHeight="1" x14ac:dyDescent="0.25">
      <c r="A30" s="36" t="s">
        <v>76</v>
      </c>
      <c r="B30" s="71" t="s">
        <v>298</v>
      </c>
      <c r="C30" s="34">
        <v>0</v>
      </c>
      <c r="D30" s="34">
        <v>0</v>
      </c>
      <c r="E30" s="52">
        <v>0</v>
      </c>
      <c r="F30" s="34">
        <v>0</v>
      </c>
      <c r="G30" s="34">
        <v>0</v>
      </c>
      <c r="H30" s="52">
        <v>0</v>
      </c>
      <c r="I30" s="34">
        <v>40</v>
      </c>
      <c r="J30" s="34">
        <v>25</v>
      </c>
      <c r="K30" s="52">
        <v>25</v>
      </c>
      <c r="L30" s="34">
        <v>40</v>
      </c>
      <c r="M30" s="34">
        <v>0</v>
      </c>
      <c r="N30" s="46">
        <v>0</v>
      </c>
      <c r="O30" s="34">
        <v>0</v>
      </c>
      <c r="P30" s="34">
        <v>0</v>
      </c>
      <c r="Q30" s="52">
        <v>0</v>
      </c>
      <c r="R30" s="34">
        <v>0</v>
      </c>
      <c r="S30" s="34">
        <v>0</v>
      </c>
      <c r="T30" s="52">
        <v>0</v>
      </c>
      <c r="U30" s="34">
        <v>80</v>
      </c>
      <c r="V30" s="34">
        <v>65</v>
      </c>
      <c r="W30" s="52">
        <v>90</v>
      </c>
      <c r="X30" s="34">
        <v>40</v>
      </c>
      <c r="Y30" s="34">
        <v>10</v>
      </c>
      <c r="Z30" s="46">
        <v>15</v>
      </c>
      <c r="AA30" s="34">
        <v>0</v>
      </c>
      <c r="AB30" s="34">
        <v>0</v>
      </c>
      <c r="AC30" s="52">
        <v>0</v>
      </c>
      <c r="AD30" s="34">
        <v>0</v>
      </c>
      <c r="AE30" s="34">
        <v>0</v>
      </c>
      <c r="AF30" s="52">
        <v>0</v>
      </c>
      <c r="AG30" s="34">
        <v>50</v>
      </c>
      <c r="AH30" s="34">
        <v>50</v>
      </c>
      <c r="AI30" s="52">
        <v>40</v>
      </c>
      <c r="AJ30" s="34">
        <v>10</v>
      </c>
      <c r="AK30" s="34">
        <v>0</v>
      </c>
      <c r="AL30" s="46">
        <v>20</v>
      </c>
      <c r="AM30" s="34">
        <v>0</v>
      </c>
      <c r="AN30" s="34">
        <v>0</v>
      </c>
      <c r="AO30" s="52">
        <v>0</v>
      </c>
      <c r="AP30" s="34">
        <v>0</v>
      </c>
      <c r="AQ30" s="34">
        <v>0</v>
      </c>
      <c r="AR30" s="52">
        <v>0</v>
      </c>
      <c r="AS30" s="34">
        <v>0</v>
      </c>
      <c r="AT30" s="34">
        <v>0</v>
      </c>
      <c r="AU30" s="52">
        <v>0</v>
      </c>
      <c r="AV30" s="34">
        <v>0</v>
      </c>
      <c r="AW30" s="34">
        <v>0</v>
      </c>
      <c r="AX30" s="46">
        <v>0</v>
      </c>
      <c r="AY30" s="34">
        <f t="shared" si="0"/>
        <v>249.23592535039998</v>
      </c>
      <c r="AZ30" s="34">
        <f t="shared" si="1"/>
        <v>242.70220881919997</v>
      </c>
      <c r="BA30" s="52">
        <f t="shared" si="2"/>
        <v>246.99724334079997</v>
      </c>
      <c r="BB30" s="34">
        <f t="shared" si="3"/>
        <v>249.23592535039998</v>
      </c>
      <c r="BC30" s="34">
        <f t="shared" si="4"/>
        <v>242.70220881919997</v>
      </c>
      <c r="BD30" s="52">
        <f t="shared" si="5"/>
        <v>246.99724334079997</v>
      </c>
      <c r="BE30" s="34">
        <f t="shared" si="6"/>
        <v>379.23592535039995</v>
      </c>
      <c r="BF30" s="34">
        <f t="shared" si="7"/>
        <v>357.7022088192</v>
      </c>
      <c r="BG30" s="52">
        <f t="shared" si="8"/>
        <v>376.99724334079997</v>
      </c>
      <c r="BH30" s="34">
        <f t="shared" si="9"/>
        <v>299.23592535039995</v>
      </c>
      <c r="BI30" s="34">
        <f t="shared" si="10"/>
        <v>252.70220881919997</v>
      </c>
      <c r="BJ30" s="46">
        <f t="shared" si="11"/>
        <v>281.99724334079997</v>
      </c>
      <c r="BK30" s="57">
        <f t="shared" si="12"/>
        <v>3425.7415100416001</v>
      </c>
      <c r="BL30" s="34">
        <f t="shared" si="13"/>
        <v>738.93537751039992</v>
      </c>
      <c r="BM30" s="34">
        <f t="shared" si="14"/>
        <v>738.93537751039992</v>
      </c>
      <c r="BN30" s="34">
        <f t="shared" si="15"/>
        <v>1113.9353775104</v>
      </c>
      <c r="BO30" s="46">
        <f t="shared" si="16"/>
        <v>833.93537751039992</v>
      </c>
      <c r="BP30" s="65">
        <f t="shared" si="17"/>
        <v>249.23592535039998</v>
      </c>
      <c r="BQ30" s="65">
        <f t="shared" si="18"/>
        <v>242.70220881919997</v>
      </c>
      <c r="BR30" s="66">
        <f t="shared" si="19"/>
        <v>246.99724334079997</v>
      </c>
      <c r="BS30" s="34">
        <v>119</v>
      </c>
      <c r="BT30" s="34">
        <v>116</v>
      </c>
      <c r="BU30" s="52">
        <v>117</v>
      </c>
      <c r="BV30" s="58">
        <f t="shared" si="20"/>
        <v>1696.1796267519999</v>
      </c>
      <c r="BW30" s="58">
        <f t="shared" si="21"/>
        <v>1663.5110440959998</v>
      </c>
      <c r="BX30" s="59">
        <f t="shared" si="22"/>
        <v>1684.9862167039998</v>
      </c>
      <c r="BY30" s="44">
        <v>9.17</v>
      </c>
      <c r="BZ30" s="44">
        <v>8.91</v>
      </c>
      <c r="CA30" s="53">
        <v>9.09</v>
      </c>
      <c r="CB30" s="58">
        <f t="shared" si="23"/>
        <v>22.817894399999997</v>
      </c>
      <c r="CC30" s="58">
        <f t="shared" si="24"/>
        <v>22.170931199999995</v>
      </c>
      <c r="CD30" s="59">
        <f t="shared" si="25"/>
        <v>22.618828799999996</v>
      </c>
    </row>
    <row r="31" spans="1:82" ht="13.5" customHeight="1" x14ac:dyDescent="0.25">
      <c r="A31" s="36" t="s">
        <v>77</v>
      </c>
      <c r="B31" s="70" t="s">
        <v>634</v>
      </c>
      <c r="C31" s="34">
        <v>55</v>
      </c>
      <c r="D31" s="34">
        <v>55</v>
      </c>
      <c r="E31" s="52">
        <v>35</v>
      </c>
      <c r="F31" s="34">
        <v>0</v>
      </c>
      <c r="G31" s="34">
        <v>0</v>
      </c>
      <c r="H31" s="52">
        <v>35</v>
      </c>
      <c r="I31" s="34">
        <v>0</v>
      </c>
      <c r="J31" s="34">
        <v>0</v>
      </c>
      <c r="K31" s="52">
        <v>0</v>
      </c>
      <c r="L31" s="34">
        <v>0</v>
      </c>
      <c r="M31" s="34">
        <v>0</v>
      </c>
      <c r="N31" s="46">
        <v>0</v>
      </c>
      <c r="O31" s="34">
        <v>110</v>
      </c>
      <c r="P31" s="34">
        <v>105</v>
      </c>
      <c r="Q31" s="52">
        <v>90</v>
      </c>
      <c r="R31" s="34">
        <v>25</v>
      </c>
      <c r="S31" s="34">
        <v>0</v>
      </c>
      <c r="T31" s="52">
        <v>0</v>
      </c>
      <c r="U31" s="34">
        <v>0</v>
      </c>
      <c r="V31" s="34">
        <v>0</v>
      </c>
      <c r="W31" s="52">
        <v>0</v>
      </c>
      <c r="X31" s="34">
        <v>0</v>
      </c>
      <c r="Y31" s="34">
        <v>0</v>
      </c>
      <c r="Z31" s="46">
        <v>0</v>
      </c>
      <c r="AA31" s="34">
        <v>75</v>
      </c>
      <c r="AB31" s="34">
        <v>55</v>
      </c>
      <c r="AC31" s="52">
        <v>20</v>
      </c>
      <c r="AD31" s="34">
        <v>10</v>
      </c>
      <c r="AE31" s="34">
        <v>0</v>
      </c>
      <c r="AF31" s="52">
        <v>0</v>
      </c>
      <c r="AG31" s="34">
        <v>0</v>
      </c>
      <c r="AH31" s="34">
        <v>0</v>
      </c>
      <c r="AI31" s="52">
        <v>0</v>
      </c>
      <c r="AJ31" s="34">
        <v>0</v>
      </c>
      <c r="AK31" s="34">
        <v>0</v>
      </c>
      <c r="AL31" s="46">
        <v>0</v>
      </c>
      <c r="AM31" s="34">
        <v>5</v>
      </c>
      <c r="AN31" s="34">
        <v>15</v>
      </c>
      <c r="AO31" s="52">
        <v>5</v>
      </c>
      <c r="AP31" s="34">
        <v>0</v>
      </c>
      <c r="AQ31" s="34">
        <v>10</v>
      </c>
      <c r="AR31" s="52">
        <v>0</v>
      </c>
      <c r="AS31" s="34">
        <v>0</v>
      </c>
      <c r="AT31" s="34">
        <v>0</v>
      </c>
      <c r="AU31" s="52">
        <v>0</v>
      </c>
      <c r="AV31" s="34">
        <v>0</v>
      </c>
      <c r="AW31" s="34">
        <v>0</v>
      </c>
      <c r="AX31" s="46">
        <v>0</v>
      </c>
      <c r="AY31" s="34">
        <f t="shared" si="0"/>
        <v>435.36919731199998</v>
      </c>
      <c r="AZ31" s="34">
        <f t="shared" si="1"/>
        <v>410.83781027839996</v>
      </c>
      <c r="BA31" s="52">
        <f t="shared" si="2"/>
        <v>358.64352680960002</v>
      </c>
      <c r="BB31" s="34">
        <f t="shared" si="3"/>
        <v>280.36919731199998</v>
      </c>
      <c r="BC31" s="34">
        <f t="shared" si="4"/>
        <v>245.83781027839996</v>
      </c>
      <c r="BD31" s="52">
        <f t="shared" si="5"/>
        <v>243.64352680960002</v>
      </c>
      <c r="BE31" s="34">
        <f t="shared" si="6"/>
        <v>245.36919731199998</v>
      </c>
      <c r="BF31" s="34">
        <f t="shared" si="7"/>
        <v>235.83781027839996</v>
      </c>
      <c r="BG31" s="52">
        <f t="shared" si="8"/>
        <v>243.64352680960002</v>
      </c>
      <c r="BH31" s="34">
        <f t="shared" si="9"/>
        <v>245.36919731199998</v>
      </c>
      <c r="BI31" s="34">
        <f t="shared" si="10"/>
        <v>235.83781027839996</v>
      </c>
      <c r="BJ31" s="46">
        <f t="shared" si="11"/>
        <v>243.64352680960002</v>
      </c>
      <c r="BK31" s="57">
        <f t="shared" si="12"/>
        <v>3424.4021376000001</v>
      </c>
      <c r="BL31" s="34">
        <f t="shared" si="13"/>
        <v>1204.8505344</v>
      </c>
      <c r="BM31" s="34">
        <f t="shared" si="14"/>
        <v>769.85053440000002</v>
      </c>
      <c r="BN31" s="34">
        <f t="shared" si="15"/>
        <v>724.85053440000002</v>
      </c>
      <c r="BO31" s="46">
        <f t="shared" si="16"/>
        <v>724.85053440000002</v>
      </c>
      <c r="BP31" s="65">
        <f t="shared" si="17"/>
        <v>245.36919731199998</v>
      </c>
      <c r="BQ31" s="65">
        <f t="shared" si="18"/>
        <v>235.83781027839996</v>
      </c>
      <c r="BR31" s="66">
        <f t="shared" si="19"/>
        <v>243.64352680960002</v>
      </c>
      <c r="BS31" s="34">
        <v>135</v>
      </c>
      <c r="BT31" s="34">
        <v>120</v>
      </c>
      <c r="BU31" s="52">
        <v>129</v>
      </c>
      <c r="BV31" s="58">
        <f t="shared" si="20"/>
        <v>1676.8459865599998</v>
      </c>
      <c r="BW31" s="58">
        <f t="shared" si="21"/>
        <v>1629.1890513919998</v>
      </c>
      <c r="BX31" s="59">
        <f t="shared" si="22"/>
        <v>1668.217634048</v>
      </c>
      <c r="BY31" s="44">
        <v>8.85</v>
      </c>
      <c r="BZ31" s="44">
        <v>8.57</v>
      </c>
      <c r="CA31" s="53">
        <v>8.83</v>
      </c>
      <c r="CB31" s="58">
        <f t="shared" si="23"/>
        <v>22.021631999999993</v>
      </c>
      <c r="CC31" s="58">
        <f t="shared" si="24"/>
        <v>21.324902399999996</v>
      </c>
      <c r="CD31" s="59">
        <f t="shared" si="25"/>
        <v>21.971865599999997</v>
      </c>
    </row>
    <row r="32" spans="1:82" ht="13.5" customHeight="1" x14ac:dyDescent="0.25">
      <c r="A32" s="36" t="s">
        <v>78</v>
      </c>
      <c r="B32" s="67" t="s">
        <v>296</v>
      </c>
      <c r="C32" s="34">
        <v>0</v>
      </c>
      <c r="D32" s="34">
        <v>0</v>
      </c>
      <c r="E32" s="52">
        <v>40</v>
      </c>
      <c r="F32" s="34">
        <v>40</v>
      </c>
      <c r="G32" s="34">
        <v>40</v>
      </c>
      <c r="H32" s="52">
        <v>40</v>
      </c>
      <c r="I32" s="34">
        <v>0</v>
      </c>
      <c r="J32" s="34">
        <v>0</v>
      </c>
      <c r="K32" s="52">
        <v>0</v>
      </c>
      <c r="L32" s="34">
        <v>0</v>
      </c>
      <c r="M32" s="34">
        <v>0</v>
      </c>
      <c r="N32" s="46">
        <v>0</v>
      </c>
      <c r="O32" s="34">
        <v>15</v>
      </c>
      <c r="P32" s="34">
        <v>10</v>
      </c>
      <c r="Q32" s="52">
        <v>60</v>
      </c>
      <c r="R32" s="34">
        <v>70</v>
      </c>
      <c r="S32" s="34">
        <v>80</v>
      </c>
      <c r="T32" s="52">
        <v>90</v>
      </c>
      <c r="U32" s="34">
        <v>0</v>
      </c>
      <c r="V32" s="34">
        <v>0</v>
      </c>
      <c r="W32" s="52">
        <v>0</v>
      </c>
      <c r="X32" s="34">
        <v>0</v>
      </c>
      <c r="Y32" s="34">
        <v>0</v>
      </c>
      <c r="Z32" s="46">
        <v>0</v>
      </c>
      <c r="AA32" s="34">
        <v>0</v>
      </c>
      <c r="AB32" s="34">
        <v>0</v>
      </c>
      <c r="AC32" s="52">
        <v>0</v>
      </c>
      <c r="AD32" s="34">
        <v>45</v>
      </c>
      <c r="AE32" s="34">
        <v>45</v>
      </c>
      <c r="AF32" s="52">
        <v>45</v>
      </c>
      <c r="AG32" s="34">
        <v>0</v>
      </c>
      <c r="AH32" s="34">
        <v>0</v>
      </c>
      <c r="AI32" s="52">
        <v>0</v>
      </c>
      <c r="AJ32" s="34">
        <v>0</v>
      </c>
      <c r="AK32" s="34">
        <v>0</v>
      </c>
      <c r="AL32" s="46">
        <v>0</v>
      </c>
      <c r="AM32" s="34">
        <v>0</v>
      </c>
      <c r="AN32" s="34">
        <v>0</v>
      </c>
      <c r="AO32" s="52">
        <v>0</v>
      </c>
      <c r="AP32" s="34">
        <v>0</v>
      </c>
      <c r="AQ32" s="34">
        <v>0</v>
      </c>
      <c r="AR32" s="52">
        <v>0</v>
      </c>
      <c r="AS32" s="34">
        <v>0</v>
      </c>
      <c r="AT32" s="34">
        <v>0</v>
      </c>
      <c r="AU32" s="52">
        <v>0</v>
      </c>
      <c r="AV32" s="34">
        <v>0</v>
      </c>
      <c r="AW32" s="34">
        <v>0</v>
      </c>
      <c r="AX32" s="46">
        <v>0</v>
      </c>
      <c r="AY32" s="34">
        <f t="shared" si="0"/>
        <v>261.30190233600001</v>
      </c>
      <c r="AZ32" s="34">
        <f t="shared" si="1"/>
        <v>255.63623183359996</v>
      </c>
      <c r="BA32" s="52">
        <f t="shared" si="2"/>
        <v>308.55541959679999</v>
      </c>
      <c r="BB32" s="34">
        <f t="shared" si="3"/>
        <v>361.30190233600001</v>
      </c>
      <c r="BC32" s="34">
        <f t="shared" si="4"/>
        <v>370.63623183359994</v>
      </c>
      <c r="BD32" s="52">
        <f t="shared" si="5"/>
        <v>383.55541959679999</v>
      </c>
      <c r="BE32" s="34">
        <f t="shared" si="6"/>
        <v>246.30190233599998</v>
      </c>
      <c r="BF32" s="34">
        <f t="shared" si="7"/>
        <v>245.63623183359996</v>
      </c>
      <c r="BG32" s="52">
        <f t="shared" si="8"/>
        <v>248.55541959679999</v>
      </c>
      <c r="BH32" s="34">
        <f t="shared" si="9"/>
        <v>246.30190233599998</v>
      </c>
      <c r="BI32" s="34">
        <f t="shared" si="10"/>
        <v>245.63623183359996</v>
      </c>
      <c r="BJ32" s="46">
        <f t="shared" si="11"/>
        <v>248.55541959679999</v>
      </c>
      <c r="BK32" s="57">
        <f t="shared" si="12"/>
        <v>3421.9742150656002</v>
      </c>
      <c r="BL32" s="34">
        <f t="shared" si="13"/>
        <v>825.49355376639994</v>
      </c>
      <c r="BM32" s="34">
        <f t="shared" si="14"/>
        <v>1115.4935537664001</v>
      </c>
      <c r="BN32" s="34">
        <f t="shared" si="15"/>
        <v>740.49355376639994</v>
      </c>
      <c r="BO32" s="46">
        <f t="shared" si="16"/>
        <v>740.49355376639994</v>
      </c>
      <c r="BP32" s="65">
        <f t="shared" si="17"/>
        <v>246.30190233599998</v>
      </c>
      <c r="BQ32" s="65">
        <f t="shared" si="18"/>
        <v>245.63623183359996</v>
      </c>
      <c r="BR32" s="66">
        <f t="shared" si="19"/>
        <v>248.55541959679999</v>
      </c>
      <c r="BS32" s="34">
        <v>118</v>
      </c>
      <c r="BT32" s="34">
        <v>117</v>
      </c>
      <c r="BU32" s="52">
        <v>119</v>
      </c>
      <c r="BV32" s="58">
        <f t="shared" si="20"/>
        <v>1681.5095116799998</v>
      </c>
      <c r="BW32" s="58">
        <f t="shared" si="21"/>
        <v>1678.1811591679998</v>
      </c>
      <c r="BX32" s="59">
        <f t="shared" si="22"/>
        <v>1692.777097984</v>
      </c>
      <c r="BY32" s="44">
        <v>9.0500000000000007</v>
      </c>
      <c r="BZ32" s="44">
        <v>9.0299999999999994</v>
      </c>
      <c r="CA32" s="53">
        <v>9.14</v>
      </c>
      <c r="CB32" s="58">
        <f t="shared" si="23"/>
        <v>22.519295999999997</v>
      </c>
      <c r="CC32" s="58">
        <f t="shared" si="24"/>
        <v>22.469529599999994</v>
      </c>
      <c r="CD32" s="59">
        <f t="shared" si="25"/>
        <v>22.743244799999999</v>
      </c>
    </row>
    <row r="33" spans="1:82" ht="13.5" customHeight="1" x14ac:dyDescent="0.25">
      <c r="A33" s="36" t="s">
        <v>79</v>
      </c>
      <c r="B33" s="67" t="s">
        <v>679</v>
      </c>
      <c r="C33" s="34">
        <v>0</v>
      </c>
      <c r="D33" s="34">
        <v>0</v>
      </c>
      <c r="E33" s="52">
        <v>20</v>
      </c>
      <c r="F33" s="34">
        <v>0</v>
      </c>
      <c r="G33" s="34">
        <v>0</v>
      </c>
      <c r="H33" s="52">
        <v>20</v>
      </c>
      <c r="I33" s="34">
        <v>40</v>
      </c>
      <c r="J33" s="34">
        <v>0</v>
      </c>
      <c r="K33" s="52">
        <v>20</v>
      </c>
      <c r="L33" s="34">
        <v>0</v>
      </c>
      <c r="M33" s="34">
        <v>0</v>
      </c>
      <c r="N33" s="46">
        <v>20</v>
      </c>
      <c r="O33" s="34">
        <v>0</v>
      </c>
      <c r="P33" s="34">
        <v>20</v>
      </c>
      <c r="Q33" s="52">
        <v>35</v>
      </c>
      <c r="R33" s="34">
        <v>0</v>
      </c>
      <c r="S33" s="34">
        <v>20</v>
      </c>
      <c r="T33" s="52">
        <v>35</v>
      </c>
      <c r="U33" s="34">
        <v>75</v>
      </c>
      <c r="V33" s="34">
        <v>45</v>
      </c>
      <c r="W33" s="52">
        <v>65</v>
      </c>
      <c r="X33" s="34">
        <v>35</v>
      </c>
      <c r="Y33" s="34">
        <v>20</v>
      </c>
      <c r="Z33" s="46">
        <v>35</v>
      </c>
      <c r="AA33" s="34">
        <v>12</v>
      </c>
      <c r="AB33" s="34">
        <v>10</v>
      </c>
      <c r="AC33" s="52">
        <v>0</v>
      </c>
      <c r="AD33" s="34">
        <v>12</v>
      </c>
      <c r="AE33" s="34">
        <v>10</v>
      </c>
      <c r="AF33" s="52">
        <v>0</v>
      </c>
      <c r="AG33" s="34">
        <v>37</v>
      </c>
      <c r="AH33" s="34">
        <v>20</v>
      </c>
      <c r="AI33" s="52">
        <v>10</v>
      </c>
      <c r="AJ33" s="34">
        <v>12</v>
      </c>
      <c r="AK33" s="34">
        <v>10</v>
      </c>
      <c r="AL33" s="46">
        <v>0</v>
      </c>
      <c r="AM33" s="34">
        <v>0</v>
      </c>
      <c r="AN33" s="34">
        <v>0</v>
      </c>
      <c r="AO33" s="52">
        <v>0</v>
      </c>
      <c r="AP33" s="34">
        <v>0</v>
      </c>
      <c r="AQ33" s="34">
        <v>0</v>
      </c>
      <c r="AR33" s="52">
        <v>0</v>
      </c>
      <c r="AS33" s="34">
        <v>0</v>
      </c>
      <c r="AT33" s="34">
        <v>0</v>
      </c>
      <c r="AU33" s="52">
        <v>0</v>
      </c>
      <c r="AV33" s="34">
        <v>0</v>
      </c>
      <c r="AW33" s="34">
        <v>0</v>
      </c>
      <c r="AX33" s="46">
        <v>0</v>
      </c>
      <c r="AY33" s="34">
        <f t="shared" si="0"/>
        <v>250.4516800511999</v>
      </c>
      <c r="AZ33" s="34">
        <f t="shared" si="1"/>
        <v>276.31673758720001</v>
      </c>
      <c r="BA33" s="52">
        <f t="shared" si="2"/>
        <v>274.75335055359994</v>
      </c>
      <c r="BB33" s="34">
        <f t="shared" si="3"/>
        <v>250.4516800511999</v>
      </c>
      <c r="BC33" s="34">
        <f t="shared" si="4"/>
        <v>276.31673758720001</v>
      </c>
      <c r="BD33" s="52">
        <f t="shared" si="5"/>
        <v>274.75335055359994</v>
      </c>
      <c r="BE33" s="34">
        <f t="shared" si="6"/>
        <v>350.4516800511999</v>
      </c>
      <c r="BF33" s="34">
        <f t="shared" si="7"/>
        <v>311.31673758720001</v>
      </c>
      <c r="BG33" s="52">
        <f t="shared" si="8"/>
        <v>314.75335055359994</v>
      </c>
      <c r="BH33" s="34">
        <f t="shared" si="9"/>
        <v>285.4516800511999</v>
      </c>
      <c r="BI33" s="34">
        <f t="shared" si="10"/>
        <v>276.31673758720001</v>
      </c>
      <c r="BJ33" s="46">
        <f t="shared" si="11"/>
        <v>274.75335055359994</v>
      </c>
      <c r="BK33" s="57">
        <f t="shared" si="12"/>
        <v>3416.0870727679994</v>
      </c>
      <c r="BL33" s="34">
        <f t="shared" si="13"/>
        <v>801.52176819199985</v>
      </c>
      <c r="BM33" s="34">
        <f t="shared" si="14"/>
        <v>801.52176819199985</v>
      </c>
      <c r="BN33" s="34">
        <f t="shared" si="15"/>
        <v>976.52176819199985</v>
      </c>
      <c r="BO33" s="46">
        <f t="shared" si="16"/>
        <v>836.52176819199985</v>
      </c>
      <c r="BP33" s="65">
        <f t="shared" si="17"/>
        <v>238.4516800511999</v>
      </c>
      <c r="BQ33" s="65">
        <f t="shared" si="18"/>
        <v>246.31673758720001</v>
      </c>
      <c r="BR33" s="66">
        <f t="shared" si="19"/>
        <v>239.75335055359997</v>
      </c>
      <c r="BS33" s="34">
        <v>112</v>
      </c>
      <c r="BT33" s="34">
        <v>117</v>
      </c>
      <c r="BU33" s="52">
        <v>116</v>
      </c>
      <c r="BV33" s="58">
        <f t="shared" si="20"/>
        <v>1642.2584002559995</v>
      </c>
      <c r="BW33" s="58">
        <f t="shared" si="21"/>
        <v>1681.5836879359999</v>
      </c>
      <c r="BX33" s="59">
        <f t="shared" si="22"/>
        <v>1648.7667527679998</v>
      </c>
      <c r="BY33" s="44">
        <v>8.76</v>
      </c>
      <c r="BZ33" s="44">
        <v>9.06</v>
      </c>
      <c r="CA33" s="53">
        <v>8.7799999999999994</v>
      </c>
      <c r="CB33" s="58">
        <f t="shared" si="23"/>
        <v>21.797683199999991</v>
      </c>
      <c r="CC33" s="58">
        <f t="shared" si="24"/>
        <v>22.544179199999999</v>
      </c>
      <c r="CD33" s="59">
        <f t="shared" si="25"/>
        <v>21.847449599999994</v>
      </c>
    </row>
    <row r="34" spans="1:82" ht="13.5" customHeight="1" x14ac:dyDescent="0.25">
      <c r="A34" s="36" t="s">
        <v>80</v>
      </c>
      <c r="B34" s="71" t="s">
        <v>141</v>
      </c>
      <c r="C34" s="34">
        <v>0</v>
      </c>
      <c r="D34" s="34">
        <v>0</v>
      </c>
      <c r="E34" s="52">
        <v>0</v>
      </c>
      <c r="F34" s="34">
        <v>0</v>
      </c>
      <c r="G34" s="34">
        <v>0</v>
      </c>
      <c r="H34" s="52">
        <v>0</v>
      </c>
      <c r="I34" s="34">
        <v>45</v>
      </c>
      <c r="J34" s="34">
        <v>30</v>
      </c>
      <c r="K34" s="52">
        <v>45</v>
      </c>
      <c r="L34" s="34">
        <v>0</v>
      </c>
      <c r="M34" s="34">
        <v>30</v>
      </c>
      <c r="N34" s="46">
        <v>0</v>
      </c>
      <c r="O34" s="34">
        <v>0</v>
      </c>
      <c r="P34" s="34">
        <v>0</v>
      </c>
      <c r="Q34" s="52">
        <v>0</v>
      </c>
      <c r="R34" s="34">
        <v>0</v>
      </c>
      <c r="S34" s="34">
        <v>0</v>
      </c>
      <c r="T34" s="52">
        <v>0</v>
      </c>
      <c r="U34" s="34">
        <v>103</v>
      </c>
      <c r="V34" s="34">
        <v>48</v>
      </c>
      <c r="W34" s="52">
        <v>63</v>
      </c>
      <c r="X34" s="34">
        <v>0</v>
      </c>
      <c r="Y34" s="34">
        <v>30</v>
      </c>
      <c r="Z34" s="46">
        <v>0</v>
      </c>
      <c r="AA34" s="34">
        <v>0</v>
      </c>
      <c r="AB34" s="34">
        <v>0</v>
      </c>
      <c r="AC34" s="52">
        <v>0</v>
      </c>
      <c r="AD34" s="34">
        <v>0</v>
      </c>
      <c r="AE34" s="34">
        <v>0</v>
      </c>
      <c r="AF34" s="52">
        <v>0</v>
      </c>
      <c r="AG34" s="34">
        <v>70</v>
      </c>
      <c r="AH34" s="34">
        <v>50</v>
      </c>
      <c r="AI34" s="52">
        <v>50</v>
      </c>
      <c r="AJ34" s="34">
        <v>10</v>
      </c>
      <c r="AK34" s="34">
        <v>0</v>
      </c>
      <c r="AL34" s="46">
        <v>0</v>
      </c>
      <c r="AM34" s="34">
        <v>0</v>
      </c>
      <c r="AN34" s="34">
        <v>0</v>
      </c>
      <c r="AO34" s="52">
        <v>0</v>
      </c>
      <c r="AP34" s="34">
        <v>0</v>
      </c>
      <c r="AQ34" s="34">
        <v>0</v>
      </c>
      <c r="AR34" s="52">
        <v>0</v>
      </c>
      <c r="AS34" s="34">
        <v>10</v>
      </c>
      <c r="AT34" s="34">
        <v>20</v>
      </c>
      <c r="AU34" s="52">
        <v>10</v>
      </c>
      <c r="AV34" s="34">
        <v>0</v>
      </c>
      <c r="AW34" s="34">
        <v>0</v>
      </c>
      <c r="AX34" s="46">
        <v>0</v>
      </c>
      <c r="AY34" s="34">
        <f t="shared" si="0"/>
        <v>246.19805557759992</v>
      </c>
      <c r="AZ34" s="34">
        <f t="shared" si="1"/>
        <v>249.99491384319995</v>
      </c>
      <c r="BA34" s="52">
        <f t="shared" si="2"/>
        <v>236.75998653440001</v>
      </c>
      <c r="BB34" s="34">
        <f t="shared" si="3"/>
        <v>246.19805557759992</v>
      </c>
      <c r="BC34" s="34">
        <f t="shared" si="4"/>
        <v>249.99491384319995</v>
      </c>
      <c r="BD34" s="52">
        <f t="shared" si="5"/>
        <v>236.75998653440001</v>
      </c>
      <c r="BE34" s="34">
        <f t="shared" si="6"/>
        <v>429.19805557759992</v>
      </c>
      <c r="BF34" s="34">
        <f t="shared" si="7"/>
        <v>367.99491384319992</v>
      </c>
      <c r="BG34" s="52">
        <f t="shared" si="8"/>
        <v>359.75998653440001</v>
      </c>
      <c r="BH34" s="34">
        <f t="shared" si="9"/>
        <v>256.19805557759992</v>
      </c>
      <c r="BI34" s="34">
        <f t="shared" si="10"/>
        <v>279.99491384319992</v>
      </c>
      <c r="BJ34" s="46">
        <f t="shared" si="11"/>
        <v>236.75998653440001</v>
      </c>
      <c r="BK34" s="57">
        <f t="shared" si="12"/>
        <v>3395.8118238207994</v>
      </c>
      <c r="BL34" s="34">
        <f t="shared" si="13"/>
        <v>732.95295595519985</v>
      </c>
      <c r="BM34" s="34">
        <f t="shared" si="14"/>
        <v>732.95295595519985</v>
      </c>
      <c r="BN34" s="34">
        <f t="shared" si="15"/>
        <v>1156.9529559551997</v>
      </c>
      <c r="BO34" s="46">
        <f t="shared" si="16"/>
        <v>772.95295595519985</v>
      </c>
      <c r="BP34" s="65">
        <f t="shared" si="17"/>
        <v>246.19805557759992</v>
      </c>
      <c r="BQ34" s="65">
        <f t="shared" si="18"/>
        <v>249.99491384319995</v>
      </c>
      <c r="BR34" s="66">
        <f t="shared" si="19"/>
        <v>236.75998653440001</v>
      </c>
      <c r="BS34" s="34">
        <v>125</v>
      </c>
      <c r="BT34" s="34">
        <v>129</v>
      </c>
      <c r="BU34" s="52">
        <v>119</v>
      </c>
      <c r="BV34" s="58">
        <f t="shared" si="20"/>
        <v>1680.9902778879996</v>
      </c>
      <c r="BW34" s="58">
        <f t="shared" si="21"/>
        <v>1699.9745692159997</v>
      </c>
      <c r="BX34" s="59">
        <f t="shared" si="22"/>
        <v>1633.7999326720001</v>
      </c>
      <c r="BY34" s="44">
        <v>8.98</v>
      </c>
      <c r="BZ34" s="44">
        <v>9.11</v>
      </c>
      <c r="CA34" s="53">
        <v>8.6199999999999992</v>
      </c>
      <c r="CB34" s="58">
        <f t="shared" si="23"/>
        <v>22.345113599999994</v>
      </c>
      <c r="CC34" s="58">
        <f t="shared" si="24"/>
        <v>22.668595199999995</v>
      </c>
      <c r="CD34" s="59">
        <f t="shared" si="25"/>
        <v>21.449318399999999</v>
      </c>
    </row>
    <row r="35" spans="1:82" ht="13.5" customHeight="1" x14ac:dyDescent="0.25">
      <c r="A35" s="36" t="s">
        <v>81</v>
      </c>
      <c r="B35" s="67" t="s">
        <v>90</v>
      </c>
      <c r="C35" s="34">
        <v>0</v>
      </c>
      <c r="D35" s="34">
        <v>10</v>
      </c>
      <c r="E35" s="52">
        <v>0</v>
      </c>
      <c r="F35" s="34">
        <v>40</v>
      </c>
      <c r="G35" s="34">
        <v>10</v>
      </c>
      <c r="H35" s="52">
        <v>40</v>
      </c>
      <c r="I35" s="34">
        <v>0</v>
      </c>
      <c r="J35" s="34">
        <v>0</v>
      </c>
      <c r="K35" s="52">
        <v>0</v>
      </c>
      <c r="L35" s="34">
        <v>0</v>
      </c>
      <c r="M35" s="34">
        <v>0</v>
      </c>
      <c r="N35" s="46">
        <v>0</v>
      </c>
      <c r="O35" s="34">
        <v>10</v>
      </c>
      <c r="P35" s="34">
        <v>35</v>
      </c>
      <c r="Q35" s="52">
        <v>0</v>
      </c>
      <c r="R35" s="34">
        <v>90</v>
      </c>
      <c r="S35" s="34">
        <v>70</v>
      </c>
      <c r="T35" s="52">
        <v>55</v>
      </c>
      <c r="U35" s="34">
        <v>0</v>
      </c>
      <c r="V35" s="34">
        <v>0</v>
      </c>
      <c r="W35" s="52">
        <v>0</v>
      </c>
      <c r="X35" s="34">
        <v>0</v>
      </c>
      <c r="Y35" s="34">
        <v>0</v>
      </c>
      <c r="Z35" s="46">
        <v>0</v>
      </c>
      <c r="AA35" s="34">
        <v>50</v>
      </c>
      <c r="AB35" s="34">
        <v>0</v>
      </c>
      <c r="AC35" s="52">
        <v>0</v>
      </c>
      <c r="AD35" s="34">
        <v>60</v>
      </c>
      <c r="AE35" s="34">
        <v>35</v>
      </c>
      <c r="AF35" s="52">
        <v>20</v>
      </c>
      <c r="AG35" s="34">
        <v>0</v>
      </c>
      <c r="AH35" s="34">
        <v>0</v>
      </c>
      <c r="AI35" s="52">
        <v>0</v>
      </c>
      <c r="AJ35" s="34">
        <v>0</v>
      </c>
      <c r="AK35" s="34">
        <v>0</v>
      </c>
      <c r="AL35" s="46">
        <v>0</v>
      </c>
      <c r="AM35" s="34">
        <v>0</v>
      </c>
      <c r="AN35" s="34">
        <v>5</v>
      </c>
      <c r="AO35" s="52">
        <v>5</v>
      </c>
      <c r="AP35" s="34">
        <v>5</v>
      </c>
      <c r="AQ35" s="34">
        <v>5</v>
      </c>
      <c r="AR35" s="52">
        <v>5</v>
      </c>
      <c r="AS35" s="34">
        <v>0</v>
      </c>
      <c r="AT35" s="34">
        <v>0</v>
      </c>
      <c r="AU35" s="52">
        <v>0</v>
      </c>
      <c r="AV35" s="34">
        <v>0</v>
      </c>
      <c r="AW35" s="34">
        <v>0</v>
      </c>
      <c r="AX35" s="46">
        <v>0</v>
      </c>
      <c r="AY35" s="34">
        <f t="shared" ref="AY35:AY66" si="26">O35+AA35+AM35+BP35</f>
        <v>300.44869155840001</v>
      </c>
      <c r="AZ35" s="34">
        <f t="shared" ref="AZ35:AZ66" si="27">P35+AB35+AN35+BQ35</f>
        <v>282.00686781439993</v>
      </c>
      <c r="BA35" s="52">
        <f t="shared" ref="BA35:BA66" si="28">Q35+AC35+AO35+BR35</f>
        <v>254.84225484800004</v>
      </c>
      <c r="BB35" s="34">
        <f t="shared" ref="BB35:BB66" si="29">R35+AD35+AP35+BP35</f>
        <v>395.44869155840001</v>
      </c>
      <c r="BC35" s="34">
        <f t="shared" ref="BC35:BC66" si="30">S35+AE35+AQ35+BQ35</f>
        <v>352.00686781439993</v>
      </c>
      <c r="BD35" s="52">
        <f t="shared" ref="BD35:BD66" si="31">T35+AF35+AR35+BR35</f>
        <v>329.84225484800004</v>
      </c>
      <c r="BE35" s="34">
        <f t="shared" ref="BE35:BE66" si="32">U35+AG35+AS35+BP35</f>
        <v>240.44869155839999</v>
      </c>
      <c r="BF35" s="34">
        <f t="shared" ref="BF35:BF66" si="33">V35+AH35+AT35+BQ35</f>
        <v>242.0068678143999</v>
      </c>
      <c r="BG35" s="52">
        <f t="shared" ref="BG35:BG66" si="34">W35+AI35+AU35+BR35</f>
        <v>249.84225484800004</v>
      </c>
      <c r="BH35" s="34">
        <f t="shared" ref="BH35:BH66" si="35">X35+AJ35+AV35+BP35</f>
        <v>240.44869155839999</v>
      </c>
      <c r="BI35" s="34">
        <f t="shared" ref="BI35:BI66" si="36">Y35+AK35+AW35+BQ35</f>
        <v>242.0068678143999</v>
      </c>
      <c r="BJ35" s="46">
        <f t="shared" ref="BJ35:BJ66" si="37">Z35+AL35+AX35+BR35</f>
        <v>249.84225484800004</v>
      </c>
      <c r="BK35" s="57">
        <f t="shared" ref="BK35:BK66" si="38">BL35+BM35+BN35+BO35</f>
        <v>3379.1912568831995</v>
      </c>
      <c r="BL35" s="34">
        <f t="shared" ref="BL35:BL66" si="39">AY35+AZ35+BA35</f>
        <v>837.29781422079998</v>
      </c>
      <c r="BM35" s="34">
        <f t="shared" ref="BM35:BM66" si="40">BB35+BC35+BD35</f>
        <v>1077.2978142207999</v>
      </c>
      <c r="BN35" s="34">
        <f t="shared" ref="BN35:BN66" si="41">BE35+BF35+BG35</f>
        <v>732.29781422079986</v>
      </c>
      <c r="BO35" s="46">
        <f t="shared" ref="BO35:BO66" si="42">BH35+BI35+BJ35</f>
        <v>732.29781422079986</v>
      </c>
      <c r="BP35" s="65">
        <f t="shared" ref="BP35:BP66" si="43">900*0.1+(BV35-900)*0.2</f>
        <v>240.44869155839999</v>
      </c>
      <c r="BQ35" s="65">
        <f t="shared" ref="BQ35:BQ66" si="44">900*0.1+(BW35-900)*0.2</f>
        <v>242.0068678143999</v>
      </c>
      <c r="BR35" s="66">
        <f t="shared" ref="BR35:BR66" si="45">900*0.1+(BX35-900)*0.2</f>
        <v>249.84225484800004</v>
      </c>
      <c r="BS35" s="34">
        <v>115</v>
      </c>
      <c r="BT35" s="34">
        <v>117</v>
      </c>
      <c r="BU35" s="52">
        <v>124</v>
      </c>
      <c r="BV35" s="58">
        <f t="shared" ref="BV35:BV66" si="46">(BS35+CB35*(CG$1-1))+500+((BS35+CB35*(CG$1-1))+500)*$CH$2</f>
        <v>1652.2434577919998</v>
      </c>
      <c r="BW35" s="58">
        <f t="shared" ref="BW35:BW66" si="47">(BT35+CC35*(CG$1-1))+500+((BT35+CC35*(CG$1-1))+500)*$CH$2</f>
        <v>1660.0343390719995</v>
      </c>
      <c r="BX35" s="59">
        <f t="shared" ref="BX35:BX66" si="48">(BU35+CD35*(CG$1-1))+500+((BU35+CD35*(CG$1-1))+500)*$CH$2</f>
        <v>1699.2112742400002</v>
      </c>
      <c r="BY35" s="44">
        <v>8.82</v>
      </c>
      <c r="BZ35" s="44">
        <v>8.8699999999999992</v>
      </c>
      <c r="CA35" s="53">
        <v>9.15</v>
      </c>
      <c r="CB35" s="58">
        <f t="shared" ref="CB35:CB66" si="49">(((((1+20/100)*$BY35)*(1+20/100)))*(1+20/100))*(1+20/100)*(1+20/100)</f>
        <v>21.946982399999996</v>
      </c>
      <c r="CC35" s="58">
        <f t="shared" ref="CC35:CC66" si="50">(((((1+20/100)*$BZ35)*(1+20/100)))*(1+20/100))*(1+20/100)*(1+20/100)</f>
        <v>22.071398399999993</v>
      </c>
      <c r="CD35" s="59">
        <f t="shared" ref="CD35:CD66" si="51">(((((1+20/100)*$CA35)*(1+20/100)))*(1+20/100))*(1+20/100)*(1+20/100)</f>
        <v>22.768128000000001</v>
      </c>
    </row>
    <row r="36" spans="1:82" ht="13.5" customHeight="1" x14ac:dyDescent="0.25">
      <c r="A36" s="36" t="s">
        <v>207</v>
      </c>
      <c r="B36" s="70" t="s">
        <v>172</v>
      </c>
      <c r="C36" s="34">
        <v>0</v>
      </c>
      <c r="D36" s="34">
        <v>0</v>
      </c>
      <c r="E36" s="52">
        <v>0</v>
      </c>
      <c r="F36" s="34">
        <v>0</v>
      </c>
      <c r="G36" s="34">
        <v>0</v>
      </c>
      <c r="H36" s="52">
        <v>0</v>
      </c>
      <c r="I36" s="34">
        <v>0</v>
      </c>
      <c r="J36" s="34">
        <v>0</v>
      </c>
      <c r="K36" s="52">
        <v>0</v>
      </c>
      <c r="L36" s="34">
        <v>45</v>
      </c>
      <c r="M36" s="34">
        <v>35</v>
      </c>
      <c r="N36" s="46">
        <v>35</v>
      </c>
      <c r="O36" s="34">
        <v>0</v>
      </c>
      <c r="P36" s="34">
        <v>0</v>
      </c>
      <c r="Q36" s="52">
        <v>0</v>
      </c>
      <c r="R36" s="34">
        <v>0</v>
      </c>
      <c r="S36" s="34">
        <v>0</v>
      </c>
      <c r="T36" s="52">
        <v>0</v>
      </c>
      <c r="U36" s="34">
        <v>0</v>
      </c>
      <c r="V36" s="34">
        <v>0</v>
      </c>
      <c r="W36" s="52">
        <v>0</v>
      </c>
      <c r="X36" s="34">
        <v>120</v>
      </c>
      <c r="Y36" s="34">
        <v>65</v>
      </c>
      <c r="Z36" s="46">
        <v>45</v>
      </c>
      <c r="AA36" s="34">
        <v>0</v>
      </c>
      <c r="AB36" s="34">
        <v>0</v>
      </c>
      <c r="AC36" s="52">
        <v>0</v>
      </c>
      <c r="AD36" s="34">
        <v>0</v>
      </c>
      <c r="AE36" s="34">
        <v>0</v>
      </c>
      <c r="AF36" s="52">
        <v>0</v>
      </c>
      <c r="AG36" s="34">
        <v>10</v>
      </c>
      <c r="AH36" s="34">
        <v>0</v>
      </c>
      <c r="AI36" s="52">
        <v>0</v>
      </c>
      <c r="AJ36" s="34">
        <v>75</v>
      </c>
      <c r="AK36" s="34">
        <v>50</v>
      </c>
      <c r="AL36" s="46">
        <v>40</v>
      </c>
      <c r="AM36" s="34">
        <v>0</v>
      </c>
      <c r="AN36" s="34">
        <v>0</v>
      </c>
      <c r="AO36" s="52">
        <v>0</v>
      </c>
      <c r="AP36" s="34">
        <v>0</v>
      </c>
      <c r="AQ36" s="34">
        <v>0</v>
      </c>
      <c r="AR36" s="52">
        <v>0</v>
      </c>
      <c r="AS36" s="34">
        <v>0</v>
      </c>
      <c r="AT36" s="34">
        <v>0</v>
      </c>
      <c r="AU36" s="52">
        <v>0</v>
      </c>
      <c r="AV36" s="34">
        <v>10</v>
      </c>
      <c r="AW36" s="34">
        <v>5</v>
      </c>
      <c r="AX36" s="46">
        <v>10</v>
      </c>
      <c r="AY36" s="34">
        <f t="shared" si="26"/>
        <v>239.96535055359996</v>
      </c>
      <c r="AZ36" s="34">
        <f t="shared" si="27"/>
        <v>250.87258434559999</v>
      </c>
      <c r="BA36" s="52">
        <f t="shared" si="28"/>
        <v>242.85486781439991</v>
      </c>
      <c r="BB36" s="34">
        <f t="shared" si="29"/>
        <v>239.96535055359996</v>
      </c>
      <c r="BC36" s="34">
        <f t="shared" si="30"/>
        <v>250.87258434559999</v>
      </c>
      <c r="BD36" s="52">
        <f t="shared" si="31"/>
        <v>242.85486781439991</v>
      </c>
      <c r="BE36" s="34">
        <f t="shared" si="32"/>
        <v>249.96535055359996</v>
      </c>
      <c r="BF36" s="34">
        <f t="shared" si="33"/>
        <v>250.87258434559999</v>
      </c>
      <c r="BG36" s="52">
        <f t="shared" si="34"/>
        <v>242.85486781439991</v>
      </c>
      <c r="BH36" s="34">
        <f t="shared" si="35"/>
        <v>444.96535055359993</v>
      </c>
      <c r="BI36" s="34">
        <f t="shared" si="36"/>
        <v>370.87258434559999</v>
      </c>
      <c r="BJ36" s="46">
        <f t="shared" si="37"/>
        <v>337.85486781439988</v>
      </c>
      <c r="BK36" s="57">
        <f t="shared" si="38"/>
        <v>3364.7712108543992</v>
      </c>
      <c r="BL36" s="34">
        <f t="shared" si="39"/>
        <v>733.6928027135998</v>
      </c>
      <c r="BM36" s="34">
        <f t="shared" si="40"/>
        <v>733.6928027135998</v>
      </c>
      <c r="BN36" s="34">
        <f t="shared" si="41"/>
        <v>743.6928027135998</v>
      </c>
      <c r="BO36" s="46">
        <f t="shared" si="42"/>
        <v>1153.6928027135998</v>
      </c>
      <c r="BP36" s="65">
        <f t="shared" si="43"/>
        <v>239.96535055359996</v>
      </c>
      <c r="BQ36" s="65">
        <f t="shared" si="44"/>
        <v>250.87258434559999</v>
      </c>
      <c r="BR36" s="66">
        <f t="shared" si="45"/>
        <v>242.85486781439991</v>
      </c>
      <c r="BS36" s="34">
        <v>117</v>
      </c>
      <c r="BT36" s="34">
        <v>131</v>
      </c>
      <c r="BU36" s="52">
        <v>121</v>
      </c>
      <c r="BV36" s="58">
        <f t="shared" si="46"/>
        <v>1649.8267527679998</v>
      </c>
      <c r="BW36" s="58">
        <f t="shared" si="47"/>
        <v>1704.3629217279999</v>
      </c>
      <c r="BX36" s="59">
        <f t="shared" si="48"/>
        <v>1664.2743390719995</v>
      </c>
      <c r="BY36" s="44">
        <v>8.7799999999999994</v>
      </c>
      <c r="BZ36" s="44">
        <v>9.1300000000000008</v>
      </c>
      <c r="CA36" s="53">
        <v>8.8699999999999992</v>
      </c>
      <c r="CB36" s="58">
        <f t="shared" si="49"/>
        <v>21.847449599999994</v>
      </c>
      <c r="CC36" s="58">
        <f t="shared" si="50"/>
        <v>22.718361600000001</v>
      </c>
      <c r="CD36" s="59">
        <f t="shared" si="51"/>
        <v>22.071398399999993</v>
      </c>
    </row>
    <row r="37" spans="1:82" ht="13.5" customHeight="1" x14ac:dyDescent="0.25">
      <c r="A37" s="36" t="s">
        <v>210</v>
      </c>
      <c r="B37" s="67" t="s">
        <v>680</v>
      </c>
      <c r="C37" s="34">
        <v>0</v>
      </c>
      <c r="D37" s="34">
        <v>0</v>
      </c>
      <c r="E37" s="52">
        <v>0</v>
      </c>
      <c r="F37" s="34">
        <v>30</v>
      </c>
      <c r="G37" s="34">
        <v>0</v>
      </c>
      <c r="H37" s="52">
        <v>30</v>
      </c>
      <c r="I37" s="34">
        <v>25</v>
      </c>
      <c r="J37" s="34">
        <v>0</v>
      </c>
      <c r="K37" s="52">
        <v>0</v>
      </c>
      <c r="L37" s="34">
        <v>0</v>
      </c>
      <c r="M37" s="34">
        <v>0</v>
      </c>
      <c r="N37" s="46">
        <v>0</v>
      </c>
      <c r="O37" s="34">
        <v>20</v>
      </c>
      <c r="P37" s="34">
        <v>30</v>
      </c>
      <c r="Q37" s="52">
        <v>30</v>
      </c>
      <c r="R37" s="34">
        <v>80</v>
      </c>
      <c r="S37" s="34">
        <v>30</v>
      </c>
      <c r="T37" s="52">
        <v>90</v>
      </c>
      <c r="U37" s="34">
        <v>45</v>
      </c>
      <c r="V37" s="34">
        <v>0</v>
      </c>
      <c r="W37" s="52">
        <v>0</v>
      </c>
      <c r="X37" s="34">
        <v>0</v>
      </c>
      <c r="Y37" s="34">
        <v>0</v>
      </c>
      <c r="Z37" s="46">
        <v>0</v>
      </c>
      <c r="AA37" s="34">
        <v>10</v>
      </c>
      <c r="AB37" s="34">
        <v>0</v>
      </c>
      <c r="AC37" s="52">
        <v>0</v>
      </c>
      <c r="AD37" s="34">
        <v>60</v>
      </c>
      <c r="AE37" s="34">
        <v>10</v>
      </c>
      <c r="AF37" s="52">
        <v>20</v>
      </c>
      <c r="AG37" s="34">
        <v>0</v>
      </c>
      <c r="AH37" s="34">
        <v>0</v>
      </c>
      <c r="AI37" s="52">
        <v>0</v>
      </c>
      <c r="AJ37" s="34">
        <v>0</v>
      </c>
      <c r="AK37" s="34">
        <v>0</v>
      </c>
      <c r="AL37" s="46">
        <v>0</v>
      </c>
      <c r="AM37" s="34">
        <v>0</v>
      </c>
      <c r="AN37" s="34">
        <v>0</v>
      </c>
      <c r="AO37" s="52">
        <v>0</v>
      </c>
      <c r="AP37" s="34">
        <v>0</v>
      </c>
      <c r="AQ37" s="34">
        <v>0</v>
      </c>
      <c r="AR37" s="52">
        <v>0</v>
      </c>
      <c r="AS37" s="34">
        <v>0</v>
      </c>
      <c r="AT37" s="34">
        <v>0</v>
      </c>
      <c r="AU37" s="52">
        <v>0</v>
      </c>
      <c r="AV37" s="34">
        <v>0</v>
      </c>
      <c r="AW37" s="34">
        <v>0</v>
      </c>
      <c r="AX37" s="46">
        <v>0</v>
      </c>
      <c r="AY37" s="34">
        <f t="shared" si="26"/>
        <v>263.46130452479997</v>
      </c>
      <c r="AZ37" s="34">
        <f t="shared" si="27"/>
        <v>283.53095987199993</v>
      </c>
      <c r="BA37" s="52">
        <f t="shared" si="28"/>
        <v>277.32792535039999</v>
      </c>
      <c r="BB37" s="34">
        <f t="shared" si="29"/>
        <v>373.46130452479997</v>
      </c>
      <c r="BC37" s="34">
        <f t="shared" si="30"/>
        <v>293.53095987199993</v>
      </c>
      <c r="BD37" s="52">
        <f t="shared" si="31"/>
        <v>357.32792535039999</v>
      </c>
      <c r="BE37" s="34">
        <f t="shared" si="32"/>
        <v>278.46130452479997</v>
      </c>
      <c r="BF37" s="34">
        <f t="shared" si="33"/>
        <v>253.53095987199995</v>
      </c>
      <c r="BG37" s="52">
        <f t="shared" si="34"/>
        <v>247.32792535039999</v>
      </c>
      <c r="BH37" s="34">
        <f t="shared" si="35"/>
        <v>233.46130452479997</v>
      </c>
      <c r="BI37" s="34">
        <f t="shared" si="36"/>
        <v>253.53095987199995</v>
      </c>
      <c r="BJ37" s="34">
        <f t="shared" si="37"/>
        <v>247.32792535039999</v>
      </c>
      <c r="BK37" s="57">
        <f t="shared" si="38"/>
        <v>3362.2807589887998</v>
      </c>
      <c r="BL37" s="34">
        <f t="shared" si="39"/>
        <v>824.32018974719995</v>
      </c>
      <c r="BM37" s="34">
        <f t="shared" si="40"/>
        <v>1024.3201897471999</v>
      </c>
      <c r="BN37" s="34">
        <f t="shared" si="41"/>
        <v>779.32018974719995</v>
      </c>
      <c r="BO37" s="46">
        <f t="shared" si="42"/>
        <v>734.32018974719995</v>
      </c>
      <c r="BP37" s="65">
        <f t="shared" si="43"/>
        <v>233.46130452479997</v>
      </c>
      <c r="BQ37" s="65">
        <f t="shared" si="44"/>
        <v>253.53095987199995</v>
      </c>
      <c r="BR37" s="66">
        <f t="shared" si="45"/>
        <v>247.32792535039999</v>
      </c>
      <c r="BS37" s="34">
        <v>112</v>
      </c>
      <c r="BT37" s="34">
        <v>120</v>
      </c>
      <c r="BU37" s="52">
        <v>110</v>
      </c>
      <c r="BV37" s="58">
        <f t="shared" si="46"/>
        <v>1617.3065226239999</v>
      </c>
      <c r="BW37" s="58">
        <f t="shared" si="47"/>
        <v>1717.6547993599997</v>
      </c>
      <c r="BX37" s="59">
        <f t="shared" si="48"/>
        <v>1686.6396267519999</v>
      </c>
      <c r="BY37" s="44">
        <v>8.5399999999999991</v>
      </c>
      <c r="BZ37" s="44">
        <v>9.35</v>
      </c>
      <c r="CA37" s="53">
        <v>9.17</v>
      </c>
      <c r="CB37" s="58">
        <f t="shared" si="49"/>
        <v>21.250252799999995</v>
      </c>
      <c r="CC37" s="58">
        <f t="shared" si="50"/>
        <v>23.265791999999994</v>
      </c>
      <c r="CD37" s="59">
        <f t="shared" si="51"/>
        <v>22.817894399999997</v>
      </c>
    </row>
    <row r="38" spans="1:82" ht="13.5" customHeight="1" x14ac:dyDescent="0.25">
      <c r="A38" s="36" t="s">
        <v>211</v>
      </c>
      <c r="B38" s="62" t="s">
        <v>799</v>
      </c>
      <c r="C38" s="34">
        <v>0</v>
      </c>
      <c r="D38" s="34">
        <v>0</v>
      </c>
      <c r="E38" s="52">
        <v>0</v>
      </c>
      <c r="F38" s="34">
        <v>0</v>
      </c>
      <c r="G38" s="34">
        <v>0</v>
      </c>
      <c r="H38" s="52">
        <v>0</v>
      </c>
      <c r="I38" s="34">
        <v>0</v>
      </c>
      <c r="J38" s="34">
        <v>40</v>
      </c>
      <c r="K38" s="50">
        <v>0</v>
      </c>
      <c r="L38" s="41">
        <v>55</v>
      </c>
      <c r="M38" s="41">
        <v>40</v>
      </c>
      <c r="N38" s="48">
        <v>55</v>
      </c>
      <c r="O38" s="41">
        <v>0</v>
      </c>
      <c r="P38" s="41">
        <v>0</v>
      </c>
      <c r="Q38" s="50">
        <v>0</v>
      </c>
      <c r="R38" s="41">
        <v>0</v>
      </c>
      <c r="S38" s="41">
        <v>0</v>
      </c>
      <c r="T38" s="50">
        <v>0</v>
      </c>
      <c r="U38" s="41">
        <v>15</v>
      </c>
      <c r="V38" s="41">
        <v>40</v>
      </c>
      <c r="W38" s="50">
        <v>0</v>
      </c>
      <c r="X38" s="41">
        <v>90</v>
      </c>
      <c r="Y38" s="41">
        <v>55</v>
      </c>
      <c r="Z38" s="48">
        <v>90</v>
      </c>
      <c r="AA38" s="41">
        <v>0</v>
      </c>
      <c r="AB38" s="41">
        <v>0</v>
      </c>
      <c r="AC38" s="50">
        <v>0</v>
      </c>
      <c r="AD38" s="41">
        <v>0</v>
      </c>
      <c r="AE38" s="41">
        <v>0</v>
      </c>
      <c r="AF38" s="50">
        <v>0</v>
      </c>
      <c r="AG38" s="41">
        <v>10</v>
      </c>
      <c r="AH38" s="41">
        <v>0</v>
      </c>
      <c r="AI38" s="50">
        <v>0</v>
      </c>
      <c r="AJ38" s="41">
        <v>85</v>
      </c>
      <c r="AK38" s="41">
        <v>10</v>
      </c>
      <c r="AL38" s="48">
        <v>20</v>
      </c>
      <c r="AM38" s="41">
        <v>0</v>
      </c>
      <c r="AN38" s="41">
        <v>0</v>
      </c>
      <c r="AO38" s="50">
        <v>0</v>
      </c>
      <c r="AP38" s="41">
        <v>0</v>
      </c>
      <c r="AQ38" s="41">
        <v>0</v>
      </c>
      <c r="AR38" s="50">
        <v>0</v>
      </c>
      <c r="AS38" s="41">
        <v>0</v>
      </c>
      <c r="AT38" s="41">
        <v>0</v>
      </c>
      <c r="AU38" s="50">
        <v>0</v>
      </c>
      <c r="AV38" s="41">
        <v>10</v>
      </c>
      <c r="AW38" s="41">
        <v>10</v>
      </c>
      <c r="AX38" s="48">
        <v>10</v>
      </c>
      <c r="AY38" s="41">
        <f t="shared" si="26"/>
        <v>246.54787932159999</v>
      </c>
      <c r="AZ38" s="41">
        <f t="shared" si="27"/>
        <v>242.37152680960003</v>
      </c>
      <c r="BA38" s="50">
        <f t="shared" si="28"/>
        <v>239.59016279040003</v>
      </c>
      <c r="BB38" s="41">
        <f t="shared" si="29"/>
        <v>246.54787932159999</v>
      </c>
      <c r="BC38" s="41">
        <f t="shared" si="30"/>
        <v>242.37152680960003</v>
      </c>
      <c r="BD38" s="50">
        <f t="shared" si="31"/>
        <v>239.59016279040003</v>
      </c>
      <c r="BE38" s="41">
        <f t="shared" si="32"/>
        <v>271.54787932160002</v>
      </c>
      <c r="BF38" s="41">
        <f t="shared" si="33"/>
        <v>282.37152680960003</v>
      </c>
      <c r="BG38" s="50">
        <f t="shared" si="34"/>
        <v>239.59016279040003</v>
      </c>
      <c r="BH38" s="41">
        <f t="shared" si="35"/>
        <v>431.54787932160002</v>
      </c>
      <c r="BI38" s="41">
        <f t="shared" si="36"/>
        <v>317.37152680960003</v>
      </c>
      <c r="BJ38" s="41">
        <f t="shared" si="37"/>
        <v>359.59016279040003</v>
      </c>
      <c r="BK38" s="56">
        <f t="shared" si="38"/>
        <v>3359.0382756864001</v>
      </c>
      <c r="BL38" s="41">
        <f t="shared" si="39"/>
        <v>728.50956892160002</v>
      </c>
      <c r="BM38" s="41">
        <f t="shared" si="40"/>
        <v>728.50956892160002</v>
      </c>
      <c r="BN38" s="41">
        <f t="shared" si="41"/>
        <v>793.50956892160002</v>
      </c>
      <c r="BO38" s="46">
        <f t="shared" si="42"/>
        <v>1108.5095689216</v>
      </c>
      <c r="BP38" s="95">
        <f t="shared" si="43"/>
        <v>246.54787932159999</v>
      </c>
      <c r="BQ38" s="95">
        <f t="shared" si="44"/>
        <v>242.37152680960003</v>
      </c>
      <c r="BR38" s="96">
        <f t="shared" si="45"/>
        <v>239.59016279040003</v>
      </c>
      <c r="BS38" s="34">
        <v>132</v>
      </c>
      <c r="BT38" s="34">
        <v>123</v>
      </c>
      <c r="BU38" s="52">
        <v>127</v>
      </c>
      <c r="BV38" s="98">
        <f t="shared" si="46"/>
        <v>1682.7393966079999</v>
      </c>
      <c r="BW38" s="98">
        <f t="shared" si="47"/>
        <v>1661.8576340480001</v>
      </c>
      <c r="BX38" s="100">
        <f t="shared" si="48"/>
        <v>1647.9508139520001</v>
      </c>
      <c r="BY38" s="44">
        <v>8.93</v>
      </c>
      <c r="BZ38" s="44">
        <v>8.83</v>
      </c>
      <c r="CA38" s="53">
        <v>8.67</v>
      </c>
      <c r="CB38" s="98">
        <f t="shared" si="49"/>
        <v>22.220697599999998</v>
      </c>
      <c r="CC38" s="98">
        <f t="shared" si="50"/>
        <v>21.971865599999997</v>
      </c>
      <c r="CD38" s="100">
        <f t="shared" si="51"/>
        <v>21.573734399999999</v>
      </c>
    </row>
    <row r="39" spans="1:82" ht="13.5" customHeight="1" x14ac:dyDescent="0.25">
      <c r="A39" s="36" t="s">
        <v>212</v>
      </c>
      <c r="B39" s="67" t="s">
        <v>87</v>
      </c>
      <c r="C39" s="34">
        <v>0</v>
      </c>
      <c r="D39" s="34">
        <v>35</v>
      </c>
      <c r="E39" s="52">
        <v>0</v>
      </c>
      <c r="F39" s="34">
        <v>45</v>
      </c>
      <c r="G39" s="34">
        <v>35</v>
      </c>
      <c r="H39" s="52">
        <v>45</v>
      </c>
      <c r="I39" s="34">
        <v>0</v>
      </c>
      <c r="J39" s="34">
        <v>0</v>
      </c>
      <c r="K39" s="52">
        <v>0</v>
      </c>
      <c r="L39" s="34">
        <v>0</v>
      </c>
      <c r="M39" s="34">
        <v>0</v>
      </c>
      <c r="N39" s="46">
        <v>0</v>
      </c>
      <c r="O39" s="34">
        <v>0</v>
      </c>
      <c r="P39" s="34">
        <v>35</v>
      </c>
      <c r="Q39" s="52">
        <v>0</v>
      </c>
      <c r="R39" s="34">
        <v>100</v>
      </c>
      <c r="S39" s="34">
        <v>65</v>
      </c>
      <c r="T39" s="52">
        <v>85</v>
      </c>
      <c r="U39" s="34">
        <v>0</v>
      </c>
      <c r="V39" s="34">
        <v>0</v>
      </c>
      <c r="W39" s="52">
        <v>0</v>
      </c>
      <c r="X39" s="34">
        <v>0</v>
      </c>
      <c r="Y39" s="34">
        <v>0</v>
      </c>
      <c r="Z39" s="46">
        <v>0</v>
      </c>
      <c r="AA39" s="34">
        <v>0</v>
      </c>
      <c r="AB39" s="34">
        <v>0</v>
      </c>
      <c r="AC39" s="52">
        <v>0</v>
      </c>
      <c r="AD39" s="34">
        <v>50</v>
      </c>
      <c r="AE39" s="34">
        <v>50</v>
      </c>
      <c r="AF39" s="52">
        <v>50</v>
      </c>
      <c r="AG39" s="34">
        <v>0</v>
      </c>
      <c r="AH39" s="34">
        <v>0</v>
      </c>
      <c r="AI39" s="52">
        <v>0</v>
      </c>
      <c r="AJ39" s="34">
        <v>0</v>
      </c>
      <c r="AK39" s="34">
        <v>0</v>
      </c>
      <c r="AL39" s="46">
        <v>0</v>
      </c>
      <c r="AM39" s="34">
        <v>0</v>
      </c>
      <c r="AN39" s="34">
        <v>0</v>
      </c>
      <c r="AO39" s="52">
        <v>0</v>
      </c>
      <c r="AP39" s="34">
        <v>10</v>
      </c>
      <c r="AQ39" s="34">
        <v>5</v>
      </c>
      <c r="AR39" s="52">
        <v>5</v>
      </c>
      <c r="AS39" s="34">
        <v>0</v>
      </c>
      <c r="AT39" s="34">
        <v>0</v>
      </c>
      <c r="AU39" s="52">
        <v>0</v>
      </c>
      <c r="AV39" s="34">
        <v>0</v>
      </c>
      <c r="AW39" s="34">
        <v>0</v>
      </c>
      <c r="AX39" s="46">
        <v>0</v>
      </c>
      <c r="AY39" s="34">
        <f t="shared" si="26"/>
        <v>240.81335055359997</v>
      </c>
      <c r="AZ39" s="34">
        <f t="shared" si="27"/>
        <v>269.73330452480002</v>
      </c>
      <c r="BA39" s="52">
        <f t="shared" si="28"/>
        <v>250.20691384319994</v>
      </c>
      <c r="BB39" s="34">
        <f t="shared" si="29"/>
        <v>400.8133505536</v>
      </c>
      <c r="BC39" s="34">
        <f t="shared" si="30"/>
        <v>354.73330452480002</v>
      </c>
      <c r="BD39" s="52">
        <f t="shared" si="31"/>
        <v>390.20691384319991</v>
      </c>
      <c r="BE39" s="34">
        <f t="shared" si="32"/>
        <v>240.81335055359997</v>
      </c>
      <c r="BF39" s="34">
        <f t="shared" si="33"/>
        <v>234.73330452479999</v>
      </c>
      <c r="BG39" s="52">
        <f t="shared" si="34"/>
        <v>250.20691384319994</v>
      </c>
      <c r="BH39" s="34">
        <f t="shared" si="35"/>
        <v>240.81335055359997</v>
      </c>
      <c r="BI39" s="34">
        <f t="shared" si="36"/>
        <v>234.73330452479999</v>
      </c>
      <c r="BJ39" s="34">
        <f t="shared" si="37"/>
        <v>250.20691384319994</v>
      </c>
      <c r="BK39" s="57">
        <f t="shared" si="38"/>
        <v>3358.0142756863997</v>
      </c>
      <c r="BL39" s="34">
        <f t="shared" si="39"/>
        <v>760.75356892159994</v>
      </c>
      <c r="BM39" s="34">
        <f t="shared" si="40"/>
        <v>1145.7535689215999</v>
      </c>
      <c r="BN39" s="34">
        <f t="shared" si="41"/>
        <v>725.75356892159994</v>
      </c>
      <c r="BO39" s="46">
        <f t="shared" si="42"/>
        <v>725.75356892159994</v>
      </c>
      <c r="BP39" s="65">
        <f t="shared" si="43"/>
        <v>240.81335055359997</v>
      </c>
      <c r="BQ39" s="65">
        <f t="shared" si="44"/>
        <v>234.73330452479999</v>
      </c>
      <c r="BR39" s="66">
        <f t="shared" si="45"/>
        <v>250.20691384319994</v>
      </c>
      <c r="BS39" s="34">
        <v>121</v>
      </c>
      <c r="BT39" s="34">
        <v>118</v>
      </c>
      <c r="BU39" s="52">
        <v>130</v>
      </c>
      <c r="BV39" s="58">
        <f t="shared" si="46"/>
        <v>1654.0667527679998</v>
      </c>
      <c r="BW39" s="58">
        <f t="shared" si="47"/>
        <v>1623.666522624</v>
      </c>
      <c r="BX39" s="59">
        <f t="shared" si="48"/>
        <v>1701.0345692159997</v>
      </c>
      <c r="BY39" s="44">
        <v>8.7799999999999994</v>
      </c>
      <c r="BZ39" s="44">
        <v>8.5399999999999991</v>
      </c>
      <c r="CA39" s="53">
        <v>9.11</v>
      </c>
      <c r="CB39" s="58">
        <f t="shared" si="49"/>
        <v>21.847449599999994</v>
      </c>
      <c r="CC39" s="58">
        <f t="shared" si="50"/>
        <v>21.250252799999995</v>
      </c>
      <c r="CD39" s="59">
        <f t="shared" si="51"/>
        <v>22.668595199999995</v>
      </c>
    </row>
    <row r="40" spans="1:82" ht="13.5" customHeight="1" x14ac:dyDescent="0.25">
      <c r="A40" s="36" t="s">
        <v>213</v>
      </c>
      <c r="B40" s="67" t="s">
        <v>92</v>
      </c>
      <c r="C40" s="34">
        <v>0</v>
      </c>
      <c r="D40" s="34">
        <v>0</v>
      </c>
      <c r="E40" s="52">
        <v>0</v>
      </c>
      <c r="F40" s="34">
        <v>45</v>
      </c>
      <c r="G40" s="34">
        <v>35</v>
      </c>
      <c r="H40" s="52">
        <v>35</v>
      </c>
      <c r="I40" s="34">
        <v>0</v>
      </c>
      <c r="J40" s="34">
        <v>0</v>
      </c>
      <c r="K40" s="52">
        <v>0</v>
      </c>
      <c r="L40" s="34">
        <v>0</v>
      </c>
      <c r="M40" s="34">
        <v>0</v>
      </c>
      <c r="N40" s="46">
        <v>0</v>
      </c>
      <c r="O40" s="34">
        <v>0</v>
      </c>
      <c r="P40" s="34">
        <v>10</v>
      </c>
      <c r="Q40" s="52">
        <v>10</v>
      </c>
      <c r="R40" s="34">
        <v>95</v>
      </c>
      <c r="S40" s="34">
        <v>65</v>
      </c>
      <c r="T40" s="52">
        <v>75</v>
      </c>
      <c r="U40" s="34">
        <v>0</v>
      </c>
      <c r="V40" s="34">
        <v>0</v>
      </c>
      <c r="W40" s="52">
        <v>0</v>
      </c>
      <c r="X40" s="34">
        <v>0</v>
      </c>
      <c r="Y40" s="34">
        <v>0</v>
      </c>
      <c r="Z40" s="46">
        <v>0</v>
      </c>
      <c r="AA40" s="34">
        <v>20</v>
      </c>
      <c r="AB40" s="34">
        <v>0</v>
      </c>
      <c r="AC40" s="52">
        <v>0</v>
      </c>
      <c r="AD40" s="34">
        <v>40</v>
      </c>
      <c r="AE40" s="34">
        <v>50</v>
      </c>
      <c r="AF40" s="52">
        <v>60</v>
      </c>
      <c r="AG40" s="34">
        <v>0</v>
      </c>
      <c r="AH40" s="34">
        <v>0</v>
      </c>
      <c r="AI40" s="52">
        <v>0</v>
      </c>
      <c r="AJ40" s="34">
        <v>0</v>
      </c>
      <c r="AK40" s="34">
        <v>0</v>
      </c>
      <c r="AL40" s="46">
        <v>0</v>
      </c>
      <c r="AM40" s="34">
        <v>0</v>
      </c>
      <c r="AN40" s="34">
        <v>0</v>
      </c>
      <c r="AO40" s="52">
        <v>0</v>
      </c>
      <c r="AP40" s="34">
        <v>10</v>
      </c>
      <c r="AQ40" s="34">
        <v>10</v>
      </c>
      <c r="AR40" s="52">
        <v>10</v>
      </c>
      <c r="AS40" s="34">
        <v>0</v>
      </c>
      <c r="AT40" s="34">
        <v>0</v>
      </c>
      <c r="AU40" s="52">
        <v>0</v>
      </c>
      <c r="AV40" s="34">
        <v>0</v>
      </c>
      <c r="AW40" s="34">
        <v>0</v>
      </c>
      <c r="AX40" s="46">
        <v>0</v>
      </c>
      <c r="AY40" s="34">
        <f t="shared" si="26"/>
        <v>259.95051530239994</v>
      </c>
      <c r="AZ40" s="34">
        <f t="shared" si="27"/>
        <v>245.69998653440004</v>
      </c>
      <c r="BA40" s="52">
        <f t="shared" si="28"/>
        <v>257.78590233599999</v>
      </c>
      <c r="BB40" s="34">
        <f t="shared" si="29"/>
        <v>384.95051530239994</v>
      </c>
      <c r="BC40" s="34">
        <f t="shared" si="30"/>
        <v>360.69998653440007</v>
      </c>
      <c r="BD40" s="52">
        <f t="shared" si="31"/>
        <v>392.78590233599999</v>
      </c>
      <c r="BE40" s="34">
        <f t="shared" si="32"/>
        <v>239.95051530239994</v>
      </c>
      <c r="BF40" s="34">
        <f t="shared" si="33"/>
        <v>235.69998653440004</v>
      </c>
      <c r="BG40" s="52">
        <f t="shared" si="34"/>
        <v>247.78590233599999</v>
      </c>
      <c r="BH40" s="34">
        <f t="shared" si="35"/>
        <v>239.95051530239994</v>
      </c>
      <c r="BI40" s="34">
        <f t="shared" si="36"/>
        <v>235.69998653440004</v>
      </c>
      <c r="BJ40" s="34">
        <f t="shared" si="37"/>
        <v>247.78590233599999</v>
      </c>
      <c r="BK40" s="57">
        <f t="shared" si="38"/>
        <v>3348.7456166911998</v>
      </c>
      <c r="BL40" s="34">
        <f t="shared" si="39"/>
        <v>763.43640417279994</v>
      </c>
      <c r="BM40" s="34">
        <f t="shared" si="40"/>
        <v>1138.4364041727999</v>
      </c>
      <c r="BN40" s="34">
        <f t="shared" si="41"/>
        <v>723.43640417279994</v>
      </c>
      <c r="BO40" s="46">
        <f t="shared" si="42"/>
        <v>723.43640417279994</v>
      </c>
      <c r="BP40" s="65">
        <f t="shared" si="43"/>
        <v>239.95051530239994</v>
      </c>
      <c r="BQ40" s="65">
        <f t="shared" si="44"/>
        <v>235.69998653440004</v>
      </c>
      <c r="BR40" s="66">
        <f t="shared" si="45"/>
        <v>247.78590233599999</v>
      </c>
      <c r="BS40" s="34">
        <v>118</v>
      </c>
      <c r="BT40" s="34">
        <v>114</v>
      </c>
      <c r="BU40" s="52">
        <v>125</v>
      </c>
      <c r="BV40" s="58">
        <f t="shared" si="46"/>
        <v>1649.7525765119997</v>
      </c>
      <c r="BW40" s="58">
        <f t="shared" si="47"/>
        <v>1628.4999326720001</v>
      </c>
      <c r="BX40" s="59">
        <f t="shared" si="48"/>
        <v>1688.9295116799999</v>
      </c>
      <c r="BY40" s="44">
        <v>8.77</v>
      </c>
      <c r="BZ40" s="44">
        <v>8.6199999999999992</v>
      </c>
      <c r="CA40" s="53">
        <v>9.0500000000000007</v>
      </c>
      <c r="CB40" s="58">
        <f t="shared" si="49"/>
        <v>21.822566399999992</v>
      </c>
      <c r="CC40" s="58">
        <f t="shared" si="50"/>
        <v>21.449318399999999</v>
      </c>
      <c r="CD40" s="59">
        <f t="shared" si="51"/>
        <v>22.519295999999997</v>
      </c>
    </row>
    <row r="41" spans="1:82" ht="13.5" customHeight="1" x14ac:dyDescent="0.25">
      <c r="A41" s="36" t="s">
        <v>214</v>
      </c>
      <c r="B41" s="68" t="s">
        <v>687</v>
      </c>
      <c r="C41" s="34">
        <v>0</v>
      </c>
      <c r="D41" s="34">
        <v>0</v>
      </c>
      <c r="E41" s="52">
        <v>0</v>
      </c>
      <c r="F41" s="34">
        <v>0</v>
      </c>
      <c r="G41" s="34">
        <v>0</v>
      </c>
      <c r="H41" s="52">
        <v>0</v>
      </c>
      <c r="I41" s="34">
        <v>50</v>
      </c>
      <c r="J41" s="34">
        <v>0</v>
      </c>
      <c r="K41" s="52">
        <v>0</v>
      </c>
      <c r="L41" s="34">
        <v>0</v>
      </c>
      <c r="M41" s="34">
        <v>0</v>
      </c>
      <c r="N41" s="46">
        <v>0</v>
      </c>
      <c r="O41" s="34">
        <v>0</v>
      </c>
      <c r="P41" s="34">
        <v>45</v>
      </c>
      <c r="Q41" s="52">
        <v>30</v>
      </c>
      <c r="R41" s="34">
        <v>0</v>
      </c>
      <c r="S41" s="34">
        <v>45</v>
      </c>
      <c r="T41" s="52">
        <v>30</v>
      </c>
      <c r="U41" s="34">
        <v>70</v>
      </c>
      <c r="V41" s="34">
        <v>60</v>
      </c>
      <c r="W41" s="52">
        <v>60</v>
      </c>
      <c r="X41" s="34">
        <v>0</v>
      </c>
      <c r="Y41" s="34">
        <v>0</v>
      </c>
      <c r="Z41" s="46">
        <v>0</v>
      </c>
      <c r="AA41" s="34">
        <v>6</v>
      </c>
      <c r="AB41" s="34">
        <v>0</v>
      </c>
      <c r="AC41" s="52">
        <v>0</v>
      </c>
      <c r="AD41" s="34">
        <v>6</v>
      </c>
      <c r="AE41" s="34">
        <v>0</v>
      </c>
      <c r="AF41" s="52">
        <v>0</v>
      </c>
      <c r="AG41" s="34">
        <v>51</v>
      </c>
      <c r="AH41" s="34">
        <v>0</v>
      </c>
      <c r="AI41" s="52">
        <v>10</v>
      </c>
      <c r="AJ41" s="34">
        <v>41</v>
      </c>
      <c r="AK41" s="34">
        <v>0</v>
      </c>
      <c r="AL41" s="46">
        <v>0</v>
      </c>
      <c r="AM41" s="34">
        <v>0</v>
      </c>
      <c r="AN41" s="34">
        <v>0</v>
      </c>
      <c r="AO41" s="52">
        <v>0</v>
      </c>
      <c r="AP41" s="34">
        <v>0</v>
      </c>
      <c r="AQ41" s="34">
        <v>0</v>
      </c>
      <c r="AR41" s="52">
        <v>0</v>
      </c>
      <c r="AS41" s="34">
        <v>0</v>
      </c>
      <c r="AT41" s="34">
        <v>0</v>
      </c>
      <c r="AU41" s="52">
        <v>0</v>
      </c>
      <c r="AV41" s="34">
        <v>0</v>
      </c>
      <c r="AW41" s="34">
        <v>0</v>
      </c>
      <c r="AX41" s="46">
        <v>0</v>
      </c>
      <c r="AY41" s="34">
        <f t="shared" si="26"/>
        <v>246.60135055359999</v>
      </c>
      <c r="AZ41" s="34">
        <f t="shared" si="27"/>
        <v>286.58286781439995</v>
      </c>
      <c r="BA41" s="52">
        <f t="shared" si="28"/>
        <v>270.6903620608</v>
      </c>
      <c r="BB41" s="34">
        <f t="shared" si="29"/>
        <v>246.60135055359999</v>
      </c>
      <c r="BC41" s="34">
        <f t="shared" si="30"/>
        <v>286.58286781439995</v>
      </c>
      <c r="BD41" s="52">
        <f t="shared" si="31"/>
        <v>270.6903620608</v>
      </c>
      <c r="BE41" s="34">
        <f t="shared" si="32"/>
        <v>361.60135055360001</v>
      </c>
      <c r="BF41" s="34">
        <f t="shared" si="33"/>
        <v>301.58286781439995</v>
      </c>
      <c r="BG41" s="52">
        <f t="shared" si="34"/>
        <v>310.6903620608</v>
      </c>
      <c r="BH41" s="34">
        <f t="shared" si="35"/>
        <v>281.60135055360001</v>
      </c>
      <c r="BI41" s="34">
        <f t="shared" si="36"/>
        <v>241.58286781439992</v>
      </c>
      <c r="BJ41" s="34">
        <f t="shared" si="37"/>
        <v>240.69036206079997</v>
      </c>
      <c r="BK41" s="57">
        <f t="shared" si="38"/>
        <v>3345.4983217151998</v>
      </c>
      <c r="BL41" s="34">
        <f t="shared" si="39"/>
        <v>803.87458042879996</v>
      </c>
      <c r="BM41" s="34">
        <f t="shared" si="40"/>
        <v>803.87458042879996</v>
      </c>
      <c r="BN41" s="34">
        <f t="shared" si="41"/>
        <v>973.87458042879996</v>
      </c>
      <c r="BO41" s="46">
        <f t="shared" si="42"/>
        <v>763.87458042879996</v>
      </c>
      <c r="BP41" s="65">
        <f t="shared" si="43"/>
        <v>240.60135055359999</v>
      </c>
      <c r="BQ41" s="65">
        <f t="shared" si="44"/>
        <v>241.58286781439992</v>
      </c>
      <c r="BR41" s="66">
        <f t="shared" si="45"/>
        <v>240.69036206079997</v>
      </c>
      <c r="BS41" s="34">
        <v>120</v>
      </c>
      <c r="BT41" s="34">
        <v>115</v>
      </c>
      <c r="BU41" s="52">
        <v>114</v>
      </c>
      <c r="BV41" s="58">
        <f t="shared" si="46"/>
        <v>1653.0067527679998</v>
      </c>
      <c r="BW41" s="58">
        <f t="shared" si="47"/>
        <v>1657.9143390719996</v>
      </c>
      <c r="BX41" s="59">
        <f t="shared" si="48"/>
        <v>1653.4518103039998</v>
      </c>
      <c r="BY41" s="44">
        <v>8.7799999999999994</v>
      </c>
      <c r="BZ41" s="44">
        <v>8.8699999999999992</v>
      </c>
      <c r="CA41" s="53">
        <v>8.84</v>
      </c>
      <c r="CB41" s="58">
        <f t="shared" si="49"/>
        <v>21.847449599999994</v>
      </c>
      <c r="CC41" s="58">
        <f t="shared" si="50"/>
        <v>22.071398399999993</v>
      </c>
      <c r="CD41" s="59">
        <f t="shared" si="51"/>
        <v>21.996748799999995</v>
      </c>
    </row>
    <row r="42" spans="1:82" ht="13.5" customHeight="1" x14ac:dyDescent="0.25">
      <c r="A42" s="36" t="s">
        <v>215</v>
      </c>
      <c r="B42" s="71" t="s">
        <v>168</v>
      </c>
      <c r="C42" s="34">
        <v>0</v>
      </c>
      <c r="D42" s="34">
        <v>0</v>
      </c>
      <c r="E42" s="52">
        <v>0</v>
      </c>
      <c r="F42" s="34">
        <v>0</v>
      </c>
      <c r="G42" s="34">
        <v>0</v>
      </c>
      <c r="H42" s="52">
        <v>0</v>
      </c>
      <c r="I42" s="34">
        <v>20</v>
      </c>
      <c r="J42" s="34">
        <v>25</v>
      </c>
      <c r="K42" s="52">
        <v>25</v>
      </c>
      <c r="L42" s="34">
        <v>20</v>
      </c>
      <c r="M42" s="34">
        <v>25</v>
      </c>
      <c r="N42" s="46">
        <v>25</v>
      </c>
      <c r="O42" s="34">
        <v>0</v>
      </c>
      <c r="P42" s="34">
        <v>0</v>
      </c>
      <c r="Q42" s="52">
        <v>0</v>
      </c>
      <c r="R42" s="34">
        <v>0</v>
      </c>
      <c r="S42" s="34">
        <v>0</v>
      </c>
      <c r="T42" s="52">
        <v>0</v>
      </c>
      <c r="U42" s="34">
        <v>60</v>
      </c>
      <c r="V42" s="34">
        <v>45</v>
      </c>
      <c r="W42" s="52">
        <v>45</v>
      </c>
      <c r="X42" s="34">
        <v>60</v>
      </c>
      <c r="Y42" s="34">
        <v>45</v>
      </c>
      <c r="Z42" s="46">
        <v>45</v>
      </c>
      <c r="AA42" s="34">
        <v>0</v>
      </c>
      <c r="AB42" s="34">
        <v>0</v>
      </c>
      <c r="AC42" s="52">
        <v>0</v>
      </c>
      <c r="AD42" s="34">
        <v>0</v>
      </c>
      <c r="AE42" s="34">
        <v>0</v>
      </c>
      <c r="AF42" s="52">
        <v>0</v>
      </c>
      <c r="AG42" s="34">
        <v>60</v>
      </c>
      <c r="AH42" s="34">
        <v>10</v>
      </c>
      <c r="AI42" s="52">
        <v>20</v>
      </c>
      <c r="AJ42" s="34">
        <v>40</v>
      </c>
      <c r="AK42" s="34">
        <v>0</v>
      </c>
      <c r="AL42" s="46">
        <v>0</v>
      </c>
      <c r="AM42" s="34">
        <v>0</v>
      </c>
      <c r="AN42" s="34">
        <v>0</v>
      </c>
      <c r="AO42" s="52">
        <v>0</v>
      </c>
      <c r="AP42" s="34">
        <v>0</v>
      </c>
      <c r="AQ42" s="34">
        <v>0</v>
      </c>
      <c r="AR42" s="52">
        <v>0</v>
      </c>
      <c r="AS42" s="34">
        <v>0</v>
      </c>
      <c r="AT42" s="34">
        <v>0</v>
      </c>
      <c r="AU42" s="52">
        <v>0</v>
      </c>
      <c r="AV42" s="34">
        <v>0</v>
      </c>
      <c r="AW42" s="34">
        <v>0</v>
      </c>
      <c r="AX42" s="46">
        <v>0</v>
      </c>
      <c r="AY42" s="34">
        <f t="shared" si="26"/>
        <v>239.27000954879995</v>
      </c>
      <c r="AZ42" s="34">
        <f t="shared" si="27"/>
        <v>247.36190233600001</v>
      </c>
      <c r="BA42" s="52">
        <f t="shared" si="28"/>
        <v>242.09587932159999</v>
      </c>
      <c r="BB42" s="34">
        <f t="shared" si="29"/>
        <v>239.27000954879995</v>
      </c>
      <c r="BC42" s="34">
        <f t="shared" si="30"/>
        <v>247.36190233600001</v>
      </c>
      <c r="BD42" s="52">
        <f t="shared" si="31"/>
        <v>242.09587932159999</v>
      </c>
      <c r="BE42" s="34">
        <f t="shared" si="32"/>
        <v>359.27000954879998</v>
      </c>
      <c r="BF42" s="34">
        <f t="shared" si="33"/>
        <v>302.36190233600001</v>
      </c>
      <c r="BG42" s="52">
        <f t="shared" si="34"/>
        <v>307.09587932160002</v>
      </c>
      <c r="BH42" s="34">
        <f t="shared" si="35"/>
        <v>339.27000954879998</v>
      </c>
      <c r="BI42" s="34">
        <f t="shared" si="36"/>
        <v>292.36190233600001</v>
      </c>
      <c r="BJ42" s="34">
        <f t="shared" si="37"/>
        <v>287.09587932160002</v>
      </c>
      <c r="BK42" s="57">
        <f t="shared" si="38"/>
        <v>3344.9111648256003</v>
      </c>
      <c r="BL42" s="34">
        <f t="shared" si="39"/>
        <v>728.72779120639996</v>
      </c>
      <c r="BM42" s="34">
        <f t="shared" si="40"/>
        <v>728.72779120639996</v>
      </c>
      <c r="BN42" s="34">
        <f t="shared" si="41"/>
        <v>968.72779120640007</v>
      </c>
      <c r="BO42" s="46">
        <f t="shared" si="42"/>
        <v>918.72779120640007</v>
      </c>
      <c r="BP42" s="65">
        <f t="shared" si="43"/>
        <v>239.27000954879995</v>
      </c>
      <c r="BQ42" s="65">
        <f t="shared" si="44"/>
        <v>247.36190233600001</v>
      </c>
      <c r="BR42" s="66">
        <f t="shared" si="45"/>
        <v>242.09587932159999</v>
      </c>
      <c r="BS42" s="34">
        <v>118</v>
      </c>
      <c r="BT42" s="34">
        <v>123</v>
      </c>
      <c r="BU42" s="52">
        <v>111</v>
      </c>
      <c r="BV42" s="58">
        <f t="shared" si="46"/>
        <v>1646.3500477439998</v>
      </c>
      <c r="BW42" s="58">
        <f t="shared" si="47"/>
        <v>1686.80951168</v>
      </c>
      <c r="BX42" s="59">
        <f t="shared" si="48"/>
        <v>1660.4793966079999</v>
      </c>
      <c r="BY42" s="44">
        <v>8.74</v>
      </c>
      <c r="BZ42" s="44">
        <v>9.0500000000000007</v>
      </c>
      <c r="CA42" s="53">
        <v>8.93</v>
      </c>
      <c r="CB42" s="58">
        <f t="shared" si="49"/>
        <v>21.747916799999995</v>
      </c>
      <c r="CC42" s="58">
        <f t="shared" si="50"/>
        <v>22.519295999999997</v>
      </c>
      <c r="CD42" s="59">
        <f t="shared" si="51"/>
        <v>22.220697599999998</v>
      </c>
    </row>
    <row r="43" spans="1:82" ht="13.5" customHeight="1" x14ac:dyDescent="0.25">
      <c r="A43" s="36" t="s">
        <v>216</v>
      </c>
      <c r="B43" s="71" t="s">
        <v>149</v>
      </c>
      <c r="C43" s="34">
        <v>0</v>
      </c>
      <c r="D43" s="34">
        <v>0</v>
      </c>
      <c r="E43" s="52">
        <v>0</v>
      </c>
      <c r="F43" s="34">
        <v>0</v>
      </c>
      <c r="G43" s="34">
        <v>0</v>
      </c>
      <c r="H43" s="52">
        <v>0</v>
      </c>
      <c r="I43" s="34">
        <v>40</v>
      </c>
      <c r="J43" s="34">
        <v>10</v>
      </c>
      <c r="K43" s="52">
        <v>40</v>
      </c>
      <c r="L43" s="34">
        <v>0</v>
      </c>
      <c r="M43" s="34">
        <v>10</v>
      </c>
      <c r="N43" s="46">
        <v>0</v>
      </c>
      <c r="O43" s="34">
        <v>0</v>
      </c>
      <c r="P43" s="34">
        <v>0</v>
      </c>
      <c r="Q43" s="52">
        <v>0</v>
      </c>
      <c r="R43" s="34">
        <v>0</v>
      </c>
      <c r="S43" s="34">
        <v>0</v>
      </c>
      <c r="T43" s="52">
        <v>0</v>
      </c>
      <c r="U43" s="34">
        <v>75</v>
      </c>
      <c r="V43" s="34">
        <v>70</v>
      </c>
      <c r="W43" s="52">
        <v>85</v>
      </c>
      <c r="X43" s="34">
        <v>0</v>
      </c>
      <c r="Y43" s="34">
        <v>10</v>
      </c>
      <c r="Z43" s="46">
        <v>0</v>
      </c>
      <c r="AA43" s="34">
        <v>0</v>
      </c>
      <c r="AB43" s="34">
        <v>0</v>
      </c>
      <c r="AC43" s="52">
        <v>0</v>
      </c>
      <c r="AD43" s="34">
        <v>0</v>
      </c>
      <c r="AE43" s="34">
        <v>0</v>
      </c>
      <c r="AF43" s="52">
        <v>0</v>
      </c>
      <c r="AG43" s="34">
        <v>40</v>
      </c>
      <c r="AH43" s="34">
        <v>30</v>
      </c>
      <c r="AI43" s="52">
        <v>30</v>
      </c>
      <c r="AJ43" s="34">
        <v>0</v>
      </c>
      <c r="AK43" s="34">
        <v>0</v>
      </c>
      <c r="AL43" s="46">
        <v>0</v>
      </c>
      <c r="AM43" s="34">
        <v>0</v>
      </c>
      <c r="AN43" s="34">
        <v>0</v>
      </c>
      <c r="AO43" s="52">
        <v>0</v>
      </c>
      <c r="AP43" s="34">
        <v>0</v>
      </c>
      <c r="AQ43" s="34">
        <v>0</v>
      </c>
      <c r="AR43" s="52">
        <v>0</v>
      </c>
      <c r="AS43" s="34">
        <v>20</v>
      </c>
      <c r="AT43" s="34">
        <v>25</v>
      </c>
      <c r="AU43" s="52">
        <v>10</v>
      </c>
      <c r="AV43" s="34">
        <v>10</v>
      </c>
      <c r="AW43" s="34">
        <v>5</v>
      </c>
      <c r="AX43" s="46">
        <v>10</v>
      </c>
      <c r="AY43" s="34">
        <f t="shared" si="26"/>
        <v>246.93790233599998</v>
      </c>
      <c r="AZ43" s="34">
        <f t="shared" si="27"/>
        <v>236.42499804159993</v>
      </c>
      <c r="BA43" s="52">
        <f t="shared" si="28"/>
        <v>245.60656133119994</v>
      </c>
      <c r="BB43" s="34">
        <f t="shared" si="29"/>
        <v>246.93790233599998</v>
      </c>
      <c r="BC43" s="34">
        <f t="shared" si="30"/>
        <v>236.42499804159993</v>
      </c>
      <c r="BD43" s="52">
        <f t="shared" si="31"/>
        <v>245.60656133119994</v>
      </c>
      <c r="BE43" s="34">
        <f t="shared" si="32"/>
        <v>381.93790233599998</v>
      </c>
      <c r="BF43" s="34">
        <f t="shared" si="33"/>
        <v>361.42499804159991</v>
      </c>
      <c r="BG43" s="52">
        <f t="shared" si="34"/>
        <v>370.60656133119994</v>
      </c>
      <c r="BH43" s="34">
        <f t="shared" si="35"/>
        <v>256.93790233599998</v>
      </c>
      <c r="BI43" s="34">
        <f t="shared" si="36"/>
        <v>251.42499804159993</v>
      </c>
      <c r="BJ43" s="34">
        <f t="shared" si="37"/>
        <v>255.60656133119994</v>
      </c>
      <c r="BK43" s="57">
        <f t="shared" si="38"/>
        <v>3335.8778468351993</v>
      </c>
      <c r="BL43" s="34">
        <f t="shared" si="39"/>
        <v>728.96946170879983</v>
      </c>
      <c r="BM43" s="34">
        <f t="shared" si="40"/>
        <v>728.96946170879983</v>
      </c>
      <c r="BN43" s="34">
        <f t="shared" si="41"/>
        <v>1113.9694617087998</v>
      </c>
      <c r="BO43" s="46">
        <f t="shared" si="42"/>
        <v>763.96946170879983</v>
      </c>
      <c r="BP43" s="65">
        <f t="shared" si="43"/>
        <v>246.93790233599998</v>
      </c>
      <c r="BQ43" s="65">
        <f t="shared" si="44"/>
        <v>236.42499804159993</v>
      </c>
      <c r="BR43" s="66">
        <f t="shared" si="45"/>
        <v>245.60656133119994</v>
      </c>
      <c r="BS43" s="34">
        <v>121</v>
      </c>
      <c r="BT43" s="34">
        <v>111</v>
      </c>
      <c r="BU43" s="52">
        <v>119</v>
      </c>
      <c r="BV43" s="58">
        <f t="shared" si="46"/>
        <v>1684.6895116799999</v>
      </c>
      <c r="BW43" s="58">
        <f t="shared" si="47"/>
        <v>1632.1249902079996</v>
      </c>
      <c r="BX43" s="59">
        <f t="shared" si="48"/>
        <v>1678.0328066559996</v>
      </c>
      <c r="BY43" s="44">
        <v>9.0500000000000007</v>
      </c>
      <c r="BZ43" s="44">
        <v>8.68</v>
      </c>
      <c r="CA43" s="53">
        <v>9.01</v>
      </c>
      <c r="CB43" s="58">
        <f t="shared" si="49"/>
        <v>22.519295999999997</v>
      </c>
      <c r="CC43" s="58">
        <f t="shared" si="50"/>
        <v>21.598617599999994</v>
      </c>
      <c r="CD43" s="59">
        <f t="shared" si="51"/>
        <v>22.419763199999995</v>
      </c>
    </row>
    <row r="44" spans="1:82" ht="13.5" customHeight="1" x14ac:dyDescent="0.25">
      <c r="A44" s="36" t="s">
        <v>217</v>
      </c>
      <c r="B44" s="70" t="s">
        <v>173</v>
      </c>
      <c r="C44" s="34">
        <v>0</v>
      </c>
      <c r="D44" s="34">
        <v>0</v>
      </c>
      <c r="E44" s="52">
        <v>0</v>
      </c>
      <c r="F44" s="34">
        <v>0</v>
      </c>
      <c r="G44" s="34">
        <v>0</v>
      </c>
      <c r="H44" s="52">
        <v>0</v>
      </c>
      <c r="I44" s="34">
        <v>0</v>
      </c>
      <c r="J44" s="34">
        <v>0</v>
      </c>
      <c r="K44" s="52">
        <v>0</v>
      </c>
      <c r="L44" s="34">
        <v>45</v>
      </c>
      <c r="M44" s="34">
        <v>20</v>
      </c>
      <c r="N44" s="46">
        <v>20</v>
      </c>
      <c r="O44" s="34">
        <v>0</v>
      </c>
      <c r="P44" s="34">
        <v>0</v>
      </c>
      <c r="Q44" s="52">
        <v>0</v>
      </c>
      <c r="R44" s="34">
        <v>0</v>
      </c>
      <c r="S44" s="34">
        <v>0</v>
      </c>
      <c r="T44" s="52">
        <v>0</v>
      </c>
      <c r="U44" s="34">
        <v>0</v>
      </c>
      <c r="V44" s="34">
        <v>20</v>
      </c>
      <c r="W44" s="52">
        <v>0</v>
      </c>
      <c r="X44" s="34">
        <v>110</v>
      </c>
      <c r="Y44" s="34">
        <v>70</v>
      </c>
      <c r="Z44" s="46">
        <v>35</v>
      </c>
      <c r="AA44" s="34">
        <v>0</v>
      </c>
      <c r="AB44" s="34">
        <v>0</v>
      </c>
      <c r="AC44" s="52">
        <v>0</v>
      </c>
      <c r="AD44" s="34">
        <v>0</v>
      </c>
      <c r="AE44" s="34">
        <v>0</v>
      </c>
      <c r="AF44" s="52">
        <v>0</v>
      </c>
      <c r="AG44" s="34">
        <v>50</v>
      </c>
      <c r="AH44" s="34">
        <v>0</v>
      </c>
      <c r="AI44" s="52">
        <v>0</v>
      </c>
      <c r="AJ44" s="34">
        <v>70</v>
      </c>
      <c r="AK44" s="34">
        <v>10</v>
      </c>
      <c r="AL44" s="46">
        <v>20</v>
      </c>
      <c r="AM44" s="34">
        <v>0</v>
      </c>
      <c r="AN44" s="34">
        <v>0</v>
      </c>
      <c r="AO44" s="52">
        <v>0</v>
      </c>
      <c r="AP44" s="34">
        <v>0</v>
      </c>
      <c r="AQ44" s="34">
        <v>0</v>
      </c>
      <c r="AR44" s="52">
        <v>0</v>
      </c>
      <c r="AS44" s="34">
        <v>0</v>
      </c>
      <c r="AT44" s="34">
        <v>0</v>
      </c>
      <c r="AU44" s="52">
        <v>0</v>
      </c>
      <c r="AV44" s="34">
        <v>5</v>
      </c>
      <c r="AW44" s="34">
        <v>5</v>
      </c>
      <c r="AX44" s="46">
        <v>5</v>
      </c>
      <c r="AY44" s="34">
        <f t="shared" si="26"/>
        <v>243.05203256320002</v>
      </c>
      <c r="AZ44" s="34">
        <f t="shared" si="27"/>
        <v>242.54954982399997</v>
      </c>
      <c r="BA44" s="52">
        <f t="shared" si="28"/>
        <v>244.54656133119994</v>
      </c>
      <c r="BB44" s="34">
        <f t="shared" si="29"/>
        <v>243.05203256320002</v>
      </c>
      <c r="BC44" s="34">
        <f t="shared" si="30"/>
        <v>242.54954982399997</v>
      </c>
      <c r="BD44" s="52">
        <f t="shared" si="31"/>
        <v>244.54656133119994</v>
      </c>
      <c r="BE44" s="34">
        <f t="shared" si="32"/>
        <v>293.05203256319999</v>
      </c>
      <c r="BF44" s="34">
        <f t="shared" si="33"/>
        <v>262.549549824</v>
      </c>
      <c r="BG44" s="52">
        <f t="shared" si="34"/>
        <v>244.54656133119994</v>
      </c>
      <c r="BH44" s="34">
        <f t="shared" si="35"/>
        <v>428.05203256319999</v>
      </c>
      <c r="BI44" s="34">
        <f t="shared" si="36"/>
        <v>327.549549824</v>
      </c>
      <c r="BJ44" s="34">
        <f t="shared" si="37"/>
        <v>304.54656133119994</v>
      </c>
      <c r="BK44" s="57">
        <f t="shared" si="38"/>
        <v>3320.5925748735999</v>
      </c>
      <c r="BL44" s="34">
        <f t="shared" si="39"/>
        <v>730.14814371839998</v>
      </c>
      <c r="BM44" s="34">
        <f t="shared" si="40"/>
        <v>730.14814371839998</v>
      </c>
      <c r="BN44" s="34">
        <f t="shared" si="41"/>
        <v>800.14814371839998</v>
      </c>
      <c r="BO44" s="46">
        <f t="shared" si="42"/>
        <v>1060.1481437184</v>
      </c>
      <c r="BP44" s="65">
        <f t="shared" si="43"/>
        <v>243.05203256320002</v>
      </c>
      <c r="BQ44" s="65">
        <f t="shared" si="44"/>
        <v>242.54954982399997</v>
      </c>
      <c r="BR44" s="66">
        <f t="shared" si="45"/>
        <v>244.54656133119994</v>
      </c>
      <c r="BS44" s="34">
        <v>123</v>
      </c>
      <c r="BT44" s="34">
        <v>111</v>
      </c>
      <c r="BU44" s="52">
        <v>114</v>
      </c>
      <c r="BV44" s="58">
        <f t="shared" si="46"/>
        <v>1665.260162816</v>
      </c>
      <c r="BW44" s="58">
        <f t="shared" si="47"/>
        <v>1662.7477491199998</v>
      </c>
      <c r="BX44" s="59">
        <f t="shared" si="48"/>
        <v>1672.7328066559996</v>
      </c>
      <c r="BY44" s="44">
        <v>8.86</v>
      </c>
      <c r="BZ44" s="44">
        <v>8.9499999999999993</v>
      </c>
      <c r="CA44" s="53">
        <v>9.01</v>
      </c>
      <c r="CB44" s="58">
        <f t="shared" si="49"/>
        <v>22.046515199999998</v>
      </c>
      <c r="CC44" s="58">
        <f t="shared" si="50"/>
        <v>22.270463999999993</v>
      </c>
      <c r="CD44" s="59">
        <f t="shared" si="51"/>
        <v>22.419763199999995</v>
      </c>
    </row>
    <row r="45" spans="1:82" ht="13.5" customHeight="1" x14ac:dyDescent="0.25">
      <c r="A45" s="36" t="s">
        <v>218</v>
      </c>
      <c r="B45" s="67" t="s">
        <v>681</v>
      </c>
      <c r="C45" s="34">
        <v>25</v>
      </c>
      <c r="D45" s="34">
        <v>0</v>
      </c>
      <c r="E45" s="52">
        <v>0</v>
      </c>
      <c r="F45" s="34">
        <v>25</v>
      </c>
      <c r="G45" s="34">
        <v>20</v>
      </c>
      <c r="H45" s="52">
        <v>20</v>
      </c>
      <c r="I45" s="34">
        <v>0</v>
      </c>
      <c r="J45" s="34">
        <v>0</v>
      </c>
      <c r="K45" s="52">
        <v>0</v>
      </c>
      <c r="L45" s="34">
        <v>0</v>
      </c>
      <c r="M45" s="34">
        <v>0</v>
      </c>
      <c r="N45" s="46">
        <v>0</v>
      </c>
      <c r="O45" s="34">
        <v>45</v>
      </c>
      <c r="P45" s="34">
        <v>30</v>
      </c>
      <c r="Q45" s="52">
        <v>10</v>
      </c>
      <c r="R45" s="34">
        <v>45</v>
      </c>
      <c r="S45" s="34">
        <v>50</v>
      </c>
      <c r="T45" s="52">
        <v>30</v>
      </c>
      <c r="U45" s="34">
        <v>0</v>
      </c>
      <c r="V45" s="34">
        <v>0</v>
      </c>
      <c r="W45" s="52">
        <v>0</v>
      </c>
      <c r="X45" s="34">
        <v>50</v>
      </c>
      <c r="Y45" s="34">
        <v>0</v>
      </c>
      <c r="Z45" s="46">
        <v>0</v>
      </c>
      <c r="AA45" s="34">
        <v>30</v>
      </c>
      <c r="AB45" s="34">
        <v>10</v>
      </c>
      <c r="AC45" s="52">
        <v>30</v>
      </c>
      <c r="AD45" s="34">
        <v>30</v>
      </c>
      <c r="AE45" s="34">
        <v>40</v>
      </c>
      <c r="AF45" s="52">
        <v>10</v>
      </c>
      <c r="AG45" s="34">
        <v>0</v>
      </c>
      <c r="AH45" s="34">
        <v>0</v>
      </c>
      <c r="AI45" s="52">
        <v>0</v>
      </c>
      <c r="AJ45" s="34">
        <v>0</v>
      </c>
      <c r="AK45" s="34">
        <v>0</v>
      </c>
      <c r="AL45" s="46">
        <v>0</v>
      </c>
      <c r="AM45" s="34">
        <v>0</v>
      </c>
      <c r="AN45" s="34">
        <v>0</v>
      </c>
      <c r="AO45" s="52">
        <v>0</v>
      </c>
      <c r="AP45" s="34">
        <v>0</v>
      </c>
      <c r="AQ45" s="34">
        <v>0</v>
      </c>
      <c r="AR45" s="52">
        <v>0</v>
      </c>
      <c r="AS45" s="34">
        <v>0</v>
      </c>
      <c r="AT45" s="34">
        <v>0</v>
      </c>
      <c r="AU45" s="52">
        <v>0</v>
      </c>
      <c r="AV45" s="34">
        <v>0</v>
      </c>
      <c r="AW45" s="34">
        <v>0</v>
      </c>
      <c r="AX45" s="46">
        <v>0</v>
      </c>
      <c r="AY45" s="34">
        <f t="shared" si="26"/>
        <v>319.72889082879999</v>
      </c>
      <c r="AZ45" s="34">
        <f t="shared" si="27"/>
        <v>279.55618580479995</v>
      </c>
      <c r="BA45" s="52">
        <f t="shared" si="28"/>
        <v>282.23370306559997</v>
      </c>
      <c r="BB45" s="34">
        <f t="shared" si="29"/>
        <v>319.72889082879999</v>
      </c>
      <c r="BC45" s="34">
        <f t="shared" si="30"/>
        <v>329.55618580479995</v>
      </c>
      <c r="BD45" s="52">
        <f t="shared" si="31"/>
        <v>282.23370306559997</v>
      </c>
      <c r="BE45" s="34">
        <f t="shared" si="32"/>
        <v>244.72889082879999</v>
      </c>
      <c r="BF45" s="34">
        <f t="shared" si="33"/>
        <v>239.55618580479992</v>
      </c>
      <c r="BG45" s="52">
        <f t="shared" si="34"/>
        <v>242.23370306559997</v>
      </c>
      <c r="BH45" s="34">
        <f t="shared" si="35"/>
        <v>294.72889082879999</v>
      </c>
      <c r="BI45" s="34">
        <f t="shared" si="36"/>
        <v>239.55618580479992</v>
      </c>
      <c r="BJ45" s="34">
        <f t="shared" si="37"/>
        <v>242.23370306559997</v>
      </c>
      <c r="BK45" s="57">
        <f t="shared" si="38"/>
        <v>3316.0751187967999</v>
      </c>
      <c r="BL45" s="34">
        <f t="shared" si="39"/>
        <v>881.51877969919997</v>
      </c>
      <c r="BM45" s="34">
        <f t="shared" si="40"/>
        <v>931.51877969919997</v>
      </c>
      <c r="BN45" s="34">
        <f t="shared" si="41"/>
        <v>726.51877969919997</v>
      </c>
      <c r="BO45" s="46">
        <f t="shared" si="42"/>
        <v>776.51877969919997</v>
      </c>
      <c r="BP45" s="65">
        <f t="shared" si="43"/>
        <v>244.72889082879999</v>
      </c>
      <c r="BQ45" s="65">
        <f t="shared" si="44"/>
        <v>239.55618580479992</v>
      </c>
      <c r="BR45" s="66">
        <f t="shared" si="45"/>
        <v>242.23370306559997</v>
      </c>
      <c r="BS45" s="34">
        <v>117</v>
      </c>
      <c r="BT45" s="34">
        <v>114</v>
      </c>
      <c r="BU45" s="52">
        <v>117</v>
      </c>
      <c r="BV45" s="58">
        <f t="shared" si="46"/>
        <v>1673.6444541439998</v>
      </c>
      <c r="BW45" s="58">
        <f t="shared" si="47"/>
        <v>1647.7809290239995</v>
      </c>
      <c r="BX45" s="59">
        <f t="shared" si="48"/>
        <v>1661.1685153279998</v>
      </c>
      <c r="BY45" s="44">
        <v>8.99</v>
      </c>
      <c r="BZ45" s="44">
        <v>8.7899999999999991</v>
      </c>
      <c r="CA45" s="53">
        <v>8.8800000000000008</v>
      </c>
      <c r="CB45" s="58">
        <f t="shared" si="49"/>
        <v>22.369996799999999</v>
      </c>
      <c r="CC45" s="58">
        <f t="shared" si="50"/>
        <v>21.872332799999992</v>
      </c>
      <c r="CD45" s="59">
        <f t="shared" si="51"/>
        <v>22.096281599999998</v>
      </c>
    </row>
    <row r="46" spans="1:82" ht="13.5" customHeight="1" x14ac:dyDescent="0.25">
      <c r="A46" s="36" t="s">
        <v>434</v>
      </c>
      <c r="B46" s="70" t="s">
        <v>114</v>
      </c>
      <c r="C46" s="34">
        <v>40</v>
      </c>
      <c r="D46" s="34">
        <v>0</v>
      </c>
      <c r="E46" s="52">
        <v>40</v>
      </c>
      <c r="F46" s="34">
        <v>0</v>
      </c>
      <c r="G46" s="34">
        <v>0</v>
      </c>
      <c r="H46" s="52">
        <v>0</v>
      </c>
      <c r="I46" s="34">
        <v>0</v>
      </c>
      <c r="J46" s="34">
        <v>0</v>
      </c>
      <c r="K46" s="52">
        <v>0</v>
      </c>
      <c r="L46" s="34">
        <v>0</v>
      </c>
      <c r="M46" s="34">
        <v>0</v>
      </c>
      <c r="N46" s="46">
        <v>0</v>
      </c>
      <c r="O46" s="34">
        <v>75</v>
      </c>
      <c r="P46" s="34">
        <v>30</v>
      </c>
      <c r="Q46" s="52">
        <v>85</v>
      </c>
      <c r="R46" s="34">
        <v>0</v>
      </c>
      <c r="S46" s="34">
        <v>0</v>
      </c>
      <c r="T46" s="52">
        <v>0</v>
      </c>
      <c r="U46" s="34">
        <v>0</v>
      </c>
      <c r="V46" s="34">
        <v>0</v>
      </c>
      <c r="W46" s="52">
        <v>0</v>
      </c>
      <c r="X46" s="34">
        <v>0</v>
      </c>
      <c r="Y46" s="34">
        <v>0</v>
      </c>
      <c r="Z46" s="46">
        <v>0</v>
      </c>
      <c r="AA46" s="34">
        <v>65</v>
      </c>
      <c r="AB46" s="34">
        <v>45</v>
      </c>
      <c r="AC46" s="52">
        <v>35</v>
      </c>
      <c r="AD46" s="34">
        <v>0</v>
      </c>
      <c r="AE46" s="34">
        <v>0</v>
      </c>
      <c r="AF46" s="52">
        <v>0</v>
      </c>
      <c r="AG46" s="34">
        <v>0</v>
      </c>
      <c r="AH46" s="34">
        <v>0</v>
      </c>
      <c r="AI46" s="52">
        <v>0</v>
      </c>
      <c r="AJ46" s="34">
        <v>0</v>
      </c>
      <c r="AK46" s="34">
        <v>0</v>
      </c>
      <c r="AL46" s="46">
        <v>0</v>
      </c>
      <c r="AM46" s="34">
        <v>10</v>
      </c>
      <c r="AN46" s="34">
        <v>10</v>
      </c>
      <c r="AO46" s="52">
        <v>10</v>
      </c>
      <c r="AP46" s="34">
        <v>0</v>
      </c>
      <c r="AQ46" s="34">
        <v>0</v>
      </c>
      <c r="AR46" s="52">
        <v>0</v>
      </c>
      <c r="AS46" s="34">
        <v>0</v>
      </c>
      <c r="AT46" s="34">
        <v>0</v>
      </c>
      <c r="AU46" s="52">
        <v>0</v>
      </c>
      <c r="AV46" s="34">
        <v>0</v>
      </c>
      <c r="AW46" s="34">
        <v>0</v>
      </c>
      <c r="AX46" s="46">
        <v>0</v>
      </c>
      <c r="AY46" s="34">
        <f t="shared" si="26"/>
        <v>397.74139658239994</v>
      </c>
      <c r="AZ46" s="34">
        <f t="shared" si="27"/>
        <v>328.05203256319999</v>
      </c>
      <c r="BA46" s="52">
        <f t="shared" si="28"/>
        <v>376.63689082880001</v>
      </c>
      <c r="BB46" s="34">
        <f t="shared" si="29"/>
        <v>247.74139658239997</v>
      </c>
      <c r="BC46" s="34">
        <f t="shared" si="30"/>
        <v>243.05203256320002</v>
      </c>
      <c r="BD46" s="52">
        <f t="shared" si="31"/>
        <v>246.63689082879998</v>
      </c>
      <c r="BE46" s="34">
        <f t="shared" si="32"/>
        <v>247.74139658239997</v>
      </c>
      <c r="BF46" s="34">
        <f t="shared" si="33"/>
        <v>243.05203256320002</v>
      </c>
      <c r="BG46" s="52">
        <f t="shared" si="34"/>
        <v>246.63689082879998</v>
      </c>
      <c r="BH46" s="34">
        <f t="shared" si="35"/>
        <v>247.74139658239997</v>
      </c>
      <c r="BI46" s="34">
        <f t="shared" si="36"/>
        <v>243.05203256320002</v>
      </c>
      <c r="BJ46" s="34">
        <f t="shared" si="37"/>
        <v>246.63689082879998</v>
      </c>
      <c r="BK46" s="57">
        <f t="shared" si="38"/>
        <v>3314.7212798975997</v>
      </c>
      <c r="BL46" s="34">
        <f t="shared" si="39"/>
        <v>1102.4303199743999</v>
      </c>
      <c r="BM46" s="34">
        <f t="shared" si="40"/>
        <v>737.43031997439994</v>
      </c>
      <c r="BN46" s="34">
        <f t="shared" si="41"/>
        <v>737.43031997439994</v>
      </c>
      <c r="BO46" s="46">
        <f t="shared" si="42"/>
        <v>737.43031997439994</v>
      </c>
      <c r="BP46" s="65">
        <f t="shared" si="43"/>
        <v>247.74139658239997</v>
      </c>
      <c r="BQ46" s="65">
        <f t="shared" si="44"/>
        <v>243.05203256320002</v>
      </c>
      <c r="BR46" s="66">
        <f t="shared" si="45"/>
        <v>246.63689082879998</v>
      </c>
      <c r="BS46" s="34">
        <v>128</v>
      </c>
      <c r="BT46" s="34">
        <v>123</v>
      </c>
      <c r="BU46" s="52">
        <v>126</v>
      </c>
      <c r="BV46" s="58">
        <f t="shared" si="46"/>
        <v>1688.7069829119998</v>
      </c>
      <c r="BW46" s="58">
        <f t="shared" si="47"/>
        <v>1665.260162816</v>
      </c>
      <c r="BX46" s="59">
        <f t="shared" si="48"/>
        <v>1683.1844541439998</v>
      </c>
      <c r="BY46" s="44">
        <v>9.02</v>
      </c>
      <c r="BZ46" s="44">
        <v>8.86</v>
      </c>
      <c r="CA46" s="53">
        <v>8.99</v>
      </c>
      <c r="CB46" s="58">
        <f t="shared" si="49"/>
        <v>22.444646399999996</v>
      </c>
      <c r="CC46" s="58">
        <f t="shared" si="50"/>
        <v>22.046515199999998</v>
      </c>
      <c r="CD46" s="59">
        <f t="shared" si="51"/>
        <v>22.369996799999999</v>
      </c>
    </row>
    <row r="47" spans="1:82" ht="13.5" customHeight="1" x14ac:dyDescent="0.25">
      <c r="A47" s="36" t="s">
        <v>435</v>
      </c>
      <c r="B47" s="67" t="s">
        <v>682</v>
      </c>
      <c r="C47" s="34">
        <v>15</v>
      </c>
      <c r="D47" s="34">
        <v>0</v>
      </c>
      <c r="E47" s="52">
        <v>0</v>
      </c>
      <c r="F47" s="34">
        <v>15</v>
      </c>
      <c r="G47" s="34">
        <v>0</v>
      </c>
      <c r="H47" s="52">
        <v>30</v>
      </c>
      <c r="I47" s="34">
        <v>15</v>
      </c>
      <c r="J47" s="34">
        <v>0</v>
      </c>
      <c r="K47" s="52">
        <v>0</v>
      </c>
      <c r="L47" s="34">
        <v>15</v>
      </c>
      <c r="M47" s="34">
        <v>0</v>
      </c>
      <c r="N47" s="46">
        <v>0</v>
      </c>
      <c r="O47" s="34">
        <v>45</v>
      </c>
      <c r="P47" s="34">
        <v>0</v>
      </c>
      <c r="Q47" s="52">
        <v>0</v>
      </c>
      <c r="R47" s="34">
        <v>45</v>
      </c>
      <c r="S47" s="34">
        <v>40</v>
      </c>
      <c r="T47" s="52">
        <v>50</v>
      </c>
      <c r="U47" s="34">
        <v>45</v>
      </c>
      <c r="V47" s="34">
        <v>0</v>
      </c>
      <c r="W47" s="52">
        <v>20</v>
      </c>
      <c r="X47" s="34">
        <v>45</v>
      </c>
      <c r="Y47" s="34">
        <v>0</v>
      </c>
      <c r="Z47" s="46">
        <v>20</v>
      </c>
      <c r="AA47" s="34">
        <v>26</v>
      </c>
      <c r="AB47" s="34">
        <v>0</v>
      </c>
      <c r="AC47" s="52">
        <v>0</v>
      </c>
      <c r="AD47" s="34">
        <v>26</v>
      </c>
      <c r="AE47" s="34">
        <v>20</v>
      </c>
      <c r="AF47" s="52">
        <v>10</v>
      </c>
      <c r="AG47" s="34">
        <v>16</v>
      </c>
      <c r="AH47" s="34">
        <v>0</v>
      </c>
      <c r="AI47" s="52">
        <v>0</v>
      </c>
      <c r="AJ47" s="34">
        <v>16</v>
      </c>
      <c r="AK47" s="34">
        <v>0</v>
      </c>
      <c r="AL47" s="46">
        <v>0</v>
      </c>
      <c r="AM47" s="34">
        <v>0</v>
      </c>
      <c r="AN47" s="34">
        <v>0</v>
      </c>
      <c r="AO47" s="52">
        <v>0</v>
      </c>
      <c r="AP47" s="34">
        <v>0</v>
      </c>
      <c r="AQ47" s="34">
        <v>0</v>
      </c>
      <c r="AR47" s="52">
        <v>0</v>
      </c>
      <c r="AS47" s="34">
        <v>0</v>
      </c>
      <c r="AT47" s="34">
        <v>0</v>
      </c>
      <c r="AU47" s="52">
        <v>0</v>
      </c>
      <c r="AV47" s="34">
        <v>0</v>
      </c>
      <c r="AW47" s="34">
        <v>0</v>
      </c>
      <c r="AX47" s="46">
        <v>0</v>
      </c>
      <c r="AY47" s="34">
        <f t="shared" si="26"/>
        <v>308.12033904639998</v>
      </c>
      <c r="AZ47" s="34">
        <f t="shared" si="27"/>
        <v>247.40640808959995</v>
      </c>
      <c r="BA47" s="52">
        <f t="shared" si="28"/>
        <v>238.01284480000001</v>
      </c>
      <c r="BB47" s="34">
        <f t="shared" si="29"/>
        <v>308.12033904639998</v>
      </c>
      <c r="BC47" s="34">
        <f t="shared" si="30"/>
        <v>307.40640808959995</v>
      </c>
      <c r="BD47" s="52">
        <f t="shared" si="31"/>
        <v>298.01284480000004</v>
      </c>
      <c r="BE47" s="34">
        <f t="shared" si="32"/>
        <v>298.12033904639998</v>
      </c>
      <c r="BF47" s="34">
        <f t="shared" si="33"/>
        <v>247.40640808959995</v>
      </c>
      <c r="BG47" s="52">
        <f t="shared" si="34"/>
        <v>258.01284480000004</v>
      </c>
      <c r="BH47" s="34">
        <f t="shared" si="35"/>
        <v>298.12033904639998</v>
      </c>
      <c r="BI47" s="34">
        <f t="shared" si="36"/>
        <v>247.40640808959995</v>
      </c>
      <c r="BJ47" s="34">
        <f t="shared" si="37"/>
        <v>258.01284480000004</v>
      </c>
      <c r="BK47" s="57">
        <f t="shared" si="38"/>
        <v>3314.1583677439999</v>
      </c>
      <c r="BL47" s="34">
        <f t="shared" si="39"/>
        <v>793.53959193599997</v>
      </c>
      <c r="BM47" s="34">
        <f t="shared" si="40"/>
        <v>913.53959193599997</v>
      </c>
      <c r="BN47" s="34">
        <f t="shared" si="41"/>
        <v>803.53959193599997</v>
      </c>
      <c r="BO47" s="46">
        <f t="shared" si="42"/>
        <v>803.53959193599997</v>
      </c>
      <c r="BP47" s="65">
        <f t="shared" si="43"/>
        <v>237.12033904639998</v>
      </c>
      <c r="BQ47" s="65">
        <f t="shared" si="44"/>
        <v>247.40640808959995</v>
      </c>
      <c r="BR47" s="66">
        <f t="shared" si="45"/>
        <v>238.01284480000001</v>
      </c>
      <c r="BS47" s="34">
        <v>110</v>
      </c>
      <c r="BT47" s="34">
        <v>120</v>
      </c>
      <c r="BU47" s="52">
        <v>111</v>
      </c>
      <c r="BV47" s="58">
        <f t="shared" si="46"/>
        <v>1635.6016952319999</v>
      </c>
      <c r="BW47" s="58">
        <f t="shared" si="47"/>
        <v>1687.0320404479996</v>
      </c>
      <c r="BX47" s="59">
        <f t="shared" si="48"/>
        <v>1640.064224</v>
      </c>
      <c r="BY47" s="44">
        <v>8.7200000000000006</v>
      </c>
      <c r="BZ47" s="44">
        <v>9.08</v>
      </c>
      <c r="CA47" s="53">
        <v>8.75</v>
      </c>
      <c r="CB47" s="58">
        <f t="shared" si="49"/>
        <v>21.698150399999999</v>
      </c>
      <c r="CC47" s="58">
        <f t="shared" si="50"/>
        <v>22.593945599999994</v>
      </c>
      <c r="CD47" s="59">
        <f t="shared" si="51"/>
        <v>21.772799999999997</v>
      </c>
    </row>
    <row r="48" spans="1:82" ht="13.5" customHeight="1" x14ac:dyDescent="0.25">
      <c r="A48" s="36" t="s">
        <v>436</v>
      </c>
      <c r="B48" s="62" t="s">
        <v>1128</v>
      </c>
      <c r="C48" s="34">
        <v>0</v>
      </c>
      <c r="D48" s="34">
        <v>0</v>
      </c>
      <c r="E48" s="52">
        <v>0</v>
      </c>
      <c r="F48" s="34">
        <v>0</v>
      </c>
      <c r="G48" s="34">
        <v>0</v>
      </c>
      <c r="H48" s="52">
        <v>0</v>
      </c>
      <c r="I48" s="34">
        <v>0</v>
      </c>
      <c r="J48" s="34">
        <v>0</v>
      </c>
      <c r="K48" s="50">
        <v>0</v>
      </c>
      <c r="L48" s="41">
        <v>60</v>
      </c>
      <c r="M48" s="41">
        <v>45</v>
      </c>
      <c r="N48" s="48">
        <v>60</v>
      </c>
      <c r="O48" s="41">
        <v>0</v>
      </c>
      <c r="P48" s="41">
        <v>0</v>
      </c>
      <c r="Q48" s="50">
        <v>0</v>
      </c>
      <c r="R48" s="41">
        <v>0</v>
      </c>
      <c r="S48" s="41">
        <v>0</v>
      </c>
      <c r="T48" s="50">
        <v>0</v>
      </c>
      <c r="U48" s="41">
        <v>0</v>
      </c>
      <c r="V48" s="41">
        <v>0</v>
      </c>
      <c r="W48" s="50">
        <v>0</v>
      </c>
      <c r="X48" s="41">
        <v>105</v>
      </c>
      <c r="Y48" s="41">
        <v>50</v>
      </c>
      <c r="Z48" s="48">
        <v>100</v>
      </c>
      <c r="AA48" s="41">
        <v>0</v>
      </c>
      <c r="AB48" s="41">
        <v>0</v>
      </c>
      <c r="AC48" s="50">
        <v>0</v>
      </c>
      <c r="AD48" s="41">
        <v>0</v>
      </c>
      <c r="AE48" s="41">
        <v>0</v>
      </c>
      <c r="AF48" s="50">
        <v>0</v>
      </c>
      <c r="AG48" s="41">
        <v>10</v>
      </c>
      <c r="AH48" s="41">
        <v>0</v>
      </c>
      <c r="AI48" s="50">
        <v>0</v>
      </c>
      <c r="AJ48" s="41">
        <v>30</v>
      </c>
      <c r="AK48" s="41">
        <v>10</v>
      </c>
      <c r="AL48" s="48">
        <v>20</v>
      </c>
      <c r="AM48" s="41">
        <v>0</v>
      </c>
      <c r="AN48" s="41">
        <v>0</v>
      </c>
      <c r="AO48" s="50">
        <v>0</v>
      </c>
      <c r="AP48" s="41">
        <v>0</v>
      </c>
      <c r="AQ48" s="41">
        <v>0</v>
      </c>
      <c r="AR48" s="50">
        <v>0</v>
      </c>
      <c r="AS48" s="41">
        <v>0</v>
      </c>
      <c r="AT48" s="41">
        <v>0</v>
      </c>
      <c r="AU48" s="50">
        <v>0</v>
      </c>
      <c r="AV48" s="41">
        <v>10</v>
      </c>
      <c r="AW48" s="41">
        <v>10</v>
      </c>
      <c r="AX48" s="48">
        <v>0</v>
      </c>
      <c r="AY48" s="41">
        <f t="shared" si="26"/>
        <v>258.76731238399998</v>
      </c>
      <c r="AZ48" s="41">
        <f t="shared" si="27"/>
        <v>235.55163402239992</v>
      </c>
      <c r="BA48" s="50">
        <f t="shared" si="28"/>
        <v>246.87856133119996</v>
      </c>
      <c r="BB48" s="41">
        <f t="shared" si="29"/>
        <v>258.76731238399998</v>
      </c>
      <c r="BC48" s="41">
        <f t="shared" si="30"/>
        <v>235.55163402239992</v>
      </c>
      <c r="BD48" s="50">
        <f t="shared" si="31"/>
        <v>246.87856133119996</v>
      </c>
      <c r="BE48" s="41">
        <f t="shared" si="32"/>
        <v>268.76731238399998</v>
      </c>
      <c r="BF48" s="41">
        <f t="shared" si="33"/>
        <v>235.55163402239992</v>
      </c>
      <c r="BG48" s="50">
        <f t="shared" si="34"/>
        <v>246.87856133119996</v>
      </c>
      <c r="BH48" s="41">
        <f t="shared" si="35"/>
        <v>403.76731238399998</v>
      </c>
      <c r="BI48" s="41">
        <f t="shared" si="36"/>
        <v>305.55163402239992</v>
      </c>
      <c r="BJ48" s="41">
        <f t="shared" si="37"/>
        <v>366.87856133119999</v>
      </c>
      <c r="BK48" s="56">
        <f t="shared" si="38"/>
        <v>3309.7900309503993</v>
      </c>
      <c r="BL48" s="41">
        <f t="shared" si="39"/>
        <v>741.19750773759984</v>
      </c>
      <c r="BM48" s="41">
        <f t="shared" si="40"/>
        <v>741.19750773759984</v>
      </c>
      <c r="BN48" s="41">
        <f t="shared" si="41"/>
        <v>751.19750773759984</v>
      </c>
      <c r="BO48" s="46">
        <f t="shared" si="42"/>
        <v>1076.1975077375998</v>
      </c>
      <c r="BP48" s="95">
        <f t="shared" si="43"/>
        <v>258.76731238399998</v>
      </c>
      <c r="BQ48" s="95">
        <f t="shared" si="44"/>
        <v>235.55163402239992</v>
      </c>
      <c r="BR48" s="96">
        <f t="shared" si="45"/>
        <v>246.87856133119996</v>
      </c>
      <c r="BS48" s="34">
        <v>134</v>
      </c>
      <c r="BT48" s="34">
        <v>124</v>
      </c>
      <c r="BU48" s="52">
        <v>125</v>
      </c>
      <c r="BV48" s="98">
        <f t="shared" si="46"/>
        <v>1743.8365619199997</v>
      </c>
      <c r="BW48" s="98">
        <f t="shared" si="47"/>
        <v>1627.7581701119996</v>
      </c>
      <c r="BX48" s="100">
        <f t="shared" si="48"/>
        <v>1684.3928066559997</v>
      </c>
      <c r="BY48" s="44">
        <v>9.4499999999999993</v>
      </c>
      <c r="BZ48" s="44">
        <v>8.52</v>
      </c>
      <c r="CA48" s="53">
        <v>9.01</v>
      </c>
      <c r="CB48" s="98">
        <f t="shared" si="49"/>
        <v>23.514623999999991</v>
      </c>
      <c r="CC48" s="98">
        <f t="shared" si="50"/>
        <v>21.200486399999992</v>
      </c>
      <c r="CD48" s="100">
        <f t="shared" si="51"/>
        <v>22.419763199999995</v>
      </c>
    </row>
    <row r="49" spans="1:82" ht="13.5" customHeight="1" x14ac:dyDescent="0.25">
      <c r="A49" s="36" t="s">
        <v>437</v>
      </c>
      <c r="B49" s="68" t="s">
        <v>668</v>
      </c>
      <c r="C49" s="34">
        <v>30</v>
      </c>
      <c r="D49" s="34">
        <v>0</v>
      </c>
      <c r="E49" s="52">
        <v>15</v>
      </c>
      <c r="F49" s="34">
        <v>0</v>
      </c>
      <c r="G49" s="34">
        <v>0</v>
      </c>
      <c r="H49" s="52">
        <v>15</v>
      </c>
      <c r="I49" s="34">
        <v>0</v>
      </c>
      <c r="J49" s="34">
        <v>0</v>
      </c>
      <c r="K49" s="52">
        <v>0</v>
      </c>
      <c r="L49" s="34">
        <v>0</v>
      </c>
      <c r="M49" s="34">
        <v>0</v>
      </c>
      <c r="N49" s="46">
        <v>0</v>
      </c>
      <c r="O49" s="34">
        <v>50</v>
      </c>
      <c r="P49" s="34">
        <v>90</v>
      </c>
      <c r="Q49" s="52">
        <v>110</v>
      </c>
      <c r="R49" s="34">
        <v>0</v>
      </c>
      <c r="S49" s="34">
        <v>30</v>
      </c>
      <c r="T49" s="52">
        <v>50</v>
      </c>
      <c r="U49" s="34">
        <v>0</v>
      </c>
      <c r="V49" s="34">
        <v>0</v>
      </c>
      <c r="W49" s="52">
        <v>0</v>
      </c>
      <c r="X49" s="34">
        <v>0</v>
      </c>
      <c r="Y49" s="34">
        <v>0</v>
      </c>
      <c r="Z49" s="46">
        <v>0</v>
      </c>
      <c r="AA49" s="34">
        <v>62</v>
      </c>
      <c r="AB49" s="34">
        <v>56</v>
      </c>
      <c r="AC49" s="52">
        <v>10</v>
      </c>
      <c r="AD49" s="34">
        <v>16</v>
      </c>
      <c r="AE49" s="34">
        <v>0</v>
      </c>
      <c r="AF49" s="52">
        <v>0</v>
      </c>
      <c r="AG49" s="34">
        <v>6</v>
      </c>
      <c r="AH49" s="34">
        <v>0</v>
      </c>
      <c r="AI49" s="52">
        <v>0</v>
      </c>
      <c r="AJ49" s="34">
        <v>6</v>
      </c>
      <c r="AK49" s="34">
        <v>0</v>
      </c>
      <c r="AL49" s="46">
        <v>0</v>
      </c>
      <c r="AM49" s="34">
        <v>0</v>
      </c>
      <c r="AN49" s="34">
        <v>0</v>
      </c>
      <c r="AO49" s="52">
        <v>0</v>
      </c>
      <c r="AP49" s="34">
        <v>0</v>
      </c>
      <c r="AQ49" s="34">
        <v>0</v>
      </c>
      <c r="AR49" s="52">
        <v>0</v>
      </c>
      <c r="AS49" s="34">
        <v>0</v>
      </c>
      <c r="AT49" s="34">
        <v>0</v>
      </c>
      <c r="AU49" s="52">
        <v>0</v>
      </c>
      <c r="AV49" s="34">
        <v>0</v>
      </c>
      <c r="AW49" s="34">
        <v>0</v>
      </c>
      <c r="AX49" s="46">
        <v>0</v>
      </c>
      <c r="AY49" s="34">
        <f t="shared" si="26"/>
        <v>347.32049228800003</v>
      </c>
      <c r="AZ49" s="34">
        <f t="shared" si="27"/>
        <v>376.7837872639999</v>
      </c>
      <c r="BA49" s="52">
        <f t="shared" si="28"/>
        <v>359.41836206079995</v>
      </c>
      <c r="BB49" s="34">
        <f t="shared" si="29"/>
        <v>251.32049228800003</v>
      </c>
      <c r="BC49" s="34">
        <f t="shared" si="30"/>
        <v>260.7837872639999</v>
      </c>
      <c r="BD49" s="52">
        <f t="shared" si="31"/>
        <v>289.41836206079995</v>
      </c>
      <c r="BE49" s="34">
        <f t="shared" si="32"/>
        <v>241.32049228800003</v>
      </c>
      <c r="BF49" s="34">
        <f t="shared" si="33"/>
        <v>230.78378726399993</v>
      </c>
      <c r="BG49" s="52">
        <f t="shared" si="34"/>
        <v>239.41836206079992</v>
      </c>
      <c r="BH49" s="34">
        <f t="shared" si="35"/>
        <v>241.32049228800003</v>
      </c>
      <c r="BI49" s="34">
        <f t="shared" si="36"/>
        <v>230.78378726399993</v>
      </c>
      <c r="BJ49" s="34">
        <f t="shared" si="37"/>
        <v>239.41836206079992</v>
      </c>
      <c r="BK49" s="57">
        <f t="shared" si="38"/>
        <v>3308.0905664511993</v>
      </c>
      <c r="BL49" s="34">
        <f t="shared" si="39"/>
        <v>1083.5226416127998</v>
      </c>
      <c r="BM49" s="34">
        <f t="shared" si="40"/>
        <v>801.52264161279993</v>
      </c>
      <c r="BN49" s="34">
        <f t="shared" si="41"/>
        <v>711.52264161279993</v>
      </c>
      <c r="BO49" s="46">
        <f t="shared" si="42"/>
        <v>711.52264161279993</v>
      </c>
      <c r="BP49" s="65">
        <f t="shared" si="43"/>
        <v>235.32049228800003</v>
      </c>
      <c r="BQ49" s="65">
        <f t="shared" si="44"/>
        <v>230.78378726399993</v>
      </c>
      <c r="BR49" s="66">
        <f t="shared" si="45"/>
        <v>239.41836206079992</v>
      </c>
      <c r="BS49" s="34">
        <v>109</v>
      </c>
      <c r="BT49" s="34">
        <v>109</v>
      </c>
      <c r="BU49" s="52">
        <v>108</v>
      </c>
      <c r="BV49" s="58">
        <f t="shared" si="46"/>
        <v>1626.6024614400001</v>
      </c>
      <c r="BW49" s="58">
        <f t="shared" si="47"/>
        <v>1603.9189363199996</v>
      </c>
      <c r="BX49" s="59">
        <f t="shared" si="48"/>
        <v>1647.0918103039996</v>
      </c>
      <c r="BY49" s="44">
        <v>8.65</v>
      </c>
      <c r="BZ49" s="44">
        <v>8.4499999999999993</v>
      </c>
      <c r="CA49" s="53">
        <v>8.84</v>
      </c>
      <c r="CB49" s="58">
        <f t="shared" si="49"/>
        <v>21.523968</v>
      </c>
      <c r="CC49" s="58">
        <f t="shared" si="50"/>
        <v>21.026303999999993</v>
      </c>
      <c r="CD49" s="59">
        <f t="shared" si="51"/>
        <v>21.996748799999995</v>
      </c>
    </row>
    <row r="50" spans="1:82" ht="13.5" customHeight="1" x14ac:dyDescent="0.25">
      <c r="A50" s="36" t="s">
        <v>438</v>
      </c>
      <c r="B50" s="67" t="s">
        <v>98</v>
      </c>
      <c r="C50" s="34">
        <v>0</v>
      </c>
      <c r="D50" s="34">
        <v>0</v>
      </c>
      <c r="E50" s="52">
        <v>15</v>
      </c>
      <c r="F50" s="34">
        <v>35</v>
      </c>
      <c r="G50" s="34">
        <v>35</v>
      </c>
      <c r="H50" s="52">
        <v>15</v>
      </c>
      <c r="I50" s="34">
        <v>0</v>
      </c>
      <c r="J50" s="34">
        <v>0</v>
      </c>
      <c r="K50" s="52">
        <v>0</v>
      </c>
      <c r="L50" s="34">
        <v>0</v>
      </c>
      <c r="M50" s="34">
        <v>0</v>
      </c>
      <c r="N50" s="46">
        <v>0</v>
      </c>
      <c r="O50" s="34">
        <v>15</v>
      </c>
      <c r="P50" s="34">
        <v>15</v>
      </c>
      <c r="Q50" s="52">
        <v>25</v>
      </c>
      <c r="R50" s="34">
        <v>85</v>
      </c>
      <c r="S50" s="34">
        <v>65</v>
      </c>
      <c r="T50" s="52">
        <v>40</v>
      </c>
      <c r="U50" s="34">
        <v>0</v>
      </c>
      <c r="V50" s="34">
        <v>0</v>
      </c>
      <c r="W50" s="52">
        <v>0</v>
      </c>
      <c r="X50" s="34">
        <v>0</v>
      </c>
      <c r="Y50" s="34">
        <v>0</v>
      </c>
      <c r="Z50" s="46">
        <v>0</v>
      </c>
      <c r="AA50" s="34">
        <v>0</v>
      </c>
      <c r="AB50" s="34">
        <v>15</v>
      </c>
      <c r="AC50" s="52">
        <v>15</v>
      </c>
      <c r="AD50" s="34">
        <v>45</v>
      </c>
      <c r="AE50" s="34">
        <v>35</v>
      </c>
      <c r="AF50" s="52">
        <v>35</v>
      </c>
      <c r="AG50" s="34">
        <v>0</v>
      </c>
      <c r="AH50" s="34">
        <v>0</v>
      </c>
      <c r="AI50" s="52">
        <v>0</v>
      </c>
      <c r="AJ50" s="34">
        <v>0</v>
      </c>
      <c r="AK50" s="34">
        <v>0</v>
      </c>
      <c r="AL50" s="46">
        <v>0</v>
      </c>
      <c r="AM50" s="34">
        <v>0</v>
      </c>
      <c r="AN50" s="34">
        <v>0</v>
      </c>
      <c r="AO50" s="52">
        <v>0</v>
      </c>
      <c r="AP50" s="34">
        <v>0</v>
      </c>
      <c r="AQ50" s="34">
        <v>0</v>
      </c>
      <c r="AR50" s="52">
        <v>0</v>
      </c>
      <c r="AS50" s="34">
        <v>0</v>
      </c>
      <c r="AT50" s="34">
        <v>0</v>
      </c>
      <c r="AU50" s="52">
        <v>0</v>
      </c>
      <c r="AV50" s="34">
        <v>0</v>
      </c>
      <c r="AW50" s="34">
        <v>0</v>
      </c>
      <c r="AX50" s="46">
        <v>0</v>
      </c>
      <c r="AY50" s="34">
        <f t="shared" si="26"/>
        <v>257.92904407039998</v>
      </c>
      <c r="AZ50" s="34">
        <f t="shared" si="27"/>
        <v>270.60135055360001</v>
      </c>
      <c r="BA50" s="52">
        <f t="shared" si="28"/>
        <v>285.62139658239994</v>
      </c>
      <c r="BB50" s="34">
        <f t="shared" si="29"/>
        <v>372.92904407039998</v>
      </c>
      <c r="BC50" s="34">
        <f t="shared" si="30"/>
        <v>340.60135055360001</v>
      </c>
      <c r="BD50" s="52">
        <f t="shared" si="31"/>
        <v>320.62139658239994</v>
      </c>
      <c r="BE50" s="34">
        <f t="shared" si="32"/>
        <v>242.92904407039995</v>
      </c>
      <c r="BF50" s="34">
        <f t="shared" si="33"/>
        <v>240.60135055359999</v>
      </c>
      <c r="BG50" s="52">
        <f t="shared" si="34"/>
        <v>245.62139658239994</v>
      </c>
      <c r="BH50" s="34">
        <f t="shared" si="35"/>
        <v>242.92904407039995</v>
      </c>
      <c r="BI50" s="34">
        <f t="shared" si="36"/>
        <v>240.60135055359999</v>
      </c>
      <c r="BJ50" s="34">
        <f t="shared" si="37"/>
        <v>245.62139658239994</v>
      </c>
      <c r="BK50" s="57">
        <f t="shared" si="38"/>
        <v>3306.6071648256002</v>
      </c>
      <c r="BL50" s="34">
        <f t="shared" si="39"/>
        <v>814.15179120639993</v>
      </c>
      <c r="BM50" s="34">
        <f t="shared" si="40"/>
        <v>1034.1517912064</v>
      </c>
      <c r="BN50" s="34">
        <f t="shared" si="41"/>
        <v>729.15179120639982</v>
      </c>
      <c r="BO50" s="46">
        <f t="shared" si="42"/>
        <v>729.15179120639982</v>
      </c>
      <c r="BP50" s="65">
        <f t="shared" si="43"/>
        <v>242.92904407039995</v>
      </c>
      <c r="BQ50" s="65">
        <f t="shared" si="44"/>
        <v>240.60135055359999</v>
      </c>
      <c r="BR50" s="66">
        <f t="shared" si="45"/>
        <v>245.62139658239994</v>
      </c>
      <c r="BS50" s="34">
        <v>116</v>
      </c>
      <c r="BT50" s="34">
        <v>120</v>
      </c>
      <c r="BU50" s="52">
        <v>118</v>
      </c>
      <c r="BV50" s="58">
        <f t="shared" si="46"/>
        <v>1664.6452203519998</v>
      </c>
      <c r="BW50" s="58">
        <f t="shared" si="47"/>
        <v>1653.0067527679998</v>
      </c>
      <c r="BX50" s="59">
        <f t="shared" si="48"/>
        <v>1678.1069829119997</v>
      </c>
      <c r="BY50" s="44">
        <v>8.92</v>
      </c>
      <c r="BZ50" s="44">
        <v>8.7799999999999994</v>
      </c>
      <c r="CA50" s="53">
        <v>9.02</v>
      </c>
      <c r="CB50" s="58">
        <f t="shared" si="49"/>
        <v>22.195814399999993</v>
      </c>
      <c r="CC50" s="58">
        <f t="shared" si="50"/>
        <v>21.847449599999994</v>
      </c>
      <c r="CD50" s="59">
        <f t="shared" si="51"/>
        <v>22.444646399999996</v>
      </c>
    </row>
    <row r="51" spans="1:82" ht="13.5" customHeight="1" x14ac:dyDescent="0.25">
      <c r="A51" s="36" t="s">
        <v>439</v>
      </c>
      <c r="B51" s="68" t="s">
        <v>686</v>
      </c>
      <c r="C51" s="34">
        <v>0</v>
      </c>
      <c r="D51" s="34">
        <v>0</v>
      </c>
      <c r="E51" s="52">
        <v>15</v>
      </c>
      <c r="F51" s="34">
        <v>0</v>
      </c>
      <c r="G51" s="34">
        <v>0</v>
      </c>
      <c r="H51" s="52">
        <v>0</v>
      </c>
      <c r="I51" s="34">
        <v>20</v>
      </c>
      <c r="J51" s="34">
        <v>0</v>
      </c>
      <c r="K51" s="52">
        <v>0</v>
      </c>
      <c r="L51" s="34">
        <v>20</v>
      </c>
      <c r="M51" s="34">
        <v>0</v>
      </c>
      <c r="N51" s="46">
        <v>0</v>
      </c>
      <c r="O51" s="34">
        <v>0</v>
      </c>
      <c r="P51" s="34">
        <v>60</v>
      </c>
      <c r="Q51" s="52">
        <v>50</v>
      </c>
      <c r="R51" s="34">
        <v>0</v>
      </c>
      <c r="S51" s="34">
        <v>0</v>
      </c>
      <c r="T51" s="52">
        <v>0</v>
      </c>
      <c r="U51" s="34">
        <v>60</v>
      </c>
      <c r="V51" s="34">
        <v>0</v>
      </c>
      <c r="W51" s="52">
        <v>50</v>
      </c>
      <c r="X51" s="34">
        <v>60</v>
      </c>
      <c r="Y51" s="34">
        <v>0</v>
      </c>
      <c r="Z51" s="46">
        <v>50</v>
      </c>
      <c r="AA51" s="34">
        <v>6</v>
      </c>
      <c r="AB51" s="34">
        <v>0</v>
      </c>
      <c r="AC51" s="52">
        <v>0</v>
      </c>
      <c r="AD51" s="34">
        <v>6</v>
      </c>
      <c r="AE51" s="34">
        <v>0</v>
      </c>
      <c r="AF51" s="52">
        <v>0</v>
      </c>
      <c r="AG51" s="34">
        <v>62</v>
      </c>
      <c r="AH51" s="34">
        <v>10</v>
      </c>
      <c r="AI51" s="52">
        <v>0</v>
      </c>
      <c r="AJ51" s="34">
        <v>52</v>
      </c>
      <c r="AK51" s="34">
        <v>0</v>
      </c>
      <c r="AL51" s="46">
        <v>0</v>
      </c>
      <c r="AM51" s="34">
        <v>0</v>
      </c>
      <c r="AN51" s="34">
        <v>0</v>
      </c>
      <c r="AO51" s="52">
        <v>0</v>
      </c>
      <c r="AP51" s="34">
        <v>0</v>
      </c>
      <c r="AQ51" s="34">
        <v>0</v>
      </c>
      <c r="AR51" s="52">
        <v>0</v>
      </c>
      <c r="AS51" s="34">
        <v>0</v>
      </c>
      <c r="AT51" s="34">
        <v>0</v>
      </c>
      <c r="AU51" s="52">
        <v>0</v>
      </c>
      <c r="AV51" s="34">
        <v>0</v>
      </c>
      <c r="AW51" s="34">
        <v>0</v>
      </c>
      <c r="AX51" s="46">
        <v>0</v>
      </c>
      <c r="AY51" s="34">
        <f t="shared" si="26"/>
        <v>238.65781027839998</v>
      </c>
      <c r="AZ51" s="34">
        <f t="shared" si="27"/>
        <v>295.18697502719994</v>
      </c>
      <c r="BA51" s="52">
        <f t="shared" si="28"/>
        <v>291.86904407039998</v>
      </c>
      <c r="BB51" s="34">
        <f t="shared" si="29"/>
        <v>238.65781027839998</v>
      </c>
      <c r="BC51" s="34">
        <f t="shared" si="30"/>
        <v>235.18697502719994</v>
      </c>
      <c r="BD51" s="52">
        <f t="shared" si="31"/>
        <v>241.86904407039998</v>
      </c>
      <c r="BE51" s="34">
        <f t="shared" si="32"/>
        <v>354.65781027840001</v>
      </c>
      <c r="BF51" s="34">
        <f t="shared" si="33"/>
        <v>245.18697502719994</v>
      </c>
      <c r="BG51" s="52">
        <f t="shared" si="34"/>
        <v>291.86904407039998</v>
      </c>
      <c r="BH51" s="34">
        <f t="shared" si="35"/>
        <v>344.65781027840001</v>
      </c>
      <c r="BI51" s="34">
        <f t="shared" si="36"/>
        <v>235.18697502719994</v>
      </c>
      <c r="BJ51" s="34">
        <f t="shared" si="37"/>
        <v>291.86904407039998</v>
      </c>
      <c r="BK51" s="57">
        <f t="shared" si="38"/>
        <v>3304.8553175039997</v>
      </c>
      <c r="BL51" s="34">
        <f t="shared" si="39"/>
        <v>825.71382937599992</v>
      </c>
      <c r="BM51" s="34">
        <f t="shared" si="40"/>
        <v>715.71382937599992</v>
      </c>
      <c r="BN51" s="34">
        <f t="shared" si="41"/>
        <v>891.71382937599992</v>
      </c>
      <c r="BO51" s="46">
        <f t="shared" si="42"/>
        <v>871.71382937599992</v>
      </c>
      <c r="BP51" s="65">
        <f t="shared" si="43"/>
        <v>232.65781027839998</v>
      </c>
      <c r="BQ51" s="65">
        <f t="shared" si="44"/>
        <v>235.18697502719994</v>
      </c>
      <c r="BR51" s="66">
        <f t="shared" si="45"/>
        <v>241.86904407039998</v>
      </c>
      <c r="BS51" s="34">
        <v>105</v>
      </c>
      <c r="BT51" s="34">
        <v>118</v>
      </c>
      <c r="BU51" s="52">
        <v>111</v>
      </c>
      <c r="BV51" s="58">
        <f t="shared" si="46"/>
        <v>1613.2890513919999</v>
      </c>
      <c r="BW51" s="58">
        <f t="shared" si="47"/>
        <v>1625.9348751359996</v>
      </c>
      <c r="BX51" s="59">
        <f t="shared" si="48"/>
        <v>1659.3452203519998</v>
      </c>
      <c r="BY51" s="44">
        <v>8.57</v>
      </c>
      <c r="BZ51" s="44">
        <v>8.56</v>
      </c>
      <c r="CA51" s="53">
        <v>8.92</v>
      </c>
      <c r="CB51" s="58">
        <f t="shared" si="49"/>
        <v>21.324902399999996</v>
      </c>
      <c r="CC51" s="58">
        <f t="shared" si="50"/>
        <v>21.300019199999998</v>
      </c>
      <c r="CD51" s="59">
        <f t="shared" si="51"/>
        <v>22.195814399999993</v>
      </c>
    </row>
    <row r="52" spans="1:82" ht="13.5" customHeight="1" x14ac:dyDescent="0.25">
      <c r="A52" s="36" t="s">
        <v>440</v>
      </c>
      <c r="B52" s="70" t="s">
        <v>187</v>
      </c>
      <c r="C52" s="34">
        <v>0</v>
      </c>
      <c r="D52" s="34">
        <v>0</v>
      </c>
      <c r="E52" s="52">
        <v>0</v>
      </c>
      <c r="F52" s="34">
        <v>0</v>
      </c>
      <c r="G52" s="34">
        <v>0</v>
      </c>
      <c r="H52" s="52">
        <v>0</v>
      </c>
      <c r="I52" s="34">
        <v>0</v>
      </c>
      <c r="J52" s="34">
        <v>25</v>
      </c>
      <c r="K52" s="52">
        <v>0</v>
      </c>
      <c r="L52" s="34">
        <v>45</v>
      </c>
      <c r="M52" s="34">
        <v>25</v>
      </c>
      <c r="N52" s="46">
        <v>0</v>
      </c>
      <c r="O52" s="34">
        <v>0</v>
      </c>
      <c r="P52" s="34">
        <v>0</v>
      </c>
      <c r="Q52" s="52">
        <v>0</v>
      </c>
      <c r="R52" s="34">
        <v>0</v>
      </c>
      <c r="S52" s="34">
        <v>0</v>
      </c>
      <c r="T52" s="52">
        <v>0</v>
      </c>
      <c r="U52" s="34">
        <v>15</v>
      </c>
      <c r="V52" s="34">
        <v>25</v>
      </c>
      <c r="W52" s="52">
        <v>0</v>
      </c>
      <c r="X52" s="34">
        <v>80</v>
      </c>
      <c r="Y52" s="34">
        <v>115</v>
      </c>
      <c r="Z52" s="46">
        <v>15</v>
      </c>
      <c r="AA52" s="34">
        <v>0</v>
      </c>
      <c r="AB52" s="34">
        <v>0</v>
      </c>
      <c r="AC52" s="52">
        <v>0</v>
      </c>
      <c r="AD52" s="34">
        <v>0</v>
      </c>
      <c r="AE52" s="34">
        <v>0</v>
      </c>
      <c r="AF52" s="52">
        <v>0</v>
      </c>
      <c r="AG52" s="34">
        <v>0</v>
      </c>
      <c r="AH52" s="34">
        <v>0</v>
      </c>
      <c r="AI52" s="52">
        <v>0</v>
      </c>
      <c r="AJ52" s="34">
        <v>60</v>
      </c>
      <c r="AK52" s="34">
        <v>45</v>
      </c>
      <c r="AL52" s="46">
        <v>10</v>
      </c>
      <c r="AM52" s="34">
        <v>0</v>
      </c>
      <c r="AN52" s="34">
        <v>0</v>
      </c>
      <c r="AO52" s="52">
        <v>0</v>
      </c>
      <c r="AP52" s="34">
        <v>0</v>
      </c>
      <c r="AQ52" s="34">
        <v>0</v>
      </c>
      <c r="AR52" s="52">
        <v>0</v>
      </c>
      <c r="AS52" s="34">
        <v>0</v>
      </c>
      <c r="AT52" s="34">
        <v>10</v>
      </c>
      <c r="AU52" s="52">
        <v>0</v>
      </c>
      <c r="AV52" s="34">
        <v>0</v>
      </c>
      <c r="AW52" s="34">
        <v>10</v>
      </c>
      <c r="AX52" s="46">
        <v>0</v>
      </c>
      <c r="AY52" s="34">
        <f t="shared" si="26"/>
        <v>244.66954982399994</v>
      </c>
      <c r="AZ52" s="34">
        <f t="shared" si="27"/>
        <v>245.02990233599999</v>
      </c>
      <c r="BA52" s="52">
        <f t="shared" si="28"/>
        <v>239.76818580479991</v>
      </c>
      <c r="BB52" s="34">
        <f t="shared" si="29"/>
        <v>244.66954982399994</v>
      </c>
      <c r="BC52" s="34">
        <f t="shared" si="30"/>
        <v>245.02990233599999</v>
      </c>
      <c r="BD52" s="52">
        <f t="shared" si="31"/>
        <v>239.76818580479991</v>
      </c>
      <c r="BE52" s="34">
        <f t="shared" si="32"/>
        <v>259.66954982399994</v>
      </c>
      <c r="BF52" s="34">
        <f t="shared" si="33"/>
        <v>280.02990233599996</v>
      </c>
      <c r="BG52" s="52">
        <f t="shared" si="34"/>
        <v>239.76818580479991</v>
      </c>
      <c r="BH52" s="34">
        <f t="shared" si="35"/>
        <v>384.66954982399994</v>
      </c>
      <c r="BI52" s="34">
        <f t="shared" si="36"/>
        <v>415.02990233599996</v>
      </c>
      <c r="BJ52" s="34">
        <f t="shared" si="37"/>
        <v>264.76818580479994</v>
      </c>
      <c r="BK52" s="57">
        <f t="shared" si="38"/>
        <v>3302.8705518591996</v>
      </c>
      <c r="BL52" s="34">
        <f t="shared" si="39"/>
        <v>729.46763796479991</v>
      </c>
      <c r="BM52" s="34">
        <f t="shared" si="40"/>
        <v>729.46763796479991</v>
      </c>
      <c r="BN52" s="34">
        <f t="shared" si="41"/>
        <v>779.46763796479991</v>
      </c>
      <c r="BO52" s="46">
        <f t="shared" si="42"/>
        <v>1064.4676379647999</v>
      </c>
      <c r="BP52" s="65">
        <f t="shared" si="43"/>
        <v>244.66954982399994</v>
      </c>
      <c r="BQ52" s="65">
        <f t="shared" si="44"/>
        <v>245.02990233599999</v>
      </c>
      <c r="BR52" s="66">
        <f t="shared" si="45"/>
        <v>239.76818580479991</v>
      </c>
      <c r="BS52" s="34">
        <v>121</v>
      </c>
      <c r="BT52" s="34">
        <v>112</v>
      </c>
      <c r="BU52" s="52">
        <v>115</v>
      </c>
      <c r="BV52" s="58">
        <f t="shared" si="46"/>
        <v>1673.3477491199997</v>
      </c>
      <c r="BW52" s="58">
        <f t="shared" si="47"/>
        <v>1675.1495116799999</v>
      </c>
      <c r="BX52" s="59">
        <f t="shared" si="48"/>
        <v>1648.8409290239995</v>
      </c>
      <c r="BY52" s="44">
        <v>8.9499999999999993</v>
      </c>
      <c r="BZ52" s="44">
        <v>9.0500000000000007</v>
      </c>
      <c r="CA52" s="53">
        <v>8.7899999999999991</v>
      </c>
      <c r="CB52" s="58">
        <f t="shared" si="49"/>
        <v>22.270463999999993</v>
      </c>
      <c r="CC52" s="58">
        <f t="shared" si="50"/>
        <v>22.519295999999997</v>
      </c>
      <c r="CD52" s="59">
        <f t="shared" si="51"/>
        <v>21.872332799999992</v>
      </c>
    </row>
    <row r="53" spans="1:82" ht="13.5" customHeight="1" x14ac:dyDescent="0.25">
      <c r="A53" s="36" t="s">
        <v>441</v>
      </c>
      <c r="B53" s="67" t="s">
        <v>683</v>
      </c>
      <c r="C53" s="34">
        <v>25</v>
      </c>
      <c r="D53" s="34">
        <v>0</v>
      </c>
      <c r="E53" s="52">
        <v>0</v>
      </c>
      <c r="F53" s="34">
        <v>25</v>
      </c>
      <c r="G53" s="34">
        <v>0</v>
      </c>
      <c r="H53" s="52">
        <v>0</v>
      </c>
      <c r="I53" s="34">
        <v>10</v>
      </c>
      <c r="J53" s="34">
        <v>0</v>
      </c>
      <c r="K53" s="52">
        <v>0</v>
      </c>
      <c r="L53" s="34">
        <v>10</v>
      </c>
      <c r="M53" s="34">
        <v>0</v>
      </c>
      <c r="N53" s="46">
        <v>0</v>
      </c>
      <c r="O53" s="34">
        <v>60</v>
      </c>
      <c r="P53" s="34">
        <v>50</v>
      </c>
      <c r="Q53" s="52">
        <v>25</v>
      </c>
      <c r="R53" s="34">
        <v>60</v>
      </c>
      <c r="S53" s="34">
        <v>50</v>
      </c>
      <c r="T53" s="52">
        <v>25</v>
      </c>
      <c r="U53" s="34">
        <v>25</v>
      </c>
      <c r="V53" s="34">
        <v>0</v>
      </c>
      <c r="W53" s="52">
        <v>0</v>
      </c>
      <c r="X53" s="34">
        <v>25</v>
      </c>
      <c r="Y53" s="34">
        <v>0</v>
      </c>
      <c r="Z53" s="46">
        <v>0</v>
      </c>
      <c r="AA53" s="34">
        <v>42</v>
      </c>
      <c r="AB53" s="34">
        <v>0</v>
      </c>
      <c r="AC53" s="52">
        <v>10</v>
      </c>
      <c r="AD53" s="34">
        <v>32</v>
      </c>
      <c r="AE53" s="34">
        <v>0</v>
      </c>
      <c r="AF53" s="52">
        <v>0</v>
      </c>
      <c r="AG53" s="34">
        <v>12</v>
      </c>
      <c r="AH53" s="34">
        <v>0</v>
      </c>
      <c r="AI53" s="52">
        <v>0</v>
      </c>
      <c r="AJ53" s="34">
        <v>12</v>
      </c>
      <c r="AK53" s="34">
        <v>0</v>
      </c>
      <c r="AL53" s="46">
        <v>0</v>
      </c>
      <c r="AM53" s="34">
        <v>0</v>
      </c>
      <c r="AN53" s="34">
        <v>0</v>
      </c>
      <c r="AO53" s="52">
        <v>0</v>
      </c>
      <c r="AP53" s="34">
        <v>0</v>
      </c>
      <c r="AQ53" s="34">
        <v>0</v>
      </c>
      <c r="AR53" s="52">
        <v>0</v>
      </c>
      <c r="AS53" s="34">
        <v>0</v>
      </c>
      <c r="AT53" s="34">
        <v>0</v>
      </c>
      <c r="AU53" s="52">
        <v>0</v>
      </c>
      <c r="AV53" s="34">
        <v>0</v>
      </c>
      <c r="AW53" s="34">
        <v>0</v>
      </c>
      <c r="AX53" s="46">
        <v>0</v>
      </c>
      <c r="AY53" s="34">
        <f t="shared" si="26"/>
        <v>335.41679877119998</v>
      </c>
      <c r="AZ53" s="34">
        <f t="shared" si="27"/>
        <v>290.94686781439992</v>
      </c>
      <c r="BA53" s="52">
        <f t="shared" si="28"/>
        <v>277.79122032640004</v>
      </c>
      <c r="BB53" s="34">
        <f t="shared" si="29"/>
        <v>325.41679877119998</v>
      </c>
      <c r="BC53" s="34">
        <f t="shared" si="30"/>
        <v>290.94686781439992</v>
      </c>
      <c r="BD53" s="52">
        <f t="shared" si="31"/>
        <v>267.79122032640004</v>
      </c>
      <c r="BE53" s="34">
        <f t="shared" si="32"/>
        <v>270.41679877119998</v>
      </c>
      <c r="BF53" s="34">
        <f t="shared" si="33"/>
        <v>240.94686781439992</v>
      </c>
      <c r="BG53" s="52">
        <f t="shared" si="34"/>
        <v>242.79122032640004</v>
      </c>
      <c r="BH53" s="34">
        <f t="shared" si="35"/>
        <v>270.41679877119998</v>
      </c>
      <c r="BI53" s="34">
        <f t="shared" si="36"/>
        <v>240.94686781439992</v>
      </c>
      <c r="BJ53" s="34">
        <f t="shared" si="37"/>
        <v>242.79122032640004</v>
      </c>
      <c r="BK53" s="57">
        <f t="shared" si="38"/>
        <v>3296.6195476479998</v>
      </c>
      <c r="BL53" s="34">
        <f t="shared" si="39"/>
        <v>904.15488691199994</v>
      </c>
      <c r="BM53" s="34">
        <f t="shared" si="40"/>
        <v>884.15488691199994</v>
      </c>
      <c r="BN53" s="34">
        <f t="shared" si="41"/>
        <v>754.15488691199994</v>
      </c>
      <c r="BO53" s="46">
        <f t="shared" si="42"/>
        <v>754.15488691199994</v>
      </c>
      <c r="BP53" s="65">
        <f t="shared" si="43"/>
        <v>233.41679877120001</v>
      </c>
      <c r="BQ53" s="65">
        <f t="shared" si="44"/>
        <v>240.94686781439992</v>
      </c>
      <c r="BR53" s="66">
        <f t="shared" si="45"/>
        <v>242.79122032640004</v>
      </c>
      <c r="BS53" s="34">
        <v>115</v>
      </c>
      <c r="BT53" s="34">
        <v>112</v>
      </c>
      <c r="BU53" s="52">
        <v>110</v>
      </c>
      <c r="BV53" s="58">
        <f t="shared" si="46"/>
        <v>1617.083993856</v>
      </c>
      <c r="BW53" s="58">
        <f t="shared" si="47"/>
        <v>1654.7343390719996</v>
      </c>
      <c r="BX53" s="59">
        <f t="shared" si="48"/>
        <v>1663.9561016320001</v>
      </c>
      <c r="BY53" s="44">
        <v>8.51</v>
      </c>
      <c r="BZ53" s="44">
        <v>8.8699999999999992</v>
      </c>
      <c r="CA53" s="53">
        <v>8.9700000000000006</v>
      </c>
      <c r="CB53" s="58">
        <f t="shared" si="49"/>
        <v>21.175603199999998</v>
      </c>
      <c r="CC53" s="58">
        <f t="shared" si="50"/>
        <v>22.071398399999993</v>
      </c>
      <c r="CD53" s="59">
        <f t="shared" si="51"/>
        <v>22.3202304</v>
      </c>
    </row>
    <row r="54" spans="1:82" ht="13.5" customHeight="1" x14ac:dyDescent="0.25">
      <c r="A54" s="36" t="s">
        <v>442</v>
      </c>
      <c r="B54" s="68" t="s">
        <v>669</v>
      </c>
      <c r="C54" s="34">
        <v>20</v>
      </c>
      <c r="D54" s="34">
        <v>0</v>
      </c>
      <c r="E54" s="52">
        <v>0</v>
      </c>
      <c r="F54" s="34">
        <v>0</v>
      </c>
      <c r="G54" s="34">
        <v>0</v>
      </c>
      <c r="H54" s="52">
        <v>0</v>
      </c>
      <c r="I54" s="34">
        <v>35</v>
      </c>
      <c r="J54" s="34">
        <v>0</v>
      </c>
      <c r="K54" s="52">
        <v>0</v>
      </c>
      <c r="L54" s="34">
        <v>0</v>
      </c>
      <c r="M54" s="34">
        <v>0</v>
      </c>
      <c r="N54" s="46">
        <v>0</v>
      </c>
      <c r="O54" s="34">
        <v>45</v>
      </c>
      <c r="P54" s="34">
        <v>25</v>
      </c>
      <c r="Q54" s="52">
        <v>30</v>
      </c>
      <c r="R54" s="34">
        <v>0</v>
      </c>
      <c r="S54" s="34">
        <v>25</v>
      </c>
      <c r="T54" s="52">
        <v>30</v>
      </c>
      <c r="U54" s="34">
        <v>60</v>
      </c>
      <c r="V54" s="34">
        <v>25</v>
      </c>
      <c r="W54" s="52">
        <v>30</v>
      </c>
      <c r="X54" s="34">
        <v>0</v>
      </c>
      <c r="Y54" s="34">
        <v>25</v>
      </c>
      <c r="Z54" s="46">
        <v>30</v>
      </c>
      <c r="AA54" s="34">
        <v>6</v>
      </c>
      <c r="AB54" s="34">
        <v>0</v>
      </c>
      <c r="AC54" s="52">
        <v>0</v>
      </c>
      <c r="AD54" s="34">
        <v>6</v>
      </c>
      <c r="AE54" s="34">
        <v>0</v>
      </c>
      <c r="AF54" s="52">
        <v>0</v>
      </c>
      <c r="AG54" s="34">
        <v>51</v>
      </c>
      <c r="AH54" s="34">
        <v>10</v>
      </c>
      <c r="AI54" s="52">
        <v>20</v>
      </c>
      <c r="AJ54" s="34">
        <v>6</v>
      </c>
      <c r="AK54" s="34">
        <v>0</v>
      </c>
      <c r="AL54" s="46">
        <v>0</v>
      </c>
      <c r="AM54" s="34">
        <v>0</v>
      </c>
      <c r="AN54" s="34">
        <v>0</v>
      </c>
      <c r="AO54" s="52">
        <v>0</v>
      </c>
      <c r="AP54" s="34">
        <v>0</v>
      </c>
      <c r="AQ54" s="34">
        <v>0</v>
      </c>
      <c r="AR54" s="52">
        <v>0</v>
      </c>
      <c r="AS54" s="34">
        <v>0</v>
      </c>
      <c r="AT54" s="34">
        <v>0</v>
      </c>
      <c r="AU54" s="52">
        <v>0</v>
      </c>
      <c r="AV54" s="34">
        <v>0</v>
      </c>
      <c r="AW54" s="34">
        <v>0</v>
      </c>
      <c r="AX54" s="46">
        <v>0</v>
      </c>
      <c r="AY54" s="34">
        <f t="shared" si="26"/>
        <v>286.10849228799998</v>
      </c>
      <c r="AZ54" s="34">
        <f t="shared" si="27"/>
        <v>262.77117429759994</v>
      </c>
      <c r="BA54" s="52">
        <f t="shared" si="28"/>
        <v>274.57623183359999</v>
      </c>
      <c r="BB54" s="34">
        <f t="shared" si="29"/>
        <v>241.10849228799998</v>
      </c>
      <c r="BC54" s="34">
        <f t="shared" si="30"/>
        <v>262.77117429759994</v>
      </c>
      <c r="BD54" s="52">
        <f t="shared" si="31"/>
        <v>274.57623183359999</v>
      </c>
      <c r="BE54" s="34">
        <f t="shared" si="32"/>
        <v>346.10849228799998</v>
      </c>
      <c r="BF54" s="34">
        <f t="shared" si="33"/>
        <v>272.77117429759994</v>
      </c>
      <c r="BG54" s="52">
        <f t="shared" si="34"/>
        <v>294.57623183359999</v>
      </c>
      <c r="BH54" s="34">
        <f t="shared" si="35"/>
        <v>241.10849228799998</v>
      </c>
      <c r="BI54" s="34">
        <f t="shared" si="36"/>
        <v>262.77117429759994</v>
      </c>
      <c r="BJ54" s="34">
        <f t="shared" si="37"/>
        <v>274.57623183359999</v>
      </c>
      <c r="BK54" s="57">
        <f t="shared" si="38"/>
        <v>3293.8235936767996</v>
      </c>
      <c r="BL54" s="34">
        <f t="shared" si="39"/>
        <v>823.45589841919991</v>
      </c>
      <c r="BM54" s="34">
        <f t="shared" si="40"/>
        <v>778.45589841919991</v>
      </c>
      <c r="BN54" s="34">
        <f t="shared" si="41"/>
        <v>913.45589841919991</v>
      </c>
      <c r="BO54" s="46">
        <f t="shared" si="42"/>
        <v>778.45589841919991</v>
      </c>
      <c r="BP54" s="65">
        <f t="shared" si="43"/>
        <v>235.10849228799998</v>
      </c>
      <c r="BQ54" s="65">
        <f t="shared" si="44"/>
        <v>237.77117429759997</v>
      </c>
      <c r="BR54" s="66">
        <f t="shared" si="45"/>
        <v>244.57623183359999</v>
      </c>
      <c r="BS54" s="34">
        <v>108</v>
      </c>
      <c r="BT54" s="34">
        <v>112</v>
      </c>
      <c r="BU54" s="52">
        <v>112</v>
      </c>
      <c r="BV54" s="58">
        <f t="shared" si="46"/>
        <v>1625.5424614399999</v>
      </c>
      <c r="BW54" s="58">
        <f t="shared" si="47"/>
        <v>1638.8558714879998</v>
      </c>
      <c r="BX54" s="59">
        <f t="shared" si="48"/>
        <v>1672.8811591679998</v>
      </c>
      <c r="BY54" s="44">
        <v>8.65</v>
      </c>
      <c r="BZ54" s="44">
        <v>8.73</v>
      </c>
      <c r="CA54" s="53">
        <v>9.0299999999999994</v>
      </c>
      <c r="CB54" s="58">
        <f t="shared" si="49"/>
        <v>21.523968</v>
      </c>
      <c r="CC54" s="58">
        <f t="shared" si="50"/>
        <v>21.723033599999997</v>
      </c>
      <c r="CD54" s="59">
        <f t="shared" si="51"/>
        <v>22.469529599999994</v>
      </c>
    </row>
    <row r="55" spans="1:82" ht="13.5" customHeight="1" x14ac:dyDescent="0.25">
      <c r="A55" s="36" t="s">
        <v>443</v>
      </c>
      <c r="B55" s="71" t="s">
        <v>154</v>
      </c>
      <c r="C55" s="34">
        <v>0</v>
      </c>
      <c r="D55" s="34">
        <v>0</v>
      </c>
      <c r="E55" s="52">
        <v>0</v>
      </c>
      <c r="F55" s="34">
        <v>0</v>
      </c>
      <c r="G55" s="34">
        <v>0</v>
      </c>
      <c r="H55" s="52">
        <v>0</v>
      </c>
      <c r="I55" s="34">
        <v>40</v>
      </c>
      <c r="J55" s="34">
        <v>45</v>
      </c>
      <c r="K55" s="52">
        <v>0</v>
      </c>
      <c r="L55" s="34">
        <v>0</v>
      </c>
      <c r="M55" s="34">
        <v>0</v>
      </c>
      <c r="N55" s="46">
        <v>0</v>
      </c>
      <c r="O55" s="34">
        <v>0</v>
      </c>
      <c r="P55" s="34">
        <v>0</v>
      </c>
      <c r="Q55" s="52">
        <v>0</v>
      </c>
      <c r="R55" s="34">
        <v>0</v>
      </c>
      <c r="S55" s="34">
        <v>0</v>
      </c>
      <c r="T55" s="52">
        <v>0</v>
      </c>
      <c r="U55" s="34">
        <v>80</v>
      </c>
      <c r="V55" s="34">
        <v>85</v>
      </c>
      <c r="W55" s="52">
        <v>30</v>
      </c>
      <c r="X55" s="34">
        <v>0</v>
      </c>
      <c r="Y55" s="34">
        <v>25</v>
      </c>
      <c r="Z55" s="46">
        <v>15</v>
      </c>
      <c r="AA55" s="34">
        <v>0</v>
      </c>
      <c r="AB55" s="34">
        <v>0</v>
      </c>
      <c r="AC55" s="52">
        <v>0</v>
      </c>
      <c r="AD55" s="34">
        <v>0</v>
      </c>
      <c r="AE55" s="34">
        <v>0</v>
      </c>
      <c r="AF55" s="52">
        <v>0</v>
      </c>
      <c r="AG55" s="34">
        <v>60</v>
      </c>
      <c r="AH55" s="34">
        <v>40</v>
      </c>
      <c r="AI55" s="52">
        <v>20</v>
      </c>
      <c r="AJ55" s="34">
        <v>0</v>
      </c>
      <c r="AK55" s="34">
        <v>0</v>
      </c>
      <c r="AL55" s="46">
        <v>10</v>
      </c>
      <c r="AM55" s="34">
        <v>0</v>
      </c>
      <c r="AN55" s="34">
        <v>0</v>
      </c>
      <c r="AO55" s="52">
        <v>0</v>
      </c>
      <c r="AP55" s="34">
        <v>0</v>
      </c>
      <c r="AQ55" s="34">
        <v>0</v>
      </c>
      <c r="AR55" s="52">
        <v>0</v>
      </c>
      <c r="AS55" s="34">
        <v>0</v>
      </c>
      <c r="AT55" s="34">
        <v>0</v>
      </c>
      <c r="AU55" s="52">
        <v>0</v>
      </c>
      <c r="AV55" s="34">
        <v>0</v>
      </c>
      <c r="AW55" s="34">
        <v>0</v>
      </c>
      <c r="AX55" s="46">
        <v>0</v>
      </c>
      <c r="AY55" s="34">
        <f t="shared" si="26"/>
        <v>246.48423183359998</v>
      </c>
      <c r="AZ55" s="34">
        <f t="shared" si="27"/>
        <v>241.08469155839998</v>
      </c>
      <c r="BA55" s="52">
        <f t="shared" si="28"/>
        <v>241.82453831680002</v>
      </c>
      <c r="BB55" s="34">
        <f t="shared" si="29"/>
        <v>246.48423183359998</v>
      </c>
      <c r="BC55" s="34">
        <f t="shared" si="30"/>
        <v>241.08469155839998</v>
      </c>
      <c r="BD55" s="52">
        <f t="shared" si="31"/>
        <v>241.82453831680002</v>
      </c>
      <c r="BE55" s="34">
        <f t="shared" si="32"/>
        <v>386.48423183360001</v>
      </c>
      <c r="BF55" s="34">
        <f t="shared" si="33"/>
        <v>366.08469155839998</v>
      </c>
      <c r="BG55" s="52">
        <f t="shared" si="34"/>
        <v>291.82453831680004</v>
      </c>
      <c r="BH55" s="34">
        <f t="shared" si="35"/>
        <v>246.48423183359998</v>
      </c>
      <c r="BI55" s="34">
        <f t="shared" si="36"/>
        <v>266.08469155839998</v>
      </c>
      <c r="BJ55" s="34">
        <f t="shared" si="37"/>
        <v>266.82453831680004</v>
      </c>
      <c r="BK55" s="57">
        <f t="shared" si="38"/>
        <v>3282.5738468352001</v>
      </c>
      <c r="BL55" s="34">
        <f t="shared" si="39"/>
        <v>729.39346170880003</v>
      </c>
      <c r="BM55" s="34">
        <f t="shared" si="40"/>
        <v>729.39346170880003</v>
      </c>
      <c r="BN55" s="34">
        <f t="shared" si="41"/>
        <v>1044.3934617088</v>
      </c>
      <c r="BO55" s="46">
        <f t="shared" si="42"/>
        <v>779.39346170880003</v>
      </c>
      <c r="BP55" s="65">
        <f t="shared" si="43"/>
        <v>246.48423183359998</v>
      </c>
      <c r="BQ55" s="65">
        <f t="shared" si="44"/>
        <v>241.08469155839998</v>
      </c>
      <c r="BR55" s="66">
        <f t="shared" si="45"/>
        <v>241.82453831680002</v>
      </c>
      <c r="BS55" s="34">
        <v>121</v>
      </c>
      <c r="BT55" s="34">
        <v>118</v>
      </c>
      <c r="BU55" s="52">
        <v>114</v>
      </c>
      <c r="BV55" s="58">
        <f t="shared" si="46"/>
        <v>1682.4211591679998</v>
      </c>
      <c r="BW55" s="58">
        <f t="shared" si="47"/>
        <v>1655.4234577919999</v>
      </c>
      <c r="BX55" s="59">
        <f t="shared" si="48"/>
        <v>1659.122691584</v>
      </c>
      <c r="BY55" s="44">
        <v>9.0299999999999994</v>
      </c>
      <c r="BZ55" s="44">
        <v>8.82</v>
      </c>
      <c r="CA55" s="53">
        <v>8.89</v>
      </c>
      <c r="CB55" s="58">
        <f t="shared" si="49"/>
        <v>22.469529599999994</v>
      </c>
      <c r="CC55" s="58">
        <f t="shared" si="50"/>
        <v>21.946982399999996</v>
      </c>
      <c r="CD55" s="59">
        <f t="shared" si="51"/>
        <v>22.121164799999995</v>
      </c>
    </row>
    <row r="56" spans="1:82" ht="13.5" customHeight="1" x14ac:dyDescent="0.25">
      <c r="A56" s="36" t="s">
        <v>444</v>
      </c>
      <c r="B56" s="70" t="s">
        <v>192</v>
      </c>
      <c r="C56" s="34">
        <v>0</v>
      </c>
      <c r="D56" s="34">
        <v>0</v>
      </c>
      <c r="E56" s="52">
        <v>0</v>
      </c>
      <c r="F56" s="34">
        <v>0</v>
      </c>
      <c r="G56" s="34">
        <v>0</v>
      </c>
      <c r="H56" s="52">
        <v>0</v>
      </c>
      <c r="I56" s="34">
        <v>10</v>
      </c>
      <c r="J56" s="34">
        <v>0</v>
      </c>
      <c r="K56" s="52">
        <v>0</v>
      </c>
      <c r="L56" s="34">
        <v>40</v>
      </c>
      <c r="M56" s="34">
        <v>30</v>
      </c>
      <c r="N56" s="46">
        <v>0</v>
      </c>
      <c r="O56" s="34">
        <v>0</v>
      </c>
      <c r="P56" s="34">
        <v>0</v>
      </c>
      <c r="Q56" s="52">
        <v>0</v>
      </c>
      <c r="R56" s="34">
        <v>0</v>
      </c>
      <c r="S56" s="34">
        <v>0</v>
      </c>
      <c r="T56" s="52">
        <v>0</v>
      </c>
      <c r="U56" s="34">
        <v>10</v>
      </c>
      <c r="V56" s="34">
        <v>0</v>
      </c>
      <c r="W56" s="52">
        <v>0</v>
      </c>
      <c r="X56" s="34">
        <v>75</v>
      </c>
      <c r="Y56" s="34">
        <v>70</v>
      </c>
      <c r="Z56" s="46">
        <v>55</v>
      </c>
      <c r="AA56" s="34">
        <v>0</v>
      </c>
      <c r="AB56" s="34">
        <v>0</v>
      </c>
      <c r="AC56" s="52">
        <v>0</v>
      </c>
      <c r="AD56" s="34">
        <v>0</v>
      </c>
      <c r="AE56" s="34">
        <v>0</v>
      </c>
      <c r="AF56" s="52">
        <v>0</v>
      </c>
      <c r="AG56" s="34">
        <v>10</v>
      </c>
      <c r="AH56" s="34">
        <v>0</v>
      </c>
      <c r="AI56" s="52">
        <v>25</v>
      </c>
      <c r="AJ56" s="34">
        <v>65</v>
      </c>
      <c r="AK56" s="34">
        <v>20</v>
      </c>
      <c r="AL56" s="46">
        <v>35</v>
      </c>
      <c r="AM56" s="34">
        <v>0</v>
      </c>
      <c r="AN56" s="34">
        <v>0</v>
      </c>
      <c r="AO56" s="52">
        <v>0</v>
      </c>
      <c r="AP56" s="34">
        <v>0</v>
      </c>
      <c r="AQ56" s="34">
        <v>0</v>
      </c>
      <c r="AR56" s="52">
        <v>0</v>
      </c>
      <c r="AS56" s="34">
        <v>0</v>
      </c>
      <c r="AT56" s="34">
        <v>0</v>
      </c>
      <c r="AU56" s="52">
        <v>0</v>
      </c>
      <c r="AV56" s="34">
        <v>0</v>
      </c>
      <c r="AW56" s="34">
        <v>0</v>
      </c>
      <c r="AX56" s="46">
        <v>0</v>
      </c>
      <c r="AY56" s="34">
        <f t="shared" si="26"/>
        <v>245.60656133119994</v>
      </c>
      <c r="AZ56" s="34">
        <f t="shared" si="27"/>
        <v>244.95572607999998</v>
      </c>
      <c r="BA56" s="52">
        <f t="shared" si="28"/>
        <v>238.3775037952</v>
      </c>
      <c r="BB56" s="34">
        <f t="shared" si="29"/>
        <v>245.60656133119994</v>
      </c>
      <c r="BC56" s="34">
        <f t="shared" si="30"/>
        <v>244.95572607999998</v>
      </c>
      <c r="BD56" s="52">
        <f t="shared" si="31"/>
        <v>238.3775037952</v>
      </c>
      <c r="BE56" s="34">
        <f t="shared" si="32"/>
        <v>265.60656133119994</v>
      </c>
      <c r="BF56" s="34">
        <f t="shared" si="33"/>
        <v>244.95572607999998</v>
      </c>
      <c r="BG56" s="52">
        <f t="shared" si="34"/>
        <v>263.37750379520003</v>
      </c>
      <c r="BH56" s="34">
        <f t="shared" si="35"/>
        <v>385.60656133119994</v>
      </c>
      <c r="BI56" s="34">
        <f t="shared" si="36"/>
        <v>334.95572607999998</v>
      </c>
      <c r="BJ56" s="34">
        <f t="shared" si="37"/>
        <v>328.37750379520003</v>
      </c>
      <c r="BK56" s="57">
        <f t="shared" si="38"/>
        <v>3280.7591648255998</v>
      </c>
      <c r="BL56" s="34">
        <f t="shared" si="39"/>
        <v>728.93979120639995</v>
      </c>
      <c r="BM56" s="34">
        <f t="shared" si="40"/>
        <v>728.93979120639995</v>
      </c>
      <c r="BN56" s="34">
        <f t="shared" si="41"/>
        <v>773.93979120639995</v>
      </c>
      <c r="BO56" s="46">
        <f t="shared" si="42"/>
        <v>1048.9397912064001</v>
      </c>
      <c r="BP56" s="65">
        <f t="shared" si="43"/>
        <v>245.60656133119994</v>
      </c>
      <c r="BQ56" s="65">
        <f t="shared" si="44"/>
        <v>244.95572607999998</v>
      </c>
      <c r="BR56" s="66">
        <f t="shared" si="45"/>
        <v>238.3775037952</v>
      </c>
      <c r="BS56" s="34">
        <v>119</v>
      </c>
      <c r="BT56" s="34">
        <v>117</v>
      </c>
      <c r="BU56" s="52">
        <v>117</v>
      </c>
      <c r="BV56" s="58">
        <f t="shared" si="46"/>
        <v>1678.0328066559996</v>
      </c>
      <c r="BW56" s="58">
        <f t="shared" si="47"/>
        <v>1674.7786303999999</v>
      </c>
      <c r="BX56" s="59">
        <f t="shared" si="48"/>
        <v>1641.8875189759999</v>
      </c>
      <c r="BY56" s="44">
        <v>9.01</v>
      </c>
      <c r="BZ56" s="44">
        <v>9</v>
      </c>
      <c r="CA56" s="53">
        <v>8.7100000000000009</v>
      </c>
      <c r="CB56" s="58">
        <f t="shared" si="49"/>
        <v>22.419763199999995</v>
      </c>
      <c r="CC56" s="58">
        <f t="shared" si="50"/>
        <v>22.394879999999997</v>
      </c>
      <c r="CD56" s="59">
        <f t="shared" si="51"/>
        <v>21.673267199999994</v>
      </c>
    </row>
    <row r="57" spans="1:82" ht="13.5" customHeight="1" x14ac:dyDescent="0.25">
      <c r="A57" s="36" t="s">
        <v>445</v>
      </c>
      <c r="B57" s="68" t="s">
        <v>95</v>
      </c>
      <c r="C57" s="34">
        <v>0</v>
      </c>
      <c r="D57" s="34">
        <v>35</v>
      </c>
      <c r="E57" s="52">
        <v>0</v>
      </c>
      <c r="F57" s="34">
        <v>35</v>
      </c>
      <c r="G57" s="34">
        <v>35</v>
      </c>
      <c r="H57" s="52">
        <v>0</v>
      </c>
      <c r="I57" s="34">
        <v>0</v>
      </c>
      <c r="J57" s="34">
        <v>0</v>
      </c>
      <c r="K57" s="52">
        <v>0</v>
      </c>
      <c r="L57" s="34">
        <v>0</v>
      </c>
      <c r="M57" s="34">
        <v>0</v>
      </c>
      <c r="N57" s="46">
        <v>0</v>
      </c>
      <c r="O57" s="34">
        <v>0</v>
      </c>
      <c r="P57" s="34">
        <v>35</v>
      </c>
      <c r="Q57" s="52">
        <v>10</v>
      </c>
      <c r="R57" s="34">
        <v>70</v>
      </c>
      <c r="S57" s="34">
        <v>70</v>
      </c>
      <c r="T57" s="52">
        <v>30</v>
      </c>
      <c r="U57" s="34">
        <v>0</v>
      </c>
      <c r="V57" s="34">
        <v>0</v>
      </c>
      <c r="W57" s="52">
        <v>0</v>
      </c>
      <c r="X57" s="34">
        <v>0</v>
      </c>
      <c r="Y57" s="34">
        <v>0</v>
      </c>
      <c r="Z57" s="46">
        <v>0</v>
      </c>
      <c r="AA57" s="34">
        <v>10</v>
      </c>
      <c r="AB57" s="34">
        <v>0</v>
      </c>
      <c r="AC57" s="52">
        <v>0</v>
      </c>
      <c r="AD57" s="34">
        <v>60</v>
      </c>
      <c r="AE57" s="34">
        <v>35</v>
      </c>
      <c r="AF57" s="52">
        <v>40</v>
      </c>
      <c r="AG57" s="34">
        <v>0</v>
      </c>
      <c r="AH57" s="34">
        <v>0</v>
      </c>
      <c r="AI57" s="52">
        <v>0</v>
      </c>
      <c r="AJ57" s="34">
        <v>0</v>
      </c>
      <c r="AK57" s="34">
        <v>0</v>
      </c>
      <c r="AL57" s="46">
        <v>0</v>
      </c>
      <c r="AM57" s="34">
        <v>0</v>
      </c>
      <c r="AN57" s="34">
        <v>0</v>
      </c>
      <c r="AO57" s="52">
        <v>0</v>
      </c>
      <c r="AP57" s="34">
        <v>0</v>
      </c>
      <c r="AQ57" s="34">
        <v>0</v>
      </c>
      <c r="AR57" s="52">
        <v>0</v>
      </c>
      <c r="AS57" s="34">
        <v>0</v>
      </c>
      <c r="AT57" s="34">
        <v>0</v>
      </c>
      <c r="AU57" s="52">
        <v>0</v>
      </c>
      <c r="AV57" s="34">
        <v>0</v>
      </c>
      <c r="AW57" s="34">
        <v>0</v>
      </c>
      <c r="AX57" s="46">
        <v>0</v>
      </c>
      <c r="AY57" s="34">
        <f t="shared" si="26"/>
        <v>250.66069155839998</v>
      </c>
      <c r="AZ57" s="34">
        <f t="shared" si="27"/>
        <v>273.66368005119995</v>
      </c>
      <c r="BA57" s="52">
        <f t="shared" si="28"/>
        <v>259.60058434560005</v>
      </c>
      <c r="BB57" s="34">
        <f t="shared" si="29"/>
        <v>370.6606915584</v>
      </c>
      <c r="BC57" s="34">
        <f t="shared" si="30"/>
        <v>343.66368005119995</v>
      </c>
      <c r="BD57" s="52">
        <f t="shared" si="31"/>
        <v>319.60058434560005</v>
      </c>
      <c r="BE57" s="34">
        <f t="shared" si="32"/>
        <v>240.66069155839998</v>
      </c>
      <c r="BF57" s="34">
        <f t="shared" si="33"/>
        <v>238.66368005119995</v>
      </c>
      <c r="BG57" s="52">
        <f t="shared" si="34"/>
        <v>249.60058434560003</v>
      </c>
      <c r="BH57" s="34">
        <f t="shared" si="35"/>
        <v>240.66069155839998</v>
      </c>
      <c r="BI57" s="34">
        <f t="shared" si="36"/>
        <v>238.66368005119995</v>
      </c>
      <c r="BJ57" s="34">
        <f t="shared" si="37"/>
        <v>249.60058434560003</v>
      </c>
      <c r="BK57" s="57">
        <f t="shared" si="38"/>
        <v>3275.6998238207998</v>
      </c>
      <c r="BL57" s="34">
        <f t="shared" si="39"/>
        <v>783.92495595519995</v>
      </c>
      <c r="BM57" s="34">
        <f t="shared" si="40"/>
        <v>1033.9249559551999</v>
      </c>
      <c r="BN57" s="34">
        <f t="shared" si="41"/>
        <v>728.92495595519995</v>
      </c>
      <c r="BO57" s="46">
        <f t="shared" si="42"/>
        <v>728.92495595519995</v>
      </c>
      <c r="BP57" s="65">
        <f t="shared" si="43"/>
        <v>240.66069155839998</v>
      </c>
      <c r="BQ57" s="65">
        <f t="shared" si="44"/>
        <v>238.66368005119995</v>
      </c>
      <c r="BR57" s="66">
        <f t="shared" si="45"/>
        <v>249.60058434560003</v>
      </c>
      <c r="BS57" s="34">
        <v>116</v>
      </c>
      <c r="BT57" s="34">
        <v>113</v>
      </c>
      <c r="BU57" s="52">
        <v>125</v>
      </c>
      <c r="BV57" s="58">
        <f t="shared" si="46"/>
        <v>1653.3034577919998</v>
      </c>
      <c r="BW57" s="58">
        <f t="shared" si="47"/>
        <v>1643.3184002559997</v>
      </c>
      <c r="BX57" s="59">
        <f t="shared" si="48"/>
        <v>1698.002921728</v>
      </c>
      <c r="BY57" s="44">
        <v>8.82</v>
      </c>
      <c r="BZ57" s="44">
        <v>8.76</v>
      </c>
      <c r="CA57" s="53">
        <v>9.1300000000000008</v>
      </c>
      <c r="CB57" s="58">
        <f t="shared" si="49"/>
        <v>21.946982399999996</v>
      </c>
      <c r="CC57" s="58">
        <f t="shared" si="50"/>
        <v>21.797683199999991</v>
      </c>
      <c r="CD57" s="59">
        <f t="shared" si="51"/>
        <v>22.718361600000001</v>
      </c>
    </row>
    <row r="58" spans="1:82" ht="13.5" customHeight="1" x14ac:dyDescent="0.25">
      <c r="A58" s="36" t="s">
        <v>446</v>
      </c>
      <c r="B58" s="71" t="s">
        <v>148</v>
      </c>
      <c r="C58" s="34">
        <v>0</v>
      </c>
      <c r="D58" s="34">
        <v>0</v>
      </c>
      <c r="E58" s="52">
        <v>0</v>
      </c>
      <c r="F58" s="34">
        <v>0</v>
      </c>
      <c r="G58" s="34">
        <v>0</v>
      </c>
      <c r="H58" s="52">
        <v>0</v>
      </c>
      <c r="I58" s="34">
        <v>40</v>
      </c>
      <c r="J58" s="34">
        <v>20</v>
      </c>
      <c r="K58" s="52">
        <v>20</v>
      </c>
      <c r="L58" s="34">
        <v>0</v>
      </c>
      <c r="M58" s="34">
        <v>0</v>
      </c>
      <c r="N58" s="46">
        <v>0</v>
      </c>
      <c r="O58" s="34">
        <v>0</v>
      </c>
      <c r="P58" s="34">
        <v>0</v>
      </c>
      <c r="Q58" s="52">
        <v>0</v>
      </c>
      <c r="R58" s="34">
        <v>0</v>
      </c>
      <c r="S58" s="34">
        <v>0</v>
      </c>
      <c r="T58" s="52">
        <v>0</v>
      </c>
      <c r="U58" s="34">
        <v>75</v>
      </c>
      <c r="V58" s="34">
        <v>70</v>
      </c>
      <c r="W58" s="52">
        <v>35</v>
      </c>
      <c r="X58" s="34">
        <v>10</v>
      </c>
      <c r="Y58" s="34">
        <v>30</v>
      </c>
      <c r="Z58" s="46">
        <v>15</v>
      </c>
      <c r="AA58" s="34">
        <v>0</v>
      </c>
      <c r="AB58" s="34">
        <v>0</v>
      </c>
      <c r="AC58" s="52">
        <v>0</v>
      </c>
      <c r="AD58" s="34">
        <v>0</v>
      </c>
      <c r="AE58" s="34">
        <v>0</v>
      </c>
      <c r="AF58" s="52">
        <v>0</v>
      </c>
      <c r="AG58" s="34">
        <v>55</v>
      </c>
      <c r="AH58" s="34">
        <v>45</v>
      </c>
      <c r="AI58" s="52">
        <v>10</v>
      </c>
      <c r="AJ58" s="34">
        <v>0</v>
      </c>
      <c r="AK58" s="34">
        <v>25</v>
      </c>
      <c r="AL58" s="46">
        <v>0</v>
      </c>
      <c r="AM58" s="34">
        <v>0</v>
      </c>
      <c r="AN58" s="34">
        <v>0</v>
      </c>
      <c r="AO58" s="52">
        <v>0</v>
      </c>
      <c r="AP58" s="34">
        <v>0</v>
      </c>
      <c r="AQ58" s="34">
        <v>0</v>
      </c>
      <c r="AR58" s="52">
        <v>0</v>
      </c>
      <c r="AS58" s="34">
        <v>0</v>
      </c>
      <c r="AT58" s="34">
        <v>0</v>
      </c>
      <c r="AU58" s="52">
        <v>0</v>
      </c>
      <c r="AV58" s="34">
        <v>0</v>
      </c>
      <c r="AW58" s="34">
        <v>0</v>
      </c>
      <c r="AX58" s="46">
        <v>0</v>
      </c>
      <c r="AY58" s="34">
        <f t="shared" si="26"/>
        <v>245.81856133119993</v>
      </c>
      <c r="AZ58" s="34">
        <f t="shared" si="27"/>
        <v>239.81269155840002</v>
      </c>
      <c r="BA58" s="52">
        <f t="shared" si="28"/>
        <v>240.44869155839999</v>
      </c>
      <c r="BB58" s="34">
        <f t="shared" si="29"/>
        <v>245.81856133119993</v>
      </c>
      <c r="BC58" s="34">
        <f t="shared" si="30"/>
        <v>239.81269155840002</v>
      </c>
      <c r="BD58" s="52">
        <f t="shared" si="31"/>
        <v>240.44869155839999</v>
      </c>
      <c r="BE58" s="34">
        <f t="shared" si="32"/>
        <v>375.81856133119993</v>
      </c>
      <c r="BF58" s="34">
        <f t="shared" si="33"/>
        <v>354.81269155840005</v>
      </c>
      <c r="BG58" s="52">
        <f t="shared" si="34"/>
        <v>285.44869155840001</v>
      </c>
      <c r="BH58" s="34">
        <f t="shared" si="35"/>
        <v>255.81856133119993</v>
      </c>
      <c r="BI58" s="34">
        <f t="shared" si="36"/>
        <v>294.81269155840005</v>
      </c>
      <c r="BJ58" s="34">
        <f t="shared" si="37"/>
        <v>255.44869155839999</v>
      </c>
      <c r="BK58" s="57">
        <f t="shared" si="38"/>
        <v>3274.319777792</v>
      </c>
      <c r="BL58" s="34">
        <f t="shared" si="39"/>
        <v>726.07994444799999</v>
      </c>
      <c r="BM58" s="34">
        <f t="shared" si="40"/>
        <v>726.07994444799999</v>
      </c>
      <c r="BN58" s="34">
        <f t="shared" si="41"/>
        <v>1016.079944448</v>
      </c>
      <c r="BO58" s="46">
        <f t="shared" si="42"/>
        <v>806.07994444799999</v>
      </c>
      <c r="BP58" s="65">
        <f t="shared" si="43"/>
        <v>245.81856133119993</v>
      </c>
      <c r="BQ58" s="65">
        <f t="shared" si="44"/>
        <v>239.81269155840002</v>
      </c>
      <c r="BR58" s="66">
        <f t="shared" si="45"/>
        <v>240.44869155839999</v>
      </c>
      <c r="BS58" s="34">
        <v>120</v>
      </c>
      <c r="BT58" s="34">
        <v>112</v>
      </c>
      <c r="BU58" s="52">
        <v>115</v>
      </c>
      <c r="BV58" s="58">
        <f t="shared" si="46"/>
        <v>1679.0928066559995</v>
      </c>
      <c r="BW58" s="58">
        <f t="shared" si="47"/>
        <v>1649.063457792</v>
      </c>
      <c r="BX58" s="59">
        <f t="shared" si="48"/>
        <v>1652.2434577919998</v>
      </c>
      <c r="BY58" s="44">
        <v>9.01</v>
      </c>
      <c r="BZ58" s="44">
        <v>8.82</v>
      </c>
      <c r="CA58" s="53">
        <v>8.82</v>
      </c>
      <c r="CB58" s="58">
        <f t="shared" si="49"/>
        <v>22.419763199999995</v>
      </c>
      <c r="CC58" s="58">
        <f t="shared" si="50"/>
        <v>21.946982399999996</v>
      </c>
      <c r="CD58" s="59">
        <f t="shared" si="51"/>
        <v>21.946982399999996</v>
      </c>
    </row>
    <row r="59" spans="1:82" ht="13.5" customHeight="1" x14ac:dyDescent="0.25">
      <c r="A59" s="36" t="s">
        <v>447</v>
      </c>
      <c r="B59" s="70" t="s">
        <v>117</v>
      </c>
      <c r="C59" s="34">
        <v>45</v>
      </c>
      <c r="D59" s="34">
        <v>0</v>
      </c>
      <c r="E59" s="52">
        <v>0</v>
      </c>
      <c r="F59" s="34">
        <v>0</v>
      </c>
      <c r="G59" s="34">
        <v>0</v>
      </c>
      <c r="H59" s="52">
        <v>0</v>
      </c>
      <c r="I59" s="34">
        <v>0</v>
      </c>
      <c r="J59" s="34">
        <v>0</v>
      </c>
      <c r="K59" s="52">
        <v>0</v>
      </c>
      <c r="L59" s="34">
        <v>0</v>
      </c>
      <c r="M59" s="34">
        <v>0</v>
      </c>
      <c r="N59" s="46">
        <v>0</v>
      </c>
      <c r="O59" s="34">
        <v>95</v>
      </c>
      <c r="P59" s="34">
        <v>80</v>
      </c>
      <c r="Q59" s="52">
        <v>15</v>
      </c>
      <c r="R59" s="34">
        <v>15</v>
      </c>
      <c r="S59" s="34">
        <v>0</v>
      </c>
      <c r="T59" s="52">
        <v>0</v>
      </c>
      <c r="U59" s="34">
        <v>0</v>
      </c>
      <c r="V59" s="34">
        <v>0</v>
      </c>
      <c r="W59" s="52">
        <v>0</v>
      </c>
      <c r="X59" s="34">
        <v>0</v>
      </c>
      <c r="Y59" s="34">
        <v>0</v>
      </c>
      <c r="Z59" s="46">
        <v>0</v>
      </c>
      <c r="AA59" s="34">
        <v>65</v>
      </c>
      <c r="AB59" s="34">
        <v>55</v>
      </c>
      <c r="AC59" s="52">
        <v>20</v>
      </c>
      <c r="AD59" s="34">
        <v>0</v>
      </c>
      <c r="AE59" s="34">
        <v>0</v>
      </c>
      <c r="AF59" s="52">
        <v>0</v>
      </c>
      <c r="AG59" s="34">
        <v>0</v>
      </c>
      <c r="AH59" s="34">
        <v>0</v>
      </c>
      <c r="AI59" s="52">
        <v>0</v>
      </c>
      <c r="AJ59" s="34">
        <v>0</v>
      </c>
      <c r="AK59" s="34">
        <v>0</v>
      </c>
      <c r="AL59" s="46">
        <v>0</v>
      </c>
      <c r="AM59" s="34">
        <v>0</v>
      </c>
      <c r="AN59" s="34">
        <v>0</v>
      </c>
      <c r="AO59" s="52">
        <v>0</v>
      </c>
      <c r="AP59" s="34">
        <v>0</v>
      </c>
      <c r="AQ59" s="34">
        <v>0</v>
      </c>
      <c r="AR59" s="52">
        <v>0</v>
      </c>
      <c r="AS59" s="34">
        <v>0</v>
      </c>
      <c r="AT59" s="34">
        <v>0</v>
      </c>
      <c r="AU59" s="52">
        <v>0</v>
      </c>
      <c r="AV59" s="34">
        <v>0</v>
      </c>
      <c r="AW59" s="34">
        <v>0</v>
      </c>
      <c r="AX59" s="46">
        <v>0</v>
      </c>
      <c r="AY59" s="34">
        <f t="shared" si="26"/>
        <v>406.49906708479995</v>
      </c>
      <c r="AZ59" s="34">
        <f t="shared" si="27"/>
        <v>378.39754982399995</v>
      </c>
      <c r="BA59" s="52">
        <f t="shared" si="28"/>
        <v>274.28484479999997</v>
      </c>
      <c r="BB59" s="34">
        <f t="shared" si="29"/>
        <v>261.49906708479995</v>
      </c>
      <c r="BC59" s="34">
        <f t="shared" si="30"/>
        <v>243.39754982399995</v>
      </c>
      <c r="BD59" s="52">
        <f t="shared" si="31"/>
        <v>239.28484479999997</v>
      </c>
      <c r="BE59" s="34">
        <f t="shared" si="32"/>
        <v>246.49906708479995</v>
      </c>
      <c r="BF59" s="34">
        <f t="shared" si="33"/>
        <v>243.39754982399995</v>
      </c>
      <c r="BG59" s="52">
        <f t="shared" si="34"/>
        <v>239.28484479999997</v>
      </c>
      <c r="BH59" s="34">
        <f t="shared" si="35"/>
        <v>246.49906708479995</v>
      </c>
      <c r="BI59" s="34">
        <f t="shared" si="36"/>
        <v>243.39754982399995</v>
      </c>
      <c r="BJ59" s="34">
        <f t="shared" si="37"/>
        <v>239.28484479999997</v>
      </c>
      <c r="BK59" s="57">
        <f t="shared" si="38"/>
        <v>3261.7258468351993</v>
      </c>
      <c r="BL59" s="34">
        <f t="shared" si="39"/>
        <v>1059.1814617087998</v>
      </c>
      <c r="BM59" s="34">
        <f t="shared" si="40"/>
        <v>744.18146170879982</v>
      </c>
      <c r="BN59" s="34">
        <f t="shared" si="41"/>
        <v>729.18146170879982</v>
      </c>
      <c r="BO59" s="46">
        <f t="shared" si="42"/>
        <v>729.18146170879982</v>
      </c>
      <c r="BP59" s="65">
        <f t="shared" si="43"/>
        <v>246.49906708479995</v>
      </c>
      <c r="BQ59" s="65">
        <f t="shared" si="44"/>
        <v>243.39754982399995</v>
      </c>
      <c r="BR59" s="66">
        <f t="shared" si="45"/>
        <v>239.28484479999997</v>
      </c>
      <c r="BS59" s="34">
        <v>120</v>
      </c>
      <c r="BT59" s="34">
        <v>115</v>
      </c>
      <c r="BU59" s="52">
        <v>117</v>
      </c>
      <c r="BV59" s="58">
        <f t="shared" si="46"/>
        <v>1682.4953354239997</v>
      </c>
      <c r="BW59" s="58">
        <f t="shared" si="47"/>
        <v>1666.9877491199998</v>
      </c>
      <c r="BX59" s="59">
        <f t="shared" si="48"/>
        <v>1646.4242239999999</v>
      </c>
      <c r="BY59" s="44">
        <v>9.0399999999999991</v>
      </c>
      <c r="BZ59" s="44">
        <v>8.9499999999999993</v>
      </c>
      <c r="CA59" s="53">
        <v>8.75</v>
      </c>
      <c r="CB59" s="58">
        <f t="shared" si="49"/>
        <v>22.494412799999996</v>
      </c>
      <c r="CC59" s="58">
        <f t="shared" si="50"/>
        <v>22.270463999999993</v>
      </c>
      <c r="CD59" s="59">
        <f t="shared" si="51"/>
        <v>21.772799999999997</v>
      </c>
    </row>
    <row r="60" spans="1:82" ht="13.5" customHeight="1" x14ac:dyDescent="0.25">
      <c r="A60" s="36" t="s">
        <v>448</v>
      </c>
      <c r="B60" s="68" t="s">
        <v>670</v>
      </c>
      <c r="C60" s="34">
        <v>0</v>
      </c>
      <c r="D60" s="34">
        <v>0</v>
      </c>
      <c r="E60" s="52">
        <v>0</v>
      </c>
      <c r="F60" s="34">
        <v>0</v>
      </c>
      <c r="G60" s="34">
        <v>0</v>
      </c>
      <c r="H60" s="52">
        <v>0</v>
      </c>
      <c r="I60" s="34">
        <v>0</v>
      </c>
      <c r="J60" s="34">
        <v>0</v>
      </c>
      <c r="K60" s="52">
        <v>0</v>
      </c>
      <c r="L60" s="34">
        <v>0</v>
      </c>
      <c r="M60" s="34">
        <v>0</v>
      </c>
      <c r="N60" s="46">
        <v>0</v>
      </c>
      <c r="O60" s="34">
        <v>35</v>
      </c>
      <c r="P60" s="34">
        <v>40</v>
      </c>
      <c r="Q60" s="52">
        <v>35</v>
      </c>
      <c r="R60" s="34">
        <v>35</v>
      </c>
      <c r="S60" s="34">
        <v>40</v>
      </c>
      <c r="T60" s="52">
        <v>35</v>
      </c>
      <c r="U60" s="34">
        <v>35</v>
      </c>
      <c r="V60" s="34">
        <v>40</v>
      </c>
      <c r="W60" s="52">
        <v>35</v>
      </c>
      <c r="X60" s="34">
        <v>35</v>
      </c>
      <c r="Y60" s="34">
        <v>40</v>
      </c>
      <c r="Z60" s="46">
        <v>35</v>
      </c>
      <c r="AA60" s="34">
        <v>10</v>
      </c>
      <c r="AB60" s="34">
        <v>0</v>
      </c>
      <c r="AC60" s="52">
        <v>0</v>
      </c>
      <c r="AD60" s="34">
        <v>10</v>
      </c>
      <c r="AE60" s="34">
        <v>10</v>
      </c>
      <c r="AF60" s="52">
        <v>10</v>
      </c>
      <c r="AG60" s="34">
        <v>0</v>
      </c>
      <c r="AH60" s="34">
        <v>0</v>
      </c>
      <c r="AI60" s="52">
        <v>0</v>
      </c>
      <c r="AJ60" s="34">
        <v>0</v>
      </c>
      <c r="AK60" s="34">
        <v>0</v>
      </c>
      <c r="AL60" s="46">
        <v>0</v>
      </c>
      <c r="AM60" s="34">
        <v>0</v>
      </c>
      <c r="AN60" s="34">
        <v>0</v>
      </c>
      <c r="AO60" s="52">
        <v>0</v>
      </c>
      <c r="AP60" s="34">
        <v>0</v>
      </c>
      <c r="AQ60" s="34">
        <v>0</v>
      </c>
      <c r="AR60" s="52">
        <v>0</v>
      </c>
      <c r="AS60" s="34">
        <v>0</v>
      </c>
      <c r="AT60" s="34">
        <v>0</v>
      </c>
      <c r="AU60" s="52">
        <v>0</v>
      </c>
      <c r="AV60" s="34">
        <v>0</v>
      </c>
      <c r="AW60" s="34">
        <v>0</v>
      </c>
      <c r="AX60" s="46">
        <v>0</v>
      </c>
      <c r="AY60" s="34">
        <f t="shared" si="26"/>
        <v>267.04105922559995</v>
      </c>
      <c r="AZ60" s="34">
        <f t="shared" si="27"/>
        <v>274.63998653440001</v>
      </c>
      <c r="BA60" s="52">
        <f t="shared" si="28"/>
        <v>269.6696570368</v>
      </c>
      <c r="BB60" s="34">
        <f t="shared" si="29"/>
        <v>267.04105922559995</v>
      </c>
      <c r="BC60" s="34">
        <f t="shared" si="30"/>
        <v>284.63998653440001</v>
      </c>
      <c r="BD60" s="52">
        <f t="shared" si="31"/>
        <v>279.6696570368</v>
      </c>
      <c r="BE60" s="34">
        <f t="shared" si="32"/>
        <v>257.04105922559995</v>
      </c>
      <c r="BF60" s="34">
        <f t="shared" si="33"/>
        <v>274.63998653440001</v>
      </c>
      <c r="BG60" s="52">
        <f t="shared" si="34"/>
        <v>269.6696570368</v>
      </c>
      <c r="BH60" s="34">
        <f t="shared" si="35"/>
        <v>257.04105922559995</v>
      </c>
      <c r="BI60" s="34">
        <f t="shared" si="36"/>
        <v>274.63998653440001</v>
      </c>
      <c r="BJ60" s="34">
        <f t="shared" si="37"/>
        <v>269.6696570368</v>
      </c>
      <c r="BK60" s="57">
        <f t="shared" si="38"/>
        <v>3245.4028111871999</v>
      </c>
      <c r="BL60" s="34">
        <f t="shared" si="39"/>
        <v>811.35070279679996</v>
      </c>
      <c r="BM60" s="34">
        <f t="shared" si="40"/>
        <v>831.35070279679996</v>
      </c>
      <c r="BN60" s="34">
        <f t="shared" si="41"/>
        <v>801.35070279679996</v>
      </c>
      <c r="BO60" s="46">
        <f t="shared" si="42"/>
        <v>801.35070279679996</v>
      </c>
      <c r="BP60" s="65">
        <f t="shared" si="43"/>
        <v>222.04105922559998</v>
      </c>
      <c r="BQ60" s="65">
        <f t="shared" si="44"/>
        <v>234.63998653440004</v>
      </c>
      <c r="BR60" s="66">
        <f t="shared" si="45"/>
        <v>234.66965703679998</v>
      </c>
      <c r="BS60" s="34">
        <v>102</v>
      </c>
      <c r="BT60" s="34">
        <v>109</v>
      </c>
      <c r="BU60" s="52">
        <v>107</v>
      </c>
      <c r="BV60" s="58">
        <f t="shared" si="46"/>
        <v>1560.2052961279999</v>
      </c>
      <c r="BW60" s="58">
        <f t="shared" si="47"/>
        <v>1623.1999326720002</v>
      </c>
      <c r="BX60" s="59">
        <f t="shared" si="48"/>
        <v>1623.3482851839999</v>
      </c>
      <c r="BY60" s="44">
        <v>8.1300000000000008</v>
      </c>
      <c r="BZ60" s="44">
        <v>8.6199999999999992</v>
      </c>
      <c r="CA60" s="53">
        <v>8.64</v>
      </c>
      <c r="CB60" s="58">
        <f t="shared" si="49"/>
        <v>20.230041599999996</v>
      </c>
      <c r="CC60" s="58">
        <f t="shared" si="50"/>
        <v>21.449318399999999</v>
      </c>
      <c r="CD60" s="59">
        <f t="shared" si="51"/>
        <v>21.499084799999995</v>
      </c>
    </row>
    <row r="61" spans="1:82" ht="13.5" customHeight="1" x14ac:dyDescent="0.25">
      <c r="A61" s="36" t="s">
        <v>449</v>
      </c>
      <c r="B61" s="70" t="s">
        <v>120</v>
      </c>
      <c r="C61" s="34">
        <v>40</v>
      </c>
      <c r="D61" s="34">
        <v>15</v>
      </c>
      <c r="E61" s="52">
        <v>15</v>
      </c>
      <c r="F61" s="34">
        <v>0</v>
      </c>
      <c r="G61" s="34">
        <v>0</v>
      </c>
      <c r="H61" s="52">
        <v>0</v>
      </c>
      <c r="I61" s="34">
        <v>0</v>
      </c>
      <c r="J61" s="34">
        <v>0</v>
      </c>
      <c r="K61" s="52">
        <v>0</v>
      </c>
      <c r="L61" s="34">
        <v>0</v>
      </c>
      <c r="M61" s="34">
        <v>0</v>
      </c>
      <c r="N61" s="46">
        <v>0</v>
      </c>
      <c r="O61" s="34">
        <v>80</v>
      </c>
      <c r="P61" s="34">
        <v>50</v>
      </c>
      <c r="Q61" s="52">
        <v>30</v>
      </c>
      <c r="R61" s="34">
        <v>15</v>
      </c>
      <c r="S61" s="34">
        <v>25</v>
      </c>
      <c r="T61" s="52">
        <v>5</v>
      </c>
      <c r="U61" s="34">
        <v>0</v>
      </c>
      <c r="V61" s="34">
        <v>0</v>
      </c>
      <c r="W61" s="52">
        <v>0</v>
      </c>
      <c r="X61" s="34">
        <v>0</v>
      </c>
      <c r="Y61" s="34">
        <v>0</v>
      </c>
      <c r="Z61" s="46">
        <v>0</v>
      </c>
      <c r="AA61" s="34">
        <v>45</v>
      </c>
      <c r="AB61" s="34">
        <v>45</v>
      </c>
      <c r="AC61" s="52">
        <v>35</v>
      </c>
      <c r="AD61" s="34">
        <v>0</v>
      </c>
      <c r="AE61" s="34">
        <v>0</v>
      </c>
      <c r="AF61" s="52">
        <v>0</v>
      </c>
      <c r="AG61" s="34">
        <v>0</v>
      </c>
      <c r="AH61" s="34">
        <v>0</v>
      </c>
      <c r="AI61" s="52">
        <v>0</v>
      </c>
      <c r="AJ61" s="34">
        <v>0</v>
      </c>
      <c r="AK61" s="34">
        <v>0</v>
      </c>
      <c r="AL61" s="46">
        <v>0</v>
      </c>
      <c r="AM61" s="34">
        <v>0</v>
      </c>
      <c r="AN61" s="34">
        <v>0</v>
      </c>
      <c r="AO61" s="52">
        <v>0</v>
      </c>
      <c r="AP61" s="34">
        <v>0</v>
      </c>
      <c r="AQ61" s="34">
        <v>0</v>
      </c>
      <c r="AR61" s="52">
        <v>0</v>
      </c>
      <c r="AS61" s="34">
        <v>0</v>
      </c>
      <c r="AT61" s="34">
        <v>0</v>
      </c>
      <c r="AU61" s="52">
        <v>0</v>
      </c>
      <c r="AV61" s="34">
        <v>0</v>
      </c>
      <c r="AW61" s="34">
        <v>0</v>
      </c>
      <c r="AX61" s="46">
        <v>0</v>
      </c>
      <c r="AY61" s="34">
        <f t="shared" si="26"/>
        <v>372.88974909439992</v>
      </c>
      <c r="AZ61" s="34">
        <f t="shared" si="27"/>
        <v>333.66368005119995</v>
      </c>
      <c r="BA61" s="52">
        <f t="shared" si="28"/>
        <v>305.87269155839999</v>
      </c>
      <c r="BB61" s="34">
        <f t="shared" si="29"/>
        <v>262.88974909439992</v>
      </c>
      <c r="BC61" s="34">
        <f t="shared" si="30"/>
        <v>263.66368005119995</v>
      </c>
      <c r="BD61" s="52">
        <f t="shared" si="31"/>
        <v>245.87269155839999</v>
      </c>
      <c r="BE61" s="34">
        <f t="shared" si="32"/>
        <v>247.88974909439995</v>
      </c>
      <c r="BF61" s="34">
        <f t="shared" si="33"/>
        <v>238.66368005119995</v>
      </c>
      <c r="BG61" s="52">
        <f t="shared" si="34"/>
        <v>240.87269155839999</v>
      </c>
      <c r="BH61" s="34">
        <f t="shared" si="35"/>
        <v>247.88974909439995</v>
      </c>
      <c r="BI61" s="34">
        <f t="shared" si="36"/>
        <v>238.66368005119995</v>
      </c>
      <c r="BJ61" s="34">
        <f t="shared" si="37"/>
        <v>240.87269155839999</v>
      </c>
      <c r="BK61" s="57">
        <f t="shared" si="38"/>
        <v>3239.7044828159997</v>
      </c>
      <c r="BL61" s="34">
        <f t="shared" si="39"/>
        <v>1012.4261207039999</v>
      </c>
      <c r="BM61" s="34">
        <f t="shared" si="40"/>
        <v>772.42612070399991</v>
      </c>
      <c r="BN61" s="34">
        <f t="shared" si="41"/>
        <v>727.42612070399991</v>
      </c>
      <c r="BO61" s="46">
        <f t="shared" si="42"/>
        <v>727.42612070399991</v>
      </c>
      <c r="BP61" s="65">
        <f t="shared" si="43"/>
        <v>247.88974909439995</v>
      </c>
      <c r="BQ61" s="65">
        <f t="shared" si="44"/>
        <v>238.66368005119995</v>
      </c>
      <c r="BR61" s="66">
        <f t="shared" si="45"/>
        <v>240.87269155839999</v>
      </c>
      <c r="BS61" s="34">
        <v>118</v>
      </c>
      <c r="BT61" s="34">
        <v>113</v>
      </c>
      <c r="BU61" s="52">
        <v>117</v>
      </c>
      <c r="BV61" s="58">
        <f t="shared" si="46"/>
        <v>1689.4487454719997</v>
      </c>
      <c r="BW61" s="58">
        <f t="shared" si="47"/>
        <v>1643.3184002559997</v>
      </c>
      <c r="BX61" s="59">
        <f t="shared" si="48"/>
        <v>1654.363457792</v>
      </c>
      <c r="BY61" s="44">
        <v>9.1199999999999992</v>
      </c>
      <c r="BZ61" s="44">
        <v>8.76</v>
      </c>
      <c r="CA61" s="53">
        <v>8.82</v>
      </c>
      <c r="CB61" s="58">
        <f t="shared" si="49"/>
        <v>22.693478399999993</v>
      </c>
      <c r="CC61" s="58">
        <f t="shared" si="50"/>
        <v>21.797683199999991</v>
      </c>
      <c r="CD61" s="59">
        <f t="shared" si="51"/>
        <v>21.946982399999996</v>
      </c>
    </row>
    <row r="62" spans="1:82" ht="13.5" customHeight="1" x14ac:dyDescent="0.25">
      <c r="A62" s="36" t="s">
        <v>450</v>
      </c>
      <c r="B62" s="72" t="s">
        <v>161</v>
      </c>
      <c r="C62" s="34">
        <v>0</v>
      </c>
      <c r="D62" s="34">
        <v>0</v>
      </c>
      <c r="E62" s="52">
        <v>0</v>
      </c>
      <c r="F62" s="34">
        <v>0</v>
      </c>
      <c r="G62" s="34">
        <v>0</v>
      </c>
      <c r="H62" s="52">
        <v>0</v>
      </c>
      <c r="I62" s="34">
        <v>25</v>
      </c>
      <c r="J62" s="34">
        <v>15</v>
      </c>
      <c r="K62" s="52">
        <v>0</v>
      </c>
      <c r="L62" s="34">
        <v>25</v>
      </c>
      <c r="M62" s="34">
        <v>0</v>
      </c>
      <c r="N62" s="46">
        <v>0</v>
      </c>
      <c r="O62" s="34">
        <v>0</v>
      </c>
      <c r="P62" s="34">
        <v>0</v>
      </c>
      <c r="Q62" s="52">
        <v>0</v>
      </c>
      <c r="R62" s="34">
        <v>0</v>
      </c>
      <c r="S62" s="34">
        <v>0</v>
      </c>
      <c r="T62" s="52">
        <v>0</v>
      </c>
      <c r="U62" s="34">
        <v>65</v>
      </c>
      <c r="V62" s="34">
        <v>48</v>
      </c>
      <c r="W62" s="52">
        <v>28</v>
      </c>
      <c r="X62" s="34">
        <v>35</v>
      </c>
      <c r="Y62" s="34">
        <v>8</v>
      </c>
      <c r="Z62" s="46">
        <v>8</v>
      </c>
      <c r="AA62" s="34">
        <v>0</v>
      </c>
      <c r="AB62" s="34">
        <v>0</v>
      </c>
      <c r="AC62" s="52">
        <v>0</v>
      </c>
      <c r="AD62" s="34">
        <v>0</v>
      </c>
      <c r="AE62" s="34">
        <v>0</v>
      </c>
      <c r="AF62" s="52">
        <v>0</v>
      </c>
      <c r="AG62" s="34">
        <v>65</v>
      </c>
      <c r="AH62" s="34">
        <v>10</v>
      </c>
      <c r="AI62" s="52">
        <v>35</v>
      </c>
      <c r="AJ62" s="34">
        <v>10</v>
      </c>
      <c r="AK62" s="34">
        <v>0</v>
      </c>
      <c r="AL62" s="46">
        <v>0</v>
      </c>
      <c r="AM62" s="34">
        <v>0</v>
      </c>
      <c r="AN62" s="34">
        <v>0</v>
      </c>
      <c r="AO62" s="52">
        <v>0</v>
      </c>
      <c r="AP62" s="34">
        <v>0</v>
      </c>
      <c r="AQ62" s="34">
        <v>0</v>
      </c>
      <c r="AR62" s="52">
        <v>0</v>
      </c>
      <c r="AS62" s="34">
        <v>0</v>
      </c>
      <c r="AT62" s="34">
        <v>0</v>
      </c>
      <c r="AU62" s="52">
        <v>0</v>
      </c>
      <c r="AV62" s="34">
        <v>0</v>
      </c>
      <c r="AW62" s="34">
        <v>0</v>
      </c>
      <c r="AX62" s="46">
        <v>0</v>
      </c>
      <c r="AY62" s="34">
        <f t="shared" si="26"/>
        <v>243.33820881919993</v>
      </c>
      <c r="AZ62" s="34">
        <f t="shared" si="27"/>
        <v>244.77339658239995</v>
      </c>
      <c r="BA62" s="52">
        <f t="shared" si="28"/>
        <v>243.08170306559995</v>
      </c>
      <c r="BB62" s="34">
        <f t="shared" si="29"/>
        <v>243.33820881919993</v>
      </c>
      <c r="BC62" s="34">
        <f t="shared" si="30"/>
        <v>244.77339658239995</v>
      </c>
      <c r="BD62" s="52">
        <f t="shared" si="31"/>
        <v>243.08170306559995</v>
      </c>
      <c r="BE62" s="34">
        <f t="shared" si="32"/>
        <v>373.33820881919996</v>
      </c>
      <c r="BF62" s="34">
        <f t="shared" si="33"/>
        <v>302.77339658239998</v>
      </c>
      <c r="BG62" s="52">
        <f t="shared" si="34"/>
        <v>306.08170306559998</v>
      </c>
      <c r="BH62" s="34">
        <f t="shared" si="35"/>
        <v>288.33820881919996</v>
      </c>
      <c r="BI62" s="34">
        <f t="shared" si="36"/>
        <v>252.77339658239995</v>
      </c>
      <c r="BJ62" s="34">
        <f t="shared" si="37"/>
        <v>251.08170306559995</v>
      </c>
      <c r="BK62" s="57">
        <f t="shared" si="38"/>
        <v>3236.7732338687997</v>
      </c>
      <c r="BL62" s="34">
        <f t="shared" si="39"/>
        <v>731.19330846719981</v>
      </c>
      <c r="BM62" s="34">
        <f t="shared" si="40"/>
        <v>731.19330846719981</v>
      </c>
      <c r="BN62" s="34">
        <f t="shared" si="41"/>
        <v>982.19330846719993</v>
      </c>
      <c r="BO62" s="46">
        <f t="shared" si="42"/>
        <v>792.19330846719993</v>
      </c>
      <c r="BP62" s="65">
        <f t="shared" si="43"/>
        <v>243.33820881919993</v>
      </c>
      <c r="BQ62" s="65">
        <f t="shared" si="44"/>
        <v>244.77339658239995</v>
      </c>
      <c r="BR62" s="66">
        <f t="shared" si="45"/>
        <v>243.08170306559995</v>
      </c>
      <c r="BS62" s="34">
        <v>119</v>
      </c>
      <c r="BT62" s="34">
        <v>114</v>
      </c>
      <c r="BU62" s="52">
        <v>121</v>
      </c>
      <c r="BV62" s="58">
        <f t="shared" si="46"/>
        <v>1666.6910440959996</v>
      </c>
      <c r="BW62" s="58">
        <f t="shared" si="47"/>
        <v>1673.8669829119997</v>
      </c>
      <c r="BX62" s="59">
        <f t="shared" si="48"/>
        <v>1665.4085153279998</v>
      </c>
      <c r="BY62" s="44">
        <v>8.91</v>
      </c>
      <c r="BZ62" s="44">
        <v>9.02</v>
      </c>
      <c r="CA62" s="53">
        <v>8.8800000000000008</v>
      </c>
      <c r="CB62" s="58">
        <f t="shared" si="49"/>
        <v>22.170931199999995</v>
      </c>
      <c r="CC62" s="58">
        <f t="shared" si="50"/>
        <v>22.444646399999996</v>
      </c>
      <c r="CD62" s="59">
        <f t="shared" si="51"/>
        <v>22.096281599999998</v>
      </c>
    </row>
    <row r="63" spans="1:82" ht="13.5" customHeight="1" x14ac:dyDescent="0.25">
      <c r="A63" s="36" t="s">
        <v>451</v>
      </c>
      <c r="B63" s="67" t="s">
        <v>99</v>
      </c>
      <c r="C63" s="34">
        <v>0</v>
      </c>
      <c r="D63" s="34">
        <v>0</v>
      </c>
      <c r="E63" s="52">
        <v>15</v>
      </c>
      <c r="F63" s="34">
        <v>30</v>
      </c>
      <c r="G63" s="34">
        <v>0</v>
      </c>
      <c r="H63" s="52">
        <v>15</v>
      </c>
      <c r="I63" s="34">
        <v>0</v>
      </c>
      <c r="J63" s="34">
        <v>0</v>
      </c>
      <c r="K63" s="52">
        <v>0</v>
      </c>
      <c r="L63" s="34">
        <v>0</v>
      </c>
      <c r="M63" s="34">
        <v>0</v>
      </c>
      <c r="N63" s="46">
        <v>0</v>
      </c>
      <c r="O63" s="34">
        <v>20</v>
      </c>
      <c r="P63" s="34">
        <v>10</v>
      </c>
      <c r="Q63" s="52">
        <v>25</v>
      </c>
      <c r="R63" s="34">
        <v>50</v>
      </c>
      <c r="S63" s="34">
        <v>30</v>
      </c>
      <c r="T63" s="52">
        <v>25</v>
      </c>
      <c r="U63" s="34">
        <v>0</v>
      </c>
      <c r="V63" s="34">
        <v>0</v>
      </c>
      <c r="W63" s="52">
        <v>0</v>
      </c>
      <c r="X63" s="34">
        <v>0</v>
      </c>
      <c r="Y63" s="34">
        <v>0</v>
      </c>
      <c r="Z63" s="46">
        <v>0</v>
      </c>
      <c r="AA63" s="34">
        <v>10</v>
      </c>
      <c r="AB63" s="34">
        <v>0</v>
      </c>
      <c r="AC63" s="52">
        <v>20</v>
      </c>
      <c r="AD63" s="34">
        <v>30</v>
      </c>
      <c r="AE63" s="34">
        <v>10</v>
      </c>
      <c r="AF63" s="52">
        <v>50</v>
      </c>
      <c r="AG63" s="34">
        <v>0</v>
      </c>
      <c r="AH63" s="34">
        <v>0</v>
      </c>
      <c r="AI63" s="52">
        <v>0</v>
      </c>
      <c r="AJ63" s="34">
        <v>0</v>
      </c>
      <c r="AK63" s="34">
        <v>0</v>
      </c>
      <c r="AL63" s="46">
        <v>0</v>
      </c>
      <c r="AM63" s="34">
        <v>0</v>
      </c>
      <c r="AN63" s="34">
        <v>0</v>
      </c>
      <c r="AO63" s="52">
        <v>0</v>
      </c>
      <c r="AP63" s="34">
        <v>0</v>
      </c>
      <c r="AQ63" s="34">
        <v>0</v>
      </c>
      <c r="AR63" s="52">
        <v>0</v>
      </c>
      <c r="AS63" s="34">
        <v>0</v>
      </c>
      <c r="AT63" s="34">
        <v>0</v>
      </c>
      <c r="AU63" s="52">
        <v>0</v>
      </c>
      <c r="AV63" s="34">
        <v>0</v>
      </c>
      <c r="AW63" s="34">
        <v>0</v>
      </c>
      <c r="AX63" s="46">
        <v>0</v>
      </c>
      <c r="AY63" s="34">
        <f t="shared" si="26"/>
        <v>272.03653831680003</v>
      </c>
      <c r="AZ63" s="34">
        <f t="shared" si="27"/>
        <v>256.82974909439997</v>
      </c>
      <c r="BA63" s="52">
        <f t="shared" si="28"/>
        <v>291.42058434559999</v>
      </c>
      <c r="BB63" s="34">
        <f t="shared" si="29"/>
        <v>322.03653831680003</v>
      </c>
      <c r="BC63" s="34">
        <f t="shared" si="30"/>
        <v>286.82974909439997</v>
      </c>
      <c r="BD63" s="52">
        <f t="shared" si="31"/>
        <v>321.42058434559999</v>
      </c>
      <c r="BE63" s="34">
        <f t="shared" si="32"/>
        <v>242.03653831680001</v>
      </c>
      <c r="BF63" s="34">
        <f t="shared" si="33"/>
        <v>246.82974909439997</v>
      </c>
      <c r="BG63" s="52">
        <f t="shared" si="34"/>
        <v>246.42058434559999</v>
      </c>
      <c r="BH63" s="34">
        <f t="shared" si="35"/>
        <v>242.03653831680001</v>
      </c>
      <c r="BI63" s="34">
        <f t="shared" si="36"/>
        <v>246.82974909439997</v>
      </c>
      <c r="BJ63" s="34">
        <f t="shared" si="37"/>
        <v>246.42058434559999</v>
      </c>
      <c r="BK63" s="57">
        <f t="shared" si="38"/>
        <v>3221.1474870272</v>
      </c>
      <c r="BL63" s="34">
        <f t="shared" si="39"/>
        <v>820.2868717568</v>
      </c>
      <c r="BM63" s="34">
        <f t="shared" si="40"/>
        <v>930.2868717568</v>
      </c>
      <c r="BN63" s="34">
        <f t="shared" si="41"/>
        <v>735.2868717568</v>
      </c>
      <c r="BO63" s="46">
        <f t="shared" si="42"/>
        <v>735.2868717568</v>
      </c>
      <c r="BP63" s="65">
        <f t="shared" si="43"/>
        <v>242.03653831680001</v>
      </c>
      <c r="BQ63" s="65">
        <f t="shared" si="44"/>
        <v>246.82974909439997</v>
      </c>
      <c r="BR63" s="66">
        <f t="shared" si="45"/>
        <v>246.42058434559999</v>
      </c>
      <c r="BS63" s="34">
        <v>115</v>
      </c>
      <c r="BT63" s="34">
        <v>113</v>
      </c>
      <c r="BU63" s="52">
        <v>110</v>
      </c>
      <c r="BV63" s="58">
        <f t="shared" si="46"/>
        <v>1660.1826915839999</v>
      </c>
      <c r="BW63" s="58">
        <f t="shared" si="47"/>
        <v>1684.1487454719997</v>
      </c>
      <c r="BX63" s="59">
        <f t="shared" si="48"/>
        <v>1682.102921728</v>
      </c>
      <c r="BY63" s="44">
        <v>8.89</v>
      </c>
      <c r="BZ63" s="44">
        <v>9.1199999999999992</v>
      </c>
      <c r="CA63" s="53">
        <v>9.1300000000000008</v>
      </c>
      <c r="CB63" s="58">
        <f t="shared" si="49"/>
        <v>22.121164799999995</v>
      </c>
      <c r="CC63" s="58">
        <f t="shared" si="50"/>
        <v>22.693478399999993</v>
      </c>
      <c r="CD63" s="59">
        <f t="shared" si="51"/>
        <v>22.718361600000001</v>
      </c>
    </row>
    <row r="64" spans="1:82" ht="13.5" customHeight="1" x14ac:dyDescent="0.25">
      <c r="A64" s="36" t="s">
        <v>452</v>
      </c>
      <c r="B64" s="68" t="s">
        <v>101</v>
      </c>
      <c r="C64" s="34">
        <v>15</v>
      </c>
      <c r="D64" s="34">
        <v>0</v>
      </c>
      <c r="E64" s="52">
        <v>0</v>
      </c>
      <c r="F64" s="34">
        <v>15</v>
      </c>
      <c r="G64" s="34">
        <v>0</v>
      </c>
      <c r="H64" s="52">
        <v>25</v>
      </c>
      <c r="I64" s="34">
        <v>0</v>
      </c>
      <c r="J64" s="34">
        <v>0</v>
      </c>
      <c r="K64" s="52">
        <v>0</v>
      </c>
      <c r="L64" s="34">
        <v>0</v>
      </c>
      <c r="M64" s="34">
        <v>0</v>
      </c>
      <c r="N64" s="46">
        <v>0</v>
      </c>
      <c r="O64" s="34">
        <v>15</v>
      </c>
      <c r="P64" s="34">
        <v>10</v>
      </c>
      <c r="Q64" s="52">
        <v>15</v>
      </c>
      <c r="R64" s="34">
        <v>45</v>
      </c>
      <c r="S64" s="34">
        <v>20</v>
      </c>
      <c r="T64" s="52">
        <v>50</v>
      </c>
      <c r="U64" s="34">
        <v>0</v>
      </c>
      <c r="V64" s="34">
        <v>0</v>
      </c>
      <c r="W64" s="52">
        <v>0</v>
      </c>
      <c r="X64" s="34">
        <v>0</v>
      </c>
      <c r="Y64" s="34">
        <v>0</v>
      </c>
      <c r="Z64" s="46">
        <v>0</v>
      </c>
      <c r="AA64" s="34">
        <v>41</v>
      </c>
      <c r="AB64" s="34">
        <v>0</v>
      </c>
      <c r="AC64" s="52">
        <v>25</v>
      </c>
      <c r="AD64" s="34">
        <v>51</v>
      </c>
      <c r="AE64" s="34">
        <v>0</v>
      </c>
      <c r="AF64" s="52">
        <v>35</v>
      </c>
      <c r="AG64" s="34">
        <v>6</v>
      </c>
      <c r="AH64" s="34">
        <v>0</v>
      </c>
      <c r="AI64" s="52">
        <v>0</v>
      </c>
      <c r="AJ64" s="34">
        <v>6</v>
      </c>
      <c r="AK64" s="34">
        <v>0</v>
      </c>
      <c r="AL64" s="46">
        <v>0</v>
      </c>
      <c r="AM64" s="34">
        <v>0</v>
      </c>
      <c r="AN64" s="34">
        <v>0</v>
      </c>
      <c r="AO64" s="52">
        <v>0</v>
      </c>
      <c r="AP64" s="34">
        <v>0</v>
      </c>
      <c r="AQ64" s="34">
        <v>0</v>
      </c>
      <c r="AR64" s="52">
        <v>0</v>
      </c>
      <c r="AS64" s="34">
        <v>0</v>
      </c>
      <c r="AT64" s="34">
        <v>0</v>
      </c>
      <c r="AU64" s="52">
        <v>0</v>
      </c>
      <c r="AV64" s="34">
        <v>0</v>
      </c>
      <c r="AW64" s="34">
        <v>0</v>
      </c>
      <c r="AX64" s="46">
        <v>0</v>
      </c>
      <c r="AY64" s="34">
        <f t="shared" si="26"/>
        <v>294.04251530239992</v>
      </c>
      <c r="AZ64" s="34">
        <f t="shared" si="27"/>
        <v>252.64286781439992</v>
      </c>
      <c r="BA64" s="52">
        <f t="shared" si="28"/>
        <v>283.62438507519994</v>
      </c>
      <c r="BB64" s="34">
        <f t="shared" si="29"/>
        <v>334.04251530239992</v>
      </c>
      <c r="BC64" s="34">
        <f t="shared" si="30"/>
        <v>262.64286781439989</v>
      </c>
      <c r="BD64" s="52">
        <f t="shared" si="31"/>
        <v>328.62438507519994</v>
      </c>
      <c r="BE64" s="34">
        <f t="shared" si="32"/>
        <v>244.04251530239995</v>
      </c>
      <c r="BF64" s="34">
        <f t="shared" si="33"/>
        <v>242.64286781439992</v>
      </c>
      <c r="BG64" s="52">
        <f t="shared" si="34"/>
        <v>243.62438507519997</v>
      </c>
      <c r="BH64" s="34">
        <f t="shared" si="35"/>
        <v>244.04251530239995</v>
      </c>
      <c r="BI64" s="34">
        <f t="shared" si="36"/>
        <v>242.64286781439992</v>
      </c>
      <c r="BJ64" s="34">
        <f t="shared" si="37"/>
        <v>243.62438507519997</v>
      </c>
      <c r="BK64" s="57">
        <f t="shared" si="38"/>
        <v>3216.2390727679995</v>
      </c>
      <c r="BL64" s="34">
        <f t="shared" si="39"/>
        <v>830.30976819199975</v>
      </c>
      <c r="BM64" s="34">
        <f t="shared" si="40"/>
        <v>925.30976819199975</v>
      </c>
      <c r="BN64" s="34">
        <f t="shared" si="41"/>
        <v>730.30976819199986</v>
      </c>
      <c r="BO64" s="46">
        <f t="shared" si="42"/>
        <v>730.30976819199986</v>
      </c>
      <c r="BP64" s="65">
        <f t="shared" si="43"/>
        <v>238.04251530239995</v>
      </c>
      <c r="BQ64" s="65">
        <f t="shared" si="44"/>
        <v>242.64286781439992</v>
      </c>
      <c r="BR64" s="66">
        <f t="shared" si="45"/>
        <v>243.62438507519997</v>
      </c>
      <c r="BS64" s="34">
        <v>109</v>
      </c>
      <c r="BT64" s="34">
        <v>120</v>
      </c>
      <c r="BU64" s="52">
        <v>115</v>
      </c>
      <c r="BV64" s="58">
        <f t="shared" si="46"/>
        <v>1640.2125765119997</v>
      </c>
      <c r="BW64" s="58">
        <f t="shared" si="47"/>
        <v>1663.2143390719996</v>
      </c>
      <c r="BX64" s="59">
        <f t="shared" si="48"/>
        <v>1668.1219253759998</v>
      </c>
      <c r="BY64" s="44">
        <v>8.77</v>
      </c>
      <c r="BZ64" s="44">
        <v>8.8699999999999992</v>
      </c>
      <c r="CA64" s="53">
        <v>8.9600000000000009</v>
      </c>
      <c r="CB64" s="58">
        <f t="shared" si="49"/>
        <v>21.822566399999992</v>
      </c>
      <c r="CC64" s="58">
        <f t="shared" si="50"/>
        <v>22.071398399999993</v>
      </c>
      <c r="CD64" s="59">
        <f t="shared" si="51"/>
        <v>22.295347199999998</v>
      </c>
    </row>
    <row r="65" spans="1:82" ht="13.5" customHeight="1" x14ac:dyDescent="0.25">
      <c r="A65" s="36" t="s">
        <v>453</v>
      </c>
      <c r="B65" s="68" t="s">
        <v>106</v>
      </c>
      <c r="C65" s="34">
        <v>0</v>
      </c>
      <c r="D65" s="34">
        <v>0</v>
      </c>
      <c r="E65" s="52">
        <v>0</v>
      </c>
      <c r="F65" s="34">
        <v>35</v>
      </c>
      <c r="G65" s="34">
        <v>15</v>
      </c>
      <c r="H65" s="52">
        <v>15</v>
      </c>
      <c r="I65" s="34">
        <v>0</v>
      </c>
      <c r="J65" s="34">
        <v>0</v>
      </c>
      <c r="K65" s="52">
        <v>0</v>
      </c>
      <c r="L65" s="34">
        <v>0</v>
      </c>
      <c r="M65" s="34">
        <v>0</v>
      </c>
      <c r="N65" s="46">
        <v>0</v>
      </c>
      <c r="O65" s="34">
        <v>0</v>
      </c>
      <c r="P65" s="34">
        <v>10</v>
      </c>
      <c r="Q65" s="52">
        <v>15</v>
      </c>
      <c r="R65" s="34">
        <v>65</v>
      </c>
      <c r="S65" s="34">
        <v>35</v>
      </c>
      <c r="T65" s="52">
        <v>40</v>
      </c>
      <c r="U65" s="34">
        <v>0</v>
      </c>
      <c r="V65" s="34">
        <v>0</v>
      </c>
      <c r="W65" s="52">
        <v>0</v>
      </c>
      <c r="X65" s="34">
        <v>0</v>
      </c>
      <c r="Y65" s="34">
        <v>0</v>
      </c>
      <c r="Z65" s="46">
        <v>0</v>
      </c>
      <c r="AA65" s="34">
        <v>10</v>
      </c>
      <c r="AB65" s="34">
        <v>0</v>
      </c>
      <c r="AC65" s="52">
        <v>0</v>
      </c>
      <c r="AD65" s="34">
        <v>60</v>
      </c>
      <c r="AE65" s="34">
        <v>25</v>
      </c>
      <c r="AF65" s="52">
        <v>35</v>
      </c>
      <c r="AG65" s="34">
        <v>0</v>
      </c>
      <c r="AH65" s="34">
        <v>0</v>
      </c>
      <c r="AI65" s="52">
        <v>0</v>
      </c>
      <c r="AJ65" s="34">
        <v>0</v>
      </c>
      <c r="AK65" s="34">
        <v>0</v>
      </c>
      <c r="AL65" s="46">
        <v>0</v>
      </c>
      <c r="AM65" s="34">
        <v>0</v>
      </c>
      <c r="AN65" s="34">
        <v>0</v>
      </c>
      <c r="AO65" s="52">
        <v>0</v>
      </c>
      <c r="AP65" s="34">
        <v>0</v>
      </c>
      <c r="AQ65" s="34">
        <v>0</v>
      </c>
      <c r="AR65" s="52">
        <v>0</v>
      </c>
      <c r="AS65" s="34">
        <v>0</v>
      </c>
      <c r="AT65" s="34">
        <v>0</v>
      </c>
      <c r="AU65" s="52">
        <v>0</v>
      </c>
      <c r="AV65" s="34">
        <v>0</v>
      </c>
      <c r="AW65" s="34">
        <v>0</v>
      </c>
      <c r="AX65" s="46">
        <v>0</v>
      </c>
      <c r="AY65" s="34">
        <f t="shared" si="26"/>
        <v>249.75335055359997</v>
      </c>
      <c r="AZ65" s="34">
        <f t="shared" si="27"/>
        <v>252.44570306559996</v>
      </c>
      <c r="BA65" s="52">
        <f t="shared" si="28"/>
        <v>260.84823183360004</v>
      </c>
      <c r="BB65" s="34">
        <f t="shared" si="29"/>
        <v>364.75335055359994</v>
      </c>
      <c r="BC65" s="34">
        <f t="shared" si="30"/>
        <v>302.44570306559996</v>
      </c>
      <c r="BD65" s="52">
        <f t="shared" si="31"/>
        <v>320.84823183360004</v>
      </c>
      <c r="BE65" s="34">
        <f t="shared" si="32"/>
        <v>239.75335055359997</v>
      </c>
      <c r="BF65" s="34">
        <f t="shared" si="33"/>
        <v>242.44570306559996</v>
      </c>
      <c r="BG65" s="52">
        <f t="shared" si="34"/>
        <v>245.84823183360001</v>
      </c>
      <c r="BH65" s="34">
        <f t="shared" si="35"/>
        <v>239.75335055359997</v>
      </c>
      <c r="BI65" s="34">
        <f t="shared" si="36"/>
        <v>242.44570306559996</v>
      </c>
      <c r="BJ65" s="34">
        <f t="shared" si="37"/>
        <v>245.84823183360001</v>
      </c>
      <c r="BK65" s="57">
        <f t="shared" si="38"/>
        <v>3207.1891418112</v>
      </c>
      <c r="BL65" s="34">
        <f t="shared" si="39"/>
        <v>763.0472854528</v>
      </c>
      <c r="BM65" s="34">
        <f t="shared" si="40"/>
        <v>988.0472854528</v>
      </c>
      <c r="BN65" s="34">
        <f t="shared" si="41"/>
        <v>728.0472854528</v>
      </c>
      <c r="BO65" s="46">
        <f t="shared" si="42"/>
        <v>728.0472854528</v>
      </c>
      <c r="BP65" s="65">
        <f t="shared" si="43"/>
        <v>239.75335055359997</v>
      </c>
      <c r="BQ65" s="65">
        <f t="shared" si="44"/>
        <v>242.44570306559996</v>
      </c>
      <c r="BR65" s="66">
        <f t="shared" si="45"/>
        <v>245.84823183360001</v>
      </c>
      <c r="BS65" s="34">
        <v>116</v>
      </c>
      <c r="BT65" s="34">
        <v>118</v>
      </c>
      <c r="BU65" s="52">
        <v>118</v>
      </c>
      <c r="BV65" s="58">
        <f t="shared" si="46"/>
        <v>1648.7667527679998</v>
      </c>
      <c r="BW65" s="58">
        <f t="shared" si="47"/>
        <v>1662.2285153279997</v>
      </c>
      <c r="BX65" s="59">
        <f t="shared" si="48"/>
        <v>1679.241159168</v>
      </c>
      <c r="BY65" s="44">
        <v>8.7799999999999994</v>
      </c>
      <c r="BZ65" s="44">
        <v>8.8800000000000008</v>
      </c>
      <c r="CA65" s="53">
        <v>9.0299999999999994</v>
      </c>
      <c r="CB65" s="58">
        <f t="shared" si="49"/>
        <v>21.847449599999994</v>
      </c>
      <c r="CC65" s="58">
        <f t="shared" si="50"/>
        <v>22.096281599999998</v>
      </c>
      <c r="CD65" s="59">
        <f t="shared" si="51"/>
        <v>22.469529599999994</v>
      </c>
    </row>
    <row r="66" spans="1:82" ht="13.5" customHeight="1" x14ac:dyDescent="0.25">
      <c r="A66" s="36" t="s">
        <v>454</v>
      </c>
      <c r="B66" s="70" t="s">
        <v>131</v>
      </c>
      <c r="C66" s="34">
        <v>35</v>
      </c>
      <c r="D66" s="34">
        <v>0</v>
      </c>
      <c r="E66" s="52">
        <v>0</v>
      </c>
      <c r="F66" s="34">
        <v>35</v>
      </c>
      <c r="G66" s="34">
        <v>0</v>
      </c>
      <c r="H66" s="52">
        <v>0</v>
      </c>
      <c r="I66" s="34">
        <v>0</v>
      </c>
      <c r="J66" s="34">
        <v>0</v>
      </c>
      <c r="K66" s="52">
        <v>0</v>
      </c>
      <c r="L66" s="34">
        <v>0</v>
      </c>
      <c r="M66" s="34">
        <v>0</v>
      </c>
      <c r="N66" s="46">
        <v>0</v>
      </c>
      <c r="O66" s="34">
        <v>70</v>
      </c>
      <c r="P66" s="34">
        <v>45</v>
      </c>
      <c r="Q66" s="52">
        <v>10</v>
      </c>
      <c r="R66" s="34">
        <v>40</v>
      </c>
      <c r="S66" s="34">
        <v>10</v>
      </c>
      <c r="T66" s="52">
        <v>0</v>
      </c>
      <c r="U66" s="34">
        <v>0</v>
      </c>
      <c r="V66" s="34">
        <v>0</v>
      </c>
      <c r="W66" s="52">
        <v>0</v>
      </c>
      <c r="X66" s="34">
        <v>0</v>
      </c>
      <c r="Y66" s="34">
        <v>0</v>
      </c>
      <c r="Z66" s="46">
        <v>0</v>
      </c>
      <c r="AA66" s="34">
        <v>50</v>
      </c>
      <c r="AB66" s="34">
        <v>40</v>
      </c>
      <c r="AC66" s="52">
        <v>10</v>
      </c>
      <c r="AD66" s="34">
        <v>0</v>
      </c>
      <c r="AE66" s="34">
        <v>0</v>
      </c>
      <c r="AF66" s="52">
        <v>0</v>
      </c>
      <c r="AG66" s="34">
        <v>0</v>
      </c>
      <c r="AH66" s="34">
        <v>0</v>
      </c>
      <c r="AI66" s="52">
        <v>0</v>
      </c>
      <c r="AJ66" s="34">
        <v>0</v>
      </c>
      <c r="AK66" s="34">
        <v>0</v>
      </c>
      <c r="AL66" s="46">
        <v>0</v>
      </c>
      <c r="AM66" s="34">
        <v>0</v>
      </c>
      <c r="AN66" s="34">
        <v>0</v>
      </c>
      <c r="AO66" s="52">
        <v>0</v>
      </c>
      <c r="AP66" s="34">
        <v>0</v>
      </c>
      <c r="AQ66" s="34">
        <v>0</v>
      </c>
      <c r="AR66" s="52">
        <v>0</v>
      </c>
      <c r="AS66" s="34">
        <v>0</v>
      </c>
      <c r="AT66" s="34">
        <v>0</v>
      </c>
      <c r="AU66" s="52">
        <v>0</v>
      </c>
      <c r="AV66" s="34">
        <v>0</v>
      </c>
      <c r="AW66" s="34">
        <v>0</v>
      </c>
      <c r="AX66" s="46">
        <v>0</v>
      </c>
      <c r="AY66" s="34">
        <f t="shared" si="26"/>
        <v>366.27223183360002</v>
      </c>
      <c r="AZ66" s="34">
        <f t="shared" si="27"/>
        <v>330.42423183359995</v>
      </c>
      <c r="BA66" s="52">
        <f t="shared" si="28"/>
        <v>258.87568005119994</v>
      </c>
      <c r="BB66" s="34">
        <f t="shared" si="29"/>
        <v>286.27223183360002</v>
      </c>
      <c r="BC66" s="34">
        <f t="shared" si="30"/>
        <v>255.42423183359998</v>
      </c>
      <c r="BD66" s="52">
        <f t="shared" si="31"/>
        <v>238.87568005119994</v>
      </c>
      <c r="BE66" s="34">
        <f t="shared" si="32"/>
        <v>246.27223183359999</v>
      </c>
      <c r="BF66" s="34">
        <f t="shared" si="33"/>
        <v>245.42423183359998</v>
      </c>
      <c r="BG66" s="52">
        <f t="shared" si="34"/>
        <v>238.87568005119994</v>
      </c>
      <c r="BH66" s="34">
        <f t="shared" si="35"/>
        <v>246.27223183359999</v>
      </c>
      <c r="BI66" s="34">
        <f t="shared" si="36"/>
        <v>245.42423183359998</v>
      </c>
      <c r="BJ66" s="34">
        <f t="shared" si="37"/>
        <v>238.87568005119994</v>
      </c>
      <c r="BK66" s="57">
        <f t="shared" si="38"/>
        <v>3197.2885748735998</v>
      </c>
      <c r="BL66" s="34">
        <f t="shared" si="39"/>
        <v>955.57214371839996</v>
      </c>
      <c r="BM66" s="34">
        <f t="shared" si="40"/>
        <v>780.57214371839996</v>
      </c>
      <c r="BN66" s="34">
        <f t="shared" si="41"/>
        <v>730.57214371839996</v>
      </c>
      <c r="BO66" s="46">
        <f t="shared" si="42"/>
        <v>730.57214371839996</v>
      </c>
      <c r="BP66" s="65">
        <f t="shared" si="43"/>
        <v>246.27223183359999</v>
      </c>
      <c r="BQ66" s="65">
        <f t="shared" si="44"/>
        <v>245.42423183359998</v>
      </c>
      <c r="BR66" s="66">
        <f t="shared" si="45"/>
        <v>238.87568005119994</v>
      </c>
      <c r="BS66" s="34">
        <v>120</v>
      </c>
      <c r="BT66" s="34">
        <v>116</v>
      </c>
      <c r="BU66" s="52">
        <v>114</v>
      </c>
      <c r="BV66" s="58">
        <f t="shared" si="46"/>
        <v>1681.3611591679999</v>
      </c>
      <c r="BW66" s="58">
        <f t="shared" si="47"/>
        <v>1677.1211591679998</v>
      </c>
      <c r="BX66" s="59">
        <f t="shared" si="48"/>
        <v>1644.3784002559996</v>
      </c>
      <c r="BY66" s="44">
        <v>9.0299999999999994</v>
      </c>
      <c r="BZ66" s="44">
        <v>9.0299999999999994</v>
      </c>
      <c r="CA66" s="53">
        <v>8.76</v>
      </c>
      <c r="CB66" s="58">
        <f t="shared" si="49"/>
        <v>22.469529599999994</v>
      </c>
      <c r="CC66" s="58">
        <f t="shared" si="50"/>
        <v>22.469529599999994</v>
      </c>
      <c r="CD66" s="59">
        <f t="shared" si="51"/>
        <v>21.797683199999991</v>
      </c>
    </row>
    <row r="67" spans="1:82" ht="13.5" customHeight="1" x14ac:dyDescent="0.25">
      <c r="A67" s="36" t="s">
        <v>455</v>
      </c>
      <c r="B67" s="68" t="s">
        <v>671</v>
      </c>
      <c r="C67" s="34">
        <v>0</v>
      </c>
      <c r="D67" s="34">
        <v>0</v>
      </c>
      <c r="E67" s="52">
        <v>0</v>
      </c>
      <c r="F67" s="34">
        <v>0</v>
      </c>
      <c r="G67" s="34">
        <v>0</v>
      </c>
      <c r="H67" s="52">
        <v>0</v>
      </c>
      <c r="I67" s="34">
        <v>30</v>
      </c>
      <c r="J67" s="34">
        <v>30</v>
      </c>
      <c r="K67" s="52">
        <v>0</v>
      </c>
      <c r="L67" s="34">
        <v>0</v>
      </c>
      <c r="M67" s="34">
        <v>0</v>
      </c>
      <c r="N67" s="46">
        <v>0</v>
      </c>
      <c r="O67" s="34">
        <v>0</v>
      </c>
      <c r="P67" s="34">
        <v>30</v>
      </c>
      <c r="Q67" s="52">
        <v>30</v>
      </c>
      <c r="R67" s="34">
        <v>0</v>
      </c>
      <c r="S67" s="34">
        <v>30</v>
      </c>
      <c r="T67" s="52">
        <v>30</v>
      </c>
      <c r="U67" s="34">
        <v>50</v>
      </c>
      <c r="V67" s="34">
        <v>70</v>
      </c>
      <c r="W67" s="52">
        <v>40</v>
      </c>
      <c r="X67" s="34">
        <v>0</v>
      </c>
      <c r="Y67" s="34">
        <v>0</v>
      </c>
      <c r="Z67" s="46">
        <v>0</v>
      </c>
      <c r="AA67" s="34">
        <v>6</v>
      </c>
      <c r="AB67" s="34">
        <v>0</v>
      </c>
      <c r="AC67" s="52">
        <v>0</v>
      </c>
      <c r="AD67" s="34">
        <v>6</v>
      </c>
      <c r="AE67" s="34">
        <v>0</v>
      </c>
      <c r="AF67" s="52">
        <v>0</v>
      </c>
      <c r="AG67" s="34">
        <v>62</v>
      </c>
      <c r="AH67" s="34">
        <v>20</v>
      </c>
      <c r="AI67" s="52">
        <v>10</v>
      </c>
      <c r="AJ67" s="34">
        <v>6</v>
      </c>
      <c r="AK67" s="34">
        <v>0</v>
      </c>
      <c r="AL67" s="46">
        <v>0</v>
      </c>
      <c r="AM67" s="34">
        <v>0</v>
      </c>
      <c r="AN67" s="34">
        <v>0</v>
      </c>
      <c r="AO67" s="52">
        <v>0</v>
      </c>
      <c r="AP67" s="34">
        <v>0</v>
      </c>
      <c r="AQ67" s="34">
        <v>0</v>
      </c>
      <c r="AR67" s="52">
        <v>0</v>
      </c>
      <c r="AS67" s="34">
        <v>0</v>
      </c>
      <c r="AT67" s="34">
        <v>0</v>
      </c>
      <c r="AU67" s="52">
        <v>0</v>
      </c>
      <c r="AV67" s="34">
        <v>0</v>
      </c>
      <c r="AW67" s="34">
        <v>0</v>
      </c>
      <c r="AX67" s="46">
        <v>0</v>
      </c>
      <c r="AY67" s="34">
        <f t="shared" ref="AY67:AY98" si="52">O67+AA67+AM67+BP67</f>
        <v>232.73042324479999</v>
      </c>
      <c r="AZ67" s="34">
        <f t="shared" ref="AZ67:AZ98" si="53">P67+AB67+AN67+BQ67</f>
        <v>266.13882178559993</v>
      </c>
      <c r="BA67" s="52">
        <f t="shared" ref="BA67:BA98" si="54">Q67+AC67+AO67+BR67</f>
        <v>268.13152680960002</v>
      </c>
      <c r="BB67" s="34">
        <f t="shared" ref="BB67:BB98" si="55">R67+AD67+AP67+BP67</f>
        <v>232.73042324479999</v>
      </c>
      <c r="BC67" s="34">
        <f t="shared" ref="BC67:BC98" si="56">S67+AE67+AQ67+BQ67</f>
        <v>266.13882178559993</v>
      </c>
      <c r="BD67" s="52">
        <f t="shared" ref="BD67:BD98" si="57">T67+AF67+AR67+BR67</f>
        <v>268.13152680960002</v>
      </c>
      <c r="BE67" s="34">
        <f t="shared" ref="BE67:BE98" si="58">U67+AG67+AS67+BP67</f>
        <v>338.73042324480002</v>
      </c>
      <c r="BF67" s="34">
        <f t="shared" ref="BF67:BF98" si="59">V67+AH67+AT67+BQ67</f>
        <v>326.13882178559993</v>
      </c>
      <c r="BG67" s="52">
        <f t="shared" ref="BG67:BG98" si="60">W67+AI67+AU67+BR67</f>
        <v>288.13152680960002</v>
      </c>
      <c r="BH67" s="34">
        <f t="shared" ref="BH67:BH98" si="61">X67+AJ67+AV67+BP67</f>
        <v>232.73042324479999</v>
      </c>
      <c r="BI67" s="34">
        <f t="shared" ref="BI67:BI98" si="62">Y67+AK67+AW67+BQ67</f>
        <v>236.13882178559993</v>
      </c>
      <c r="BJ67" s="34">
        <f t="shared" ref="BJ67:BJ98" si="63">Z67+AL67+AX67+BR67</f>
        <v>238.13152680960002</v>
      </c>
      <c r="BK67" s="57">
        <f t="shared" ref="BK67:BK98" si="64">BL67+BM67+BN67+BO67</f>
        <v>3194.0030873599999</v>
      </c>
      <c r="BL67" s="34">
        <f t="shared" ref="BL67:BL98" si="65">AY67+AZ67+BA67</f>
        <v>767.00077183999997</v>
      </c>
      <c r="BM67" s="34">
        <f t="shared" ref="BM67:BM98" si="66">BB67+BC67+BD67</f>
        <v>767.00077183999997</v>
      </c>
      <c r="BN67" s="34">
        <f t="shared" ref="BN67:BN98" si="67">BE67+BF67+BG67</f>
        <v>953.00077183999997</v>
      </c>
      <c r="BO67" s="46">
        <f t="shared" ref="BO67:BO98" si="68">BH67+BI67+BJ67</f>
        <v>707.00077183999997</v>
      </c>
      <c r="BP67" s="65">
        <f t="shared" ref="BP67:BP98" si="69">900*0.1+(BV67-900)*0.2</f>
        <v>226.73042324479999</v>
      </c>
      <c r="BQ67" s="65">
        <f t="shared" ref="BQ67:BQ98" si="70">900*0.1+(BW67-900)*0.2</f>
        <v>236.13882178559993</v>
      </c>
      <c r="BR67" s="66">
        <f t="shared" ref="BR67:BR98" si="71">900*0.1+(BX67-900)*0.2</f>
        <v>238.13152680960002</v>
      </c>
      <c r="BS67" s="34">
        <v>107</v>
      </c>
      <c r="BT67" s="34">
        <v>115</v>
      </c>
      <c r="BU67" s="52">
        <v>103</v>
      </c>
      <c r="BV67" s="58">
        <f t="shared" ref="BV67:BV98" si="72">(BS67+CB67*(CG$1-1))+500+((BS67+CB67*(CG$1-1))+500)*$CH$2</f>
        <v>1583.6521162239999</v>
      </c>
      <c r="BW67" s="58">
        <f t="shared" ref="BW67:BW98" si="73">(BT67+CC67*(CG$1-1))+500+((BT67+CC67*(CG$1-1))+500)*$CH$2</f>
        <v>1630.6941089279997</v>
      </c>
      <c r="BX67" s="59">
        <f t="shared" ref="BX67:BX98" si="74">(BU67+CD67*(CG$1-1))+500+((BU67+CD67*(CG$1-1))+500)*$CH$2</f>
        <v>1640.6576340480001</v>
      </c>
      <c r="BY67" s="44">
        <v>8.2899999999999991</v>
      </c>
      <c r="BZ67" s="44">
        <v>8.6300000000000008</v>
      </c>
      <c r="CA67" s="53">
        <v>8.83</v>
      </c>
      <c r="CB67" s="58">
        <f t="shared" ref="CB67:CB98" si="75">(((((1+20/100)*$BY67)*(1+20/100)))*(1+20/100))*(1+20/100)*(1+20/100)</f>
        <v>20.628172799999994</v>
      </c>
      <c r="CC67" s="58">
        <f t="shared" ref="CC67:CC98" si="76">(((((1+20/100)*$BZ67)*(1+20/100)))*(1+20/100))*(1+20/100)*(1+20/100)</f>
        <v>21.474201599999997</v>
      </c>
      <c r="CD67" s="59">
        <f t="shared" ref="CD67:CD98" si="77">(((((1+20/100)*$CA67)*(1+20/100)))*(1+20/100))*(1+20/100)*(1+20/100)</f>
        <v>21.971865599999997</v>
      </c>
    </row>
    <row r="68" spans="1:82" ht="13.5" customHeight="1" x14ac:dyDescent="0.25">
      <c r="A68" s="36" t="s">
        <v>456</v>
      </c>
      <c r="B68" s="70" t="s">
        <v>182</v>
      </c>
      <c r="C68" s="34">
        <v>0</v>
      </c>
      <c r="D68" s="34">
        <v>0</v>
      </c>
      <c r="E68" s="52">
        <v>0</v>
      </c>
      <c r="F68" s="34">
        <v>0</v>
      </c>
      <c r="G68" s="34">
        <v>0</v>
      </c>
      <c r="H68" s="52">
        <v>0</v>
      </c>
      <c r="I68" s="34">
        <v>0</v>
      </c>
      <c r="J68" s="34">
        <v>0</v>
      </c>
      <c r="K68" s="52">
        <v>0</v>
      </c>
      <c r="L68" s="34">
        <v>35</v>
      </c>
      <c r="M68" s="34">
        <v>0</v>
      </c>
      <c r="N68" s="46">
        <v>20</v>
      </c>
      <c r="O68" s="34">
        <v>0</v>
      </c>
      <c r="P68" s="34">
        <v>0</v>
      </c>
      <c r="Q68" s="52">
        <v>0</v>
      </c>
      <c r="R68" s="34">
        <v>0</v>
      </c>
      <c r="S68" s="34">
        <v>0</v>
      </c>
      <c r="T68" s="52">
        <v>0</v>
      </c>
      <c r="U68" s="34">
        <v>0</v>
      </c>
      <c r="V68" s="34">
        <v>0</v>
      </c>
      <c r="W68" s="52">
        <v>0</v>
      </c>
      <c r="X68" s="34">
        <v>70</v>
      </c>
      <c r="Y68" s="34">
        <v>35</v>
      </c>
      <c r="Z68" s="46">
        <v>55</v>
      </c>
      <c r="AA68" s="34">
        <v>0</v>
      </c>
      <c r="AB68" s="34">
        <v>0</v>
      </c>
      <c r="AC68" s="52">
        <v>0</v>
      </c>
      <c r="AD68" s="34">
        <v>0</v>
      </c>
      <c r="AE68" s="34">
        <v>0</v>
      </c>
      <c r="AF68" s="52">
        <v>0</v>
      </c>
      <c r="AG68" s="34">
        <v>0</v>
      </c>
      <c r="AH68" s="34">
        <v>0</v>
      </c>
      <c r="AI68" s="52">
        <v>0</v>
      </c>
      <c r="AJ68" s="34">
        <v>50</v>
      </c>
      <c r="AK68" s="34">
        <v>40</v>
      </c>
      <c r="AL68" s="46">
        <v>10</v>
      </c>
      <c r="AM68" s="34">
        <v>0</v>
      </c>
      <c r="AN68" s="34">
        <v>0</v>
      </c>
      <c r="AO68" s="52">
        <v>0</v>
      </c>
      <c r="AP68" s="34">
        <v>0</v>
      </c>
      <c r="AQ68" s="34">
        <v>0</v>
      </c>
      <c r="AR68" s="52">
        <v>0</v>
      </c>
      <c r="AS68" s="34">
        <v>0</v>
      </c>
      <c r="AT68" s="34">
        <v>0</v>
      </c>
      <c r="AU68" s="52">
        <v>0</v>
      </c>
      <c r="AV68" s="34">
        <v>0</v>
      </c>
      <c r="AW68" s="34">
        <v>0</v>
      </c>
      <c r="AX68" s="46">
        <v>0</v>
      </c>
      <c r="AY68" s="34">
        <f t="shared" si="52"/>
        <v>246.01572608000004</v>
      </c>
      <c r="AZ68" s="34">
        <f t="shared" si="53"/>
        <v>244.03354982399998</v>
      </c>
      <c r="BA68" s="52">
        <f t="shared" si="54"/>
        <v>243.35304407039999</v>
      </c>
      <c r="BB68" s="34">
        <f t="shared" si="55"/>
        <v>246.01572608000004</v>
      </c>
      <c r="BC68" s="34">
        <f t="shared" si="56"/>
        <v>244.03354982399998</v>
      </c>
      <c r="BD68" s="52">
        <f t="shared" si="57"/>
        <v>243.35304407039999</v>
      </c>
      <c r="BE68" s="34">
        <f t="shared" si="58"/>
        <v>246.01572608000004</v>
      </c>
      <c r="BF68" s="34">
        <f t="shared" si="59"/>
        <v>244.03354982399998</v>
      </c>
      <c r="BG68" s="52">
        <f t="shared" si="60"/>
        <v>243.35304407039999</v>
      </c>
      <c r="BH68" s="34">
        <f t="shared" si="61"/>
        <v>366.01572608000004</v>
      </c>
      <c r="BI68" s="34">
        <f t="shared" si="62"/>
        <v>319.03354982399998</v>
      </c>
      <c r="BJ68" s="34">
        <f t="shared" si="63"/>
        <v>308.35304407039996</v>
      </c>
      <c r="BK68" s="57">
        <f t="shared" si="64"/>
        <v>3193.6092798976001</v>
      </c>
      <c r="BL68" s="34">
        <f t="shared" si="65"/>
        <v>733.40231997440003</v>
      </c>
      <c r="BM68" s="34">
        <f t="shared" si="66"/>
        <v>733.40231997440003</v>
      </c>
      <c r="BN68" s="34">
        <f t="shared" si="67"/>
        <v>733.40231997440003</v>
      </c>
      <c r="BO68" s="46">
        <f t="shared" si="68"/>
        <v>993.40231997440003</v>
      </c>
      <c r="BP68" s="65">
        <f t="shared" si="69"/>
        <v>246.01572608000004</v>
      </c>
      <c r="BQ68" s="65">
        <f t="shared" si="70"/>
        <v>244.03354982399998</v>
      </c>
      <c r="BR68" s="66">
        <f t="shared" si="71"/>
        <v>243.35304407039999</v>
      </c>
      <c r="BS68" s="34">
        <v>122</v>
      </c>
      <c r="BT68" s="34">
        <v>118</v>
      </c>
      <c r="BU68" s="52">
        <v>118</v>
      </c>
      <c r="BV68" s="58">
        <f t="shared" si="72"/>
        <v>1680.0786304000001</v>
      </c>
      <c r="BW68" s="58">
        <f t="shared" si="73"/>
        <v>1670.1677491199998</v>
      </c>
      <c r="BX68" s="59">
        <f t="shared" si="74"/>
        <v>1666.7652203519999</v>
      </c>
      <c r="BY68" s="44">
        <v>9</v>
      </c>
      <c r="BZ68" s="44">
        <v>8.9499999999999993</v>
      </c>
      <c r="CA68" s="53">
        <v>8.92</v>
      </c>
      <c r="CB68" s="58">
        <f t="shared" si="75"/>
        <v>22.394879999999997</v>
      </c>
      <c r="CC68" s="58">
        <f t="shared" si="76"/>
        <v>22.270463999999993</v>
      </c>
      <c r="CD68" s="59">
        <f t="shared" si="77"/>
        <v>22.195814399999993</v>
      </c>
    </row>
    <row r="69" spans="1:82" ht="13.5" customHeight="1" x14ac:dyDescent="0.25">
      <c r="A69" s="36" t="s">
        <v>457</v>
      </c>
      <c r="B69" s="68" t="s">
        <v>334</v>
      </c>
      <c r="C69" s="34">
        <v>25</v>
      </c>
      <c r="D69" s="34">
        <v>0</v>
      </c>
      <c r="E69" s="52">
        <v>40</v>
      </c>
      <c r="F69" s="34">
        <v>0</v>
      </c>
      <c r="G69" s="34">
        <v>0</v>
      </c>
      <c r="H69" s="52">
        <v>0</v>
      </c>
      <c r="I69" s="34">
        <v>0</v>
      </c>
      <c r="J69" s="34">
        <v>0</v>
      </c>
      <c r="K69" s="52">
        <v>0</v>
      </c>
      <c r="L69" s="34">
        <v>0</v>
      </c>
      <c r="M69" s="34">
        <v>0</v>
      </c>
      <c r="N69" s="46">
        <v>0</v>
      </c>
      <c r="O69" s="34">
        <v>60</v>
      </c>
      <c r="P69" s="34">
        <v>0</v>
      </c>
      <c r="Q69" s="52">
        <v>90</v>
      </c>
      <c r="R69" s="34">
        <v>0</v>
      </c>
      <c r="S69" s="34">
        <v>0</v>
      </c>
      <c r="T69" s="52">
        <v>0</v>
      </c>
      <c r="U69" s="34">
        <v>0</v>
      </c>
      <c r="V69" s="34">
        <v>0</v>
      </c>
      <c r="W69" s="52">
        <v>0</v>
      </c>
      <c r="X69" s="34">
        <v>0</v>
      </c>
      <c r="Y69" s="34">
        <v>0</v>
      </c>
      <c r="Z69" s="46">
        <v>0</v>
      </c>
      <c r="AA69" s="34">
        <v>35</v>
      </c>
      <c r="AB69" s="34">
        <v>20</v>
      </c>
      <c r="AC69" s="52">
        <v>55</v>
      </c>
      <c r="AD69" s="34">
        <v>0</v>
      </c>
      <c r="AE69" s="34">
        <v>0</v>
      </c>
      <c r="AF69" s="52">
        <v>0</v>
      </c>
      <c r="AG69" s="34">
        <v>0</v>
      </c>
      <c r="AH69" s="34">
        <v>0</v>
      </c>
      <c r="AI69" s="52">
        <v>0</v>
      </c>
      <c r="AJ69" s="34">
        <v>0</v>
      </c>
      <c r="AK69" s="34">
        <v>0</v>
      </c>
      <c r="AL69" s="46">
        <v>0</v>
      </c>
      <c r="AM69" s="34">
        <v>0</v>
      </c>
      <c r="AN69" s="34">
        <v>0</v>
      </c>
      <c r="AO69" s="52">
        <v>0</v>
      </c>
      <c r="AP69" s="34">
        <v>0</v>
      </c>
      <c r="AQ69" s="34">
        <v>0</v>
      </c>
      <c r="AR69" s="52">
        <v>0</v>
      </c>
      <c r="AS69" s="34">
        <v>0</v>
      </c>
      <c r="AT69" s="34">
        <v>0</v>
      </c>
      <c r="AU69" s="52">
        <v>0</v>
      </c>
      <c r="AV69" s="34">
        <v>0</v>
      </c>
      <c r="AW69" s="34">
        <v>0</v>
      </c>
      <c r="AX69" s="46">
        <v>0</v>
      </c>
      <c r="AY69" s="34">
        <f t="shared" si="52"/>
        <v>339.4427145727999</v>
      </c>
      <c r="AZ69" s="34">
        <f t="shared" si="53"/>
        <v>262.91420881919998</v>
      </c>
      <c r="BA69" s="52">
        <f t="shared" si="54"/>
        <v>390.59172608</v>
      </c>
      <c r="BB69" s="34">
        <f t="shared" si="55"/>
        <v>244.44271457279993</v>
      </c>
      <c r="BC69" s="34">
        <f t="shared" si="56"/>
        <v>242.91420881919996</v>
      </c>
      <c r="BD69" s="52">
        <f t="shared" si="57"/>
        <v>245.59172608</v>
      </c>
      <c r="BE69" s="34">
        <f t="shared" si="58"/>
        <v>244.44271457279993</v>
      </c>
      <c r="BF69" s="34">
        <f t="shared" si="59"/>
        <v>242.91420881919996</v>
      </c>
      <c r="BG69" s="52">
        <f t="shared" si="60"/>
        <v>245.59172608</v>
      </c>
      <c r="BH69" s="34">
        <f t="shared" si="61"/>
        <v>244.44271457279993</v>
      </c>
      <c r="BI69" s="34">
        <f t="shared" si="62"/>
        <v>242.91420881919996</v>
      </c>
      <c r="BJ69" s="34">
        <f t="shared" si="63"/>
        <v>245.59172608</v>
      </c>
      <c r="BK69" s="57">
        <f t="shared" si="64"/>
        <v>3191.7945978879998</v>
      </c>
      <c r="BL69" s="34">
        <f t="shared" si="65"/>
        <v>992.94864947199994</v>
      </c>
      <c r="BM69" s="34">
        <f t="shared" si="66"/>
        <v>732.94864947199994</v>
      </c>
      <c r="BN69" s="34">
        <f t="shared" si="67"/>
        <v>732.94864947199994</v>
      </c>
      <c r="BO69" s="46">
        <f t="shared" si="68"/>
        <v>732.94864947199994</v>
      </c>
      <c r="BP69" s="65">
        <f t="shared" si="69"/>
        <v>244.44271457279993</v>
      </c>
      <c r="BQ69" s="65">
        <f t="shared" si="70"/>
        <v>242.91420881919996</v>
      </c>
      <c r="BR69" s="66">
        <f t="shared" si="71"/>
        <v>245.59172608</v>
      </c>
      <c r="BS69" s="34">
        <v>121</v>
      </c>
      <c r="BT69" s="34">
        <v>117</v>
      </c>
      <c r="BU69" s="52">
        <v>120</v>
      </c>
      <c r="BV69" s="58">
        <f t="shared" si="72"/>
        <v>1672.2135728639996</v>
      </c>
      <c r="BW69" s="58">
        <f t="shared" si="73"/>
        <v>1664.5710440959997</v>
      </c>
      <c r="BX69" s="59">
        <f t="shared" si="74"/>
        <v>1677.9586303999999</v>
      </c>
      <c r="BY69" s="44">
        <v>8.94</v>
      </c>
      <c r="BZ69" s="44">
        <v>8.91</v>
      </c>
      <c r="CA69" s="53">
        <v>9</v>
      </c>
      <c r="CB69" s="58">
        <f t="shared" si="75"/>
        <v>22.245580799999995</v>
      </c>
      <c r="CC69" s="58">
        <f t="shared" si="76"/>
        <v>22.170931199999995</v>
      </c>
      <c r="CD69" s="59">
        <f t="shared" si="77"/>
        <v>22.394879999999997</v>
      </c>
    </row>
    <row r="70" spans="1:82" ht="13.5" customHeight="1" x14ac:dyDescent="0.25">
      <c r="A70" s="36" t="s">
        <v>458</v>
      </c>
      <c r="B70" s="71" t="s">
        <v>165</v>
      </c>
      <c r="C70" s="34">
        <v>0</v>
      </c>
      <c r="D70" s="34">
        <v>0</v>
      </c>
      <c r="E70" s="52">
        <v>0</v>
      </c>
      <c r="F70" s="34">
        <v>0</v>
      </c>
      <c r="G70" s="34">
        <v>0</v>
      </c>
      <c r="H70" s="52">
        <v>0</v>
      </c>
      <c r="I70" s="34">
        <v>20</v>
      </c>
      <c r="J70" s="34">
        <v>10</v>
      </c>
      <c r="K70" s="52">
        <v>10</v>
      </c>
      <c r="L70" s="34">
        <v>20</v>
      </c>
      <c r="M70" s="34">
        <v>0</v>
      </c>
      <c r="N70" s="46">
        <v>0</v>
      </c>
      <c r="O70" s="34">
        <v>0</v>
      </c>
      <c r="P70" s="34">
        <v>0</v>
      </c>
      <c r="Q70" s="52">
        <v>0</v>
      </c>
      <c r="R70" s="34">
        <v>0</v>
      </c>
      <c r="S70" s="34">
        <v>0</v>
      </c>
      <c r="T70" s="52">
        <v>0</v>
      </c>
      <c r="U70" s="34">
        <v>55</v>
      </c>
      <c r="V70" s="34">
        <v>35</v>
      </c>
      <c r="W70" s="52">
        <v>30</v>
      </c>
      <c r="X70" s="34">
        <v>20</v>
      </c>
      <c r="Y70" s="34">
        <v>15</v>
      </c>
      <c r="Z70" s="46">
        <v>10</v>
      </c>
      <c r="AA70" s="34">
        <v>0</v>
      </c>
      <c r="AB70" s="34">
        <v>0</v>
      </c>
      <c r="AC70" s="52">
        <v>0</v>
      </c>
      <c r="AD70" s="34">
        <v>0</v>
      </c>
      <c r="AE70" s="34">
        <v>0</v>
      </c>
      <c r="AF70" s="52">
        <v>0</v>
      </c>
      <c r="AG70" s="34">
        <v>30</v>
      </c>
      <c r="AH70" s="34">
        <v>20</v>
      </c>
      <c r="AI70" s="52">
        <v>30</v>
      </c>
      <c r="AJ70" s="34">
        <v>20</v>
      </c>
      <c r="AK70" s="34">
        <v>0</v>
      </c>
      <c r="AL70" s="46">
        <v>10</v>
      </c>
      <c r="AM70" s="34">
        <v>0</v>
      </c>
      <c r="AN70" s="34">
        <v>0</v>
      </c>
      <c r="AO70" s="52">
        <v>0</v>
      </c>
      <c r="AP70" s="34">
        <v>0</v>
      </c>
      <c r="AQ70" s="34">
        <v>0</v>
      </c>
      <c r="AR70" s="52">
        <v>0</v>
      </c>
      <c r="AS70" s="34">
        <v>0</v>
      </c>
      <c r="AT70" s="34">
        <v>0</v>
      </c>
      <c r="AU70" s="52">
        <v>0</v>
      </c>
      <c r="AV70" s="34">
        <v>0</v>
      </c>
      <c r="AW70" s="34">
        <v>0</v>
      </c>
      <c r="AX70" s="46">
        <v>0</v>
      </c>
      <c r="AY70" s="34">
        <f t="shared" si="52"/>
        <v>245.36489082879999</v>
      </c>
      <c r="AZ70" s="34">
        <f t="shared" si="53"/>
        <v>238.01284480000001</v>
      </c>
      <c r="BA70" s="52">
        <f t="shared" si="54"/>
        <v>245.36489082879999</v>
      </c>
      <c r="BB70" s="34">
        <f t="shared" si="55"/>
        <v>245.36489082879999</v>
      </c>
      <c r="BC70" s="34">
        <f t="shared" si="56"/>
        <v>238.01284480000001</v>
      </c>
      <c r="BD70" s="52">
        <f t="shared" si="57"/>
        <v>245.36489082879999</v>
      </c>
      <c r="BE70" s="34">
        <f t="shared" si="58"/>
        <v>330.36489082879996</v>
      </c>
      <c r="BF70" s="34">
        <f t="shared" si="59"/>
        <v>293.01284480000004</v>
      </c>
      <c r="BG70" s="52">
        <f t="shared" si="60"/>
        <v>305.36489082879996</v>
      </c>
      <c r="BH70" s="34">
        <f t="shared" si="61"/>
        <v>285.36489082879996</v>
      </c>
      <c r="BI70" s="34">
        <f t="shared" si="62"/>
        <v>253.01284480000001</v>
      </c>
      <c r="BJ70" s="34">
        <f t="shared" si="63"/>
        <v>265.36489082879996</v>
      </c>
      <c r="BK70" s="57">
        <f t="shared" si="64"/>
        <v>3189.9705058303998</v>
      </c>
      <c r="BL70" s="34">
        <f t="shared" si="65"/>
        <v>728.74262645759995</v>
      </c>
      <c r="BM70" s="34">
        <f t="shared" si="66"/>
        <v>728.74262645759995</v>
      </c>
      <c r="BN70" s="34">
        <f t="shared" si="67"/>
        <v>928.74262645759995</v>
      </c>
      <c r="BO70" s="46">
        <f t="shared" si="68"/>
        <v>803.74262645759995</v>
      </c>
      <c r="BP70" s="65">
        <f t="shared" si="69"/>
        <v>245.36489082879999</v>
      </c>
      <c r="BQ70" s="65">
        <f t="shared" si="70"/>
        <v>238.01284480000001</v>
      </c>
      <c r="BR70" s="66">
        <f t="shared" si="71"/>
        <v>245.36489082879999</v>
      </c>
      <c r="BS70" s="34">
        <v>120</v>
      </c>
      <c r="BT70" s="34">
        <v>111</v>
      </c>
      <c r="BU70" s="52">
        <v>120</v>
      </c>
      <c r="BV70" s="58">
        <f t="shared" si="72"/>
        <v>1676.8244541439999</v>
      </c>
      <c r="BW70" s="58">
        <f t="shared" si="73"/>
        <v>1640.064224</v>
      </c>
      <c r="BX70" s="59">
        <f t="shared" si="74"/>
        <v>1676.8244541439999</v>
      </c>
      <c r="BY70" s="44">
        <v>8.99</v>
      </c>
      <c r="BZ70" s="44">
        <v>8.75</v>
      </c>
      <c r="CA70" s="53">
        <v>8.99</v>
      </c>
      <c r="CB70" s="58">
        <f t="shared" si="75"/>
        <v>22.369996799999999</v>
      </c>
      <c r="CC70" s="58">
        <f t="shared" si="76"/>
        <v>21.772799999999997</v>
      </c>
      <c r="CD70" s="59">
        <f t="shared" si="77"/>
        <v>22.369996799999999</v>
      </c>
    </row>
    <row r="71" spans="1:82" ht="13.5" customHeight="1" x14ac:dyDescent="0.25">
      <c r="A71" s="36" t="s">
        <v>459</v>
      </c>
      <c r="B71" s="68" t="s">
        <v>672</v>
      </c>
      <c r="C71" s="34">
        <v>30</v>
      </c>
      <c r="D71" s="34">
        <v>0</v>
      </c>
      <c r="E71" s="52">
        <v>0</v>
      </c>
      <c r="F71" s="34">
        <v>0</v>
      </c>
      <c r="G71" s="34">
        <v>0</v>
      </c>
      <c r="H71" s="52">
        <v>0</v>
      </c>
      <c r="I71" s="34">
        <v>0</v>
      </c>
      <c r="J71" s="34">
        <v>0</v>
      </c>
      <c r="K71" s="52">
        <v>0</v>
      </c>
      <c r="L71" s="34">
        <v>25</v>
      </c>
      <c r="M71" s="34">
        <v>0</v>
      </c>
      <c r="N71" s="46">
        <v>0</v>
      </c>
      <c r="O71" s="34">
        <v>60</v>
      </c>
      <c r="P71" s="34">
        <v>50</v>
      </c>
      <c r="Q71" s="52">
        <v>40</v>
      </c>
      <c r="R71" s="34">
        <v>0</v>
      </c>
      <c r="S71" s="34">
        <v>50</v>
      </c>
      <c r="T71" s="52">
        <v>40</v>
      </c>
      <c r="U71" s="34">
        <v>0</v>
      </c>
      <c r="V71" s="34">
        <v>0</v>
      </c>
      <c r="W71" s="52">
        <v>0</v>
      </c>
      <c r="X71" s="34">
        <v>55</v>
      </c>
      <c r="Y71" s="34">
        <v>0</v>
      </c>
      <c r="Z71" s="46">
        <v>0</v>
      </c>
      <c r="AA71" s="34">
        <v>56</v>
      </c>
      <c r="AB71" s="34">
        <v>20</v>
      </c>
      <c r="AC71" s="52">
        <v>10</v>
      </c>
      <c r="AD71" s="34">
        <v>10</v>
      </c>
      <c r="AE71" s="34">
        <v>0</v>
      </c>
      <c r="AF71" s="52">
        <v>0</v>
      </c>
      <c r="AG71" s="34">
        <v>0</v>
      </c>
      <c r="AH71" s="34">
        <v>0</v>
      </c>
      <c r="AI71" s="52">
        <v>0</v>
      </c>
      <c r="AJ71" s="34">
        <v>0</v>
      </c>
      <c r="AK71" s="34">
        <v>0</v>
      </c>
      <c r="AL71" s="46">
        <v>0</v>
      </c>
      <c r="AM71" s="34">
        <v>0</v>
      </c>
      <c r="AN71" s="34">
        <v>0</v>
      </c>
      <c r="AO71" s="52">
        <v>0</v>
      </c>
      <c r="AP71" s="34">
        <v>0</v>
      </c>
      <c r="AQ71" s="34">
        <v>0</v>
      </c>
      <c r="AR71" s="52">
        <v>0</v>
      </c>
      <c r="AS71" s="34">
        <v>0</v>
      </c>
      <c r="AT71" s="34">
        <v>0</v>
      </c>
      <c r="AU71" s="52">
        <v>0</v>
      </c>
      <c r="AV71" s="34">
        <v>0</v>
      </c>
      <c r="AW71" s="34">
        <v>0</v>
      </c>
      <c r="AX71" s="46">
        <v>0</v>
      </c>
      <c r="AY71" s="34">
        <f t="shared" si="52"/>
        <v>341.1574117376</v>
      </c>
      <c r="AZ71" s="34">
        <f t="shared" si="53"/>
        <v>300.38945776640003</v>
      </c>
      <c r="BA71" s="52">
        <f t="shared" si="54"/>
        <v>292.73187932159999</v>
      </c>
      <c r="BB71" s="34">
        <f t="shared" si="55"/>
        <v>235.15741173760003</v>
      </c>
      <c r="BC71" s="34">
        <f t="shared" si="56"/>
        <v>280.38945776640003</v>
      </c>
      <c r="BD71" s="52">
        <f t="shared" si="57"/>
        <v>282.73187932159999</v>
      </c>
      <c r="BE71" s="34">
        <f t="shared" si="58"/>
        <v>225.15741173760003</v>
      </c>
      <c r="BF71" s="34">
        <f t="shared" si="59"/>
        <v>230.3894577664</v>
      </c>
      <c r="BG71" s="52">
        <f t="shared" si="60"/>
        <v>242.73187932159999</v>
      </c>
      <c r="BH71" s="34">
        <f t="shared" si="61"/>
        <v>280.1574117376</v>
      </c>
      <c r="BI71" s="34">
        <f t="shared" si="62"/>
        <v>230.3894577664</v>
      </c>
      <c r="BJ71" s="34">
        <f t="shared" si="63"/>
        <v>242.73187932159999</v>
      </c>
      <c r="BK71" s="57">
        <f t="shared" si="64"/>
        <v>3184.1149953024001</v>
      </c>
      <c r="BL71" s="34">
        <f t="shared" si="65"/>
        <v>934.27874882560002</v>
      </c>
      <c r="BM71" s="34">
        <f t="shared" si="66"/>
        <v>798.27874882560002</v>
      </c>
      <c r="BN71" s="34">
        <f t="shared" si="67"/>
        <v>698.27874882560002</v>
      </c>
      <c r="BO71" s="46">
        <f t="shared" si="68"/>
        <v>753.27874882560002</v>
      </c>
      <c r="BP71" s="65">
        <f t="shared" si="69"/>
        <v>225.15741173760003</v>
      </c>
      <c r="BQ71" s="65">
        <f t="shared" si="70"/>
        <v>230.3894577664</v>
      </c>
      <c r="BR71" s="66">
        <f t="shared" si="71"/>
        <v>242.73187932159999</v>
      </c>
      <c r="BS71" s="34">
        <v>106</v>
      </c>
      <c r="BT71" s="34">
        <v>105</v>
      </c>
      <c r="BU71" s="52">
        <v>114</v>
      </c>
      <c r="BV71" s="58">
        <f t="shared" si="72"/>
        <v>1575.7870586880001</v>
      </c>
      <c r="BW71" s="58">
        <f t="shared" si="73"/>
        <v>1601.9472888319999</v>
      </c>
      <c r="BX71" s="59">
        <f t="shared" si="74"/>
        <v>1663.659396608</v>
      </c>
      <c r="BY71" s="44">
        <v>8.23</v>
      </c>
      <c r="BZ71" s="44">
        <v>8.4700000000000006</v>
      </c>
      <c r="CA71" s="53">
        <v>8.93</v>
      </c>
      <c r="CB71" s="58">
        <f t="shared" si="75"/>
        <v>20.478873599999996</v>
      </c>
      <c r="CC71" s="58">
        <f t="shared" si="76"/>
        <v>21.076070399999995</v>
      </c>
      <c r="CD71" s="59">
        <f t="shared" si="77"/>
        <v>22.220697599999998</v>
      </c>
    </row>
    <row r="72" spans="1:82" ht="13.5" customHeight="1" x14ac:dyDescent="0.25">
      <c r="A72" s="36" t="s">
        <v>460</v>
      </c>
      <c r="B72" s="68" t="s">
        <v>673</v>
      </c>
      <c r="C72" s="34">
        <v>15</v>
      </c>
      <c r="D72" s="34">
        <v>0</v>
      </c>
      <c r="E72" s="52">
        <v>0</v>
      </c>
      <c r="F72" s="34">
        <v>15</v>
      </c>
      <c r="G72" s="34">
        <v>0</v>
      </c>
      <c r="H72" s="52">
        <v>0</v>
      </c>
      <c r="I72" s="34">
        <v>0</v>
      </c>
      <c r="J72" s="34">
        <v>0</v>
      </c>
      <c r="K72" s="52">
        <v>0</v>
      </c>
      <c r="L72" s="34">
        <v>0</v>
      </c>
      <c r="M72" s="34">
        <v>0</v>
      </c>
      <c r="N72" s="46">
        <v>0</v>
      </c>
      <c r="O72" s="34">
        <v>45</v>
      </c>
      <c r="P72" s="34">
        <v>40</v>
      </c>
      <c r="Q72" s="52">
        <v>40</v>
      </c>
      <c r="R72" s="34">
        <v>45</v>
      </c>
      <c r="S72" s="34">
        <v>40</v>
      </c>
      <c r="T72" s="52">
        <v>40</v>
      </c>
      <c r="U72" s="34">
        <v>0</v>
      </c>
      <c r="V72" s="34">
        <v>0</v>
      </c>
      <c r="W72" s="52">
        <v>0</v>
      </c>
      <c r="X72" s="34">
        <v>0</v>
      </c>
      <c r="Y72" s="34">
        <v>0</v>
      </c>
      <c r="Z72" s="46">
        <v>0</v>
      </c>
      <c r="AA72" s="34">
        <v>32</v>
      </c>
      <c r="AB72" s="34">
        <v>0</v>
      </c>
      <c r="AC72" s="52">
        <v>0</v>
      </c>
      <c r="AD72" s="34">
        <v>42</v>
      </c>
      <c r="AE72" s="34">
        <v>20</v>
      </c>
      <c r="AF72" s="52">
        <v>20</v>
      </c>
      <c r="AG72" s="34">
        <v>6</v>
      </c>
      <c r="AH72" s="34">
        <v>0</v>
      </c>
      <c r="AI72" s="52">
        <v>0</v>
      </c>
      <c r="AJ72" s="34">
        <v>6</v>
      </c>
      <c r="AK72" s="34">
        <v>0</v>
      </c>
      <c r="AL72" s="46">
        <v>0</v>
      </c>
      <c r="AM72" s="34">
        <v>0</v>
      </c>
      <c r="AN72" s="34">
        <v>0</v>
      </c>
      <c r="AO72" s="52">
        <v>0</v>
      </c>
      <c r="AP72" s="34">
        <v>0</v>
      </c>
      <c r="AQ72" s="34">
        <v>0</v>
      </c>
      <c r="AR72" s="52">
        <v>0</v>
      </c>
      <c r="AS72" s="34">
        <v>0</v>
      </c>
      <c r="AT72" s="34">
        <v>0</v>
      </c>
      <c r="AU72" s="52">
        <v>0</v>
      </c>
      <c r="AV72" s="34">
        <v>0</v>
      </c>
      <c r="AW72" s="34">
        <v>0</v>
      </c>
      <c r="AX72" s="46">
        <v>0</v>
      </c>
      <c r="AY72" s="34">
        <f t="shared" si="52"/>
        <v>308.41978726399998</v>
      </c>
      <c r="AZ72" s="34">
        <f t="shared" si="53"/>
        <v>276.62216279040001</v>
      </c>
      <c r="BA72" s="52">
        <f t="shared" si="54"/>
        <v>272.32282178559996</v>
      </c>
      <c r="BB72" s="34">
        <f t="shared" si="55"/>
        <v>318.41978726399998</v>
      </c>
      <c r="BC72" s="34">
        <f t="shared" si="56"/>
        <v>296.62216279040001</v>
      </c>
      <c r="BD72" s="52">
        <f t="shared" si="57"/>
        <v>292.32282178559996</v>
      </c>
      <c r="BE72" s="34">
        <f t="shared" si="58"/>
        <v>237.41978726399995</v>
      </c>
      <c r="BF72" s="34">
        <f t="shared" si="59"/>
        <v>236.62216279039998</v>
      </c>
      <c r="BG72" s="52">
        <f t="shared" si="60"/>
        <v>232.32282178559996</v>
      </c>
      <c r="BH72" s="34">
        <f t="shared" si="61"/>
        <v>237.41978726399995</v>
      </c>
      <c r="BI72" s="34">
        <f t="shared" si="62"/>
        <v>236.62216279039998</v>
      </c>
      <c r="BJ72" s="34">
        <f t="shared" si="63"/>
        <v>232.32282178559996</v>
      </c>
      <c r="BK72" s="57">
        <f t="shared" si="64"/>
        <v>3177.4590873599996</v>
      </c>
      <c r="BL72" s="34">
        <f t="shared" si="65"/>
        <v>857.36477184</v>
      </c>
      <c r="BM72" s="34">
        <f t="shared" si="66"/>
        <v>907.36477184</v>
      </c>
      <c r="BN72" s="34">
        <f t="shared" si="67"/>
        <v>706.36477183999989</v>
      </c>
      <c r="BO72" s="46">
        <f t="shared" si="68"/>
        <v>706.36477183999989</v>
      </c>
      <c r="BP72" s="65">
        <f t="shared" si="69"/>
        <v>231.41978726399995</v>
      </c>
      <c r="BQ72" s="65">
        <f t="shared" si="70"/>
        <v>236.62216279039998</v>
      </c>
      <c r="BR72" s="66">
        <f t="shared" si="71"/>
        <v>232.32282178559996</v>
      </c>
      <c r="BS72" s="34">
        <v>112</v>
      </c>
      <c r="BT72" s="34">
        <v>113</v>
      </c>
      <c r="BU72" s="52">
        <v>97</v>
      </c>
      <c r="BV72" s="58">
        <f t="shared" si="72"/>
        <v>1607.0989363199997</v>
      </c>
      <c r="BW72" s="58">
        <f t="shared" si="73"/>
        <v>1633.1108139519999</v>
      </c>
      <c r="BX72" s="59">
        <f t="shared" si="74"/>
        <v>1611.6141089279997</v>
      </c>
      <c r="BY72" s="44">
        <v>8.4499999999999993</v>
      </c>
      <c r="BZ72" s="44">
        <v>8.67</v>
      </c>
      <c r="CA72" s="53">
        <v>8.6300000000000008</v>
      </c>
      <c r="CB72" s="58">
        <f t="shared" si="75"/>
        <v>21.026303999999993</v>
      </c>
      <c r="CC72" s="58">
        <f t="shared" si="76"/>
        <v>21.573734399999999</v>
      </c>
      <c r="CD72" s="59">
        <f t="shared" si="77"/>
        <v>21.474201599999997</v>
      </c>
    </row>
    <row r="73" spans="1:82" ht="13.5" customHeight="1" x14ac:dyDescent="0.25">
      <c r="A73" s="36" t="s">
        <v>461</v>
      </c>
      <c r="B73" s="70" t="s">
        <v>123</v>
      </c>
      <c r="C73" s="34">
        <v>35</v>
      </c>
      <c r="D73" s="34">
        <v>10</v>
      </c>
      <c r="E73" s="52">
        <v>10</v>
      </c>
      <c r="F73" s="34">
        <v>0</v>
      </c>
      <c r="G73" s="34">
        <v>0</v>
      </c>
      <c r="H73" s="52">
        <v>0</v>
      </c>
      <c r="I73" s="34">
        <v>0</v>
      </c>
      <c r="J73" s="34">
        <v>0</v>
      </c>
      <c r="K73" s="52">
        <v>0</v>
      </c>
      <c r="L73" s="34">
        <v>0</v>
      </c>
      <c r="M73" s="34">
        <v>0</v>
      </c>
      <c r="N73" s="46">
        <v>0</v>
      </c>
      <c r="O73" s="34">
        <v>65</v>
      </c>
      <c r="P73" s="34">
        <v>30</v>
      </c>
      <c r="Q73" s="52">
        <v>30</v>
      </c>
      <c r="R73" s="34">
        <v>0</v>
      </c>
      <c r="S73" s="34">
        <v>10</v>
      </c>
      <c r="T73" s="52">
        <v>10</v>
      </c>
      <c r="U73" s="34">
        <v>0</v>
      </c>
      <c r="V73" s="34">
        <v>0</v>
      </c>
      <c r="W73" s="52">
        <v>0</v>
      </c>
      <c r="X73" s="34">
        <v>0</v>
      </c>
      <c r="Y73" s="34">
        <v>0</v>
      </c>
      <c r="Z73" s="46">
        <v>0</v>
      </c>
      <c r="AA73" s="34">
        <v>45</v>
      </c>
      <c r="AB73" s="34">
        <v>35</v>
      </c>
      <c r="AC73" s="52">
        <v>25</v>
      </c>
      <c r="AD73" s="34">
        <v>0</v>
      </c>
      <c r="AE73" s="34">
        <v>0</v>
      </c>
      <c r="AF73" s="52">
        <v>0</v>
      </c>
      <c r="AG73" s="34">
        <v>0</v>
      </c>
      <c r="AH73" s="34">
        <v>0</v>
      </c>
      <c r="AI73" s="52">
        <v>0</v>
      </c>
      <c r="AJ73" s="34">
        <v>0</v>
      </c>
      <c r="AK73" s="34">
        <v>0</v>
      </c>
      <c r="AL73" s="46">
        <v>0</v>
      </c>
      <c r="AM73" s="34">
        <v>0</v>
      </c>
      <c r="AN73" s="34">
        <v>0</v>
      </c>
      <c r="AO73" s="52">
        <v>0</v>
      </c>
      <c r="AP73" s="34">
        <v>0</v>
      </c>
      <c r="AQ73" s="34">
        <v>0</v>
      </c>
      <c r="AR73" s="52">
        <v>0</v>
      </c>
      <c r="AS73" s="34">
        <v>0</v>
      </c>
      <c r="AT73" s="34">
        <v>0</v>
      </c>
      <c r="AU73" s="52">
        <v>0</v>
      </c>
      <c r="AV73" s="34">
        <v>0</v>
      </c>
      <c r="AW73" s="34">
        <v>0</v>
      </c>
      <c r="AX73" s="46">
        <v>0</v>
      </c>
      <c r="AY73" s="34">
        <f t="shared" si="52"/>
        <v>351.99203256319998</v>
      </c>
      <c r="AZ73" s="34">
        <f t="shared" si="53"/>
        <v>304.73851530239995</v>
      </c>
      <c r="BA73" s="52">
        <f t="shared" si="54"/>
        <v>303.99425484800008</v>
      </c>
      <c r="BB73" s="34">
        <f t="shared" si="55"/>
        <v>241.99203256319998</v>
      </c>
      <c r="BC73" s="34">
        <f t="shared" si="56"/>
        <v>249.73851530239995</v>
      </c>
      <c r="BD73" s="52">
        <f t="shared" si="57"/>
        <v>258.99425484800008</v>
      </c>
      <c r="BE73" s="34">
        <f t="shared" si="58"/>
        <v>241.99203256319998</v>
      </c>
      <c r="BF73" s="34">
        <f t="shared" si="59"/>
        <v>239.73851530239995</v>
      </c>
      <c r="BG73" s="52">
        <f t="shared" si="60"/>
        <v>248.99425484800005</v>
      </c>
      <c r="BH73" s="34">
        <f t="shared" si="61"/>
        <v>241.99203256319998</v>
      </c>
      <c r="BI73" s="34">
        <f t="shared" si="62"/>
        <v>239.73851530239995</v>
      </c>
      <c r="BJ73" s="34">
        <f t="shared" si="63"/>
        <v>248.99425484800005</v>
      </c>
      <c r="BK73" s="57">
        <f t="shared" si="64"/>
        <v>3172.8992108543998</v>
      </c>
      <c r="BL73" s="34">
        <f t="shared" si="65"/>
        <v>960.72480271359996</v>
      </c>
      <c r="BM73" s="34">
        <f t="shared" si="66"/>
        <v>750.72480271359996</v>
      </c>
      <c r="BN73" s="34">
        <f t="shared" si="67"/>
        <v>730.72480271359996</v>
      </c>
      <c r="BO73" s="46">
        <f t="shared" si="68"/>
        <v>730.72480271359996</v>
      </c>
      <c r="BP73" s="65">
        <f t="shared" si="69"/>
        <v>241.99203256319998</v>
      </c>
      <c r="BQ73" s="65">
        <f t="shared" si="70"/>
        <v>239.73851530239995</v>
      </c>
      <c r="BR73" s="66">
        <f t="shared" si="71"/>
        <v>248.99425484800005</v>
      </c>
      <c r="BS73" s="34">
        <v>118</v>
      </c>
      <c r="BT73" s="34">
        <v>117</v>
      </c>
      <c r="BU73" s="52">
        <v>120</v>
      </c>
      <c r="BV73" s="58">
        <f t="shared" si="72"/>
        <v>1659.9601628159999</v>
      </c>
      <c r="BW73" s="58">
        <f t="shared" si="73"/>
        <v>1648.6925765119997</v>
      </c>
      <c r="BX73" s="59">
        <f t="shared" si="74"/>
        <v>1694.9712742400002</v>
      </c>
      <c r="BY73" s="44">
        <v>8.86</v>
      </c>
      <c r="BZ73" s="44">
        <v>8.77</v>
      </c>
      <c r="CA73" s="53">
        <v>9.15</v>
      </c>
      <c r="CB73" s="58">
        <f t="shared" si="75"/>
        <v>22.046515199999998</v>
      </c>
      <c r="CC73" s="58">
        <f t="shared" si="76"/>
        <v>21.822566399999992</v>
      </c>
      <c r="CD73" s="59">
        <f t="shared" si="77"/>
        <v>22.768128000000001</v>
      </c>
    </row>
    <row r="74" spans="1:82" ht="13.5" customHeight="1" x14ac:dyDescent="0.25">
      <c r="A74" s="36" t="s">
        <v>462</v>
      </c>
      <c r="B74" s="70" t="s">
        <v>188</v>
      </c>
      <c r="C74" s="34">
        <v>0</v>
      </c>
      <c r="D74" s="34">
        <v>0</v>
      </c>
      <c r="E74" s="52">
        <v>0</v>
      </c>
      <c r="F74" s="34">
        <v>0</v>
      </c>
      <c r="G74" s="34">
        <v>0</v>
      </c>
      <c r="H74" s="52">
        <v>0</v>
      </c>
      <c r="I74" s="34">
        <v>0</v>
      </c>
      <c r="J74" s="34">
        <v>0</v>
      </c>
      <c r="K74" s="52">
        <v>0</v>
      </c>
      <c r="L74" s="34">
        <v>40</v>
      </c>
      <c r="M74" s="34">
        <v>0</v>
      </c>
      <c r="N74" s="46">
        <v>0</v>
      </c>
      <c r="O74" s="34">
        <v>0</v>
      </c>
      <c r="P74" s="34">
        <v>0</v>
      </c>
      <c r="Q74" s="52">
        <v>0</v>
      </c>
      <c r="R74" s="34">
        <v>0</v>
      </c>
      <c r="S74" s="34">
        <v>0</v>
      </c>
      <c r="T74" s="52">
        <v>0</v>
      </c>
      <c r="U74" s="34">
        <v>0</v>
      </c>
      <c r="V74" s="34">
        <v>0</v>
      </c>
      <c r="W74" s="52">
        <v>0</v>
      </c>
      <c r="X74" s="34">
        <v>65</v>
      </c>
      <c r="Y74" s="34">
        <v>35</v>
      </c>
      <c r="Z74" s="46">
        <v>35</v>
      </c>
      <c r="AA74" s="34">
        <v>0</v>
      </c>
      <c r="AB74" s="34">
        <v>0</v>
      </c>
      <c r="AC74" s="52">
        <v>0</v>
      </c>
      <c r="AD74" s="34">
        <v>0</v>
      </c>
      <c r="AE74" s="34">
        <v>0</v>
      </c>
      <c r="AF74" s="52">
        <v>0</v>
      </c>
      <c r="AG74" s="34">
        <v>0</v>
      </c>
      <c r="AH74" s="34">
        <v>0</v>
      </c>
      <c r="AI74" s="52">
        <v>0</v>
      </c>
      <c r="AJ74" s="34">
        <v>45</v>
      </c>
      <c r="AK74" s="34">
        <v>30</v>
      </c>
      <c r="AL74" s="46">
        <v>40</v>
      </c>
      <c r="AM74" s="34">
        <v>0</v>
      </c>
      <c r="AN74" s="34">
        <v>0</v>
      </c>
      <c r="AO74" s="52">
        <v>0</v>
      </c>
      <c r="AP74" s="34">
        <v>0</v>
      </c>
      <c r="AQ74" s="34">
        <v>0</v>
      </c>
      <c r="AR74" s="52">
        <v>0</v>
      </c>
      <c r="AS74" s="34">
        <v>0</v>
      </c>
      <c r="AT74" s="34">
        <v>0</v>
      </c>
      <c r="AU74" s="52">
        <v>0</v>
      </c>
      <c r="AV74" s="34">
        <v>0</v>
      </c>
      <c r="AW74" s="34">
        <v>0</v>
      </c>
      <c r="AX74" s="46">
        <v>0</v>
      </c>
      <c r="AY74" s="34">
        <f t="shared" si="52"/>
        <v>243.33820881919993</v>
      </c>
      <c r="AZ74" s="34">
        <f t="shared" si="53"/>
        <v>240.88752680960002</v>
      </c>
      <c r="BA74" s="52">
        <f t="shared" si="54"/>
        <v>246.31673758720001</v>
      </c>
      <c r="BB74" s="34">
        <f t="shared" si="55"/>
        <v>243.33820881919993</v>
      </c>
      <c r="BC74" s="34">
        <f t="shared" si="56"/>
        <v>240.88752680960002</v>
      </c>
      <c r="BD74" s="52">
        <f t="shared" si="57"/>
        <v>246.31673758720001</v>
      </c>
      <c r="BE74" s="34">
        <f t="shared" si="58"/>
        <v>243.33820881919993</v>
      </c>
      <c r="BF74" s="34">
        <f t="shared" si="59"/>
        <v>240.88752680960002</v>
      </c>
      <c r="BG74" s="52">
        <f t="shared" si="60"/>
        <v>246.31673758720001</v>
      </c>
      <c r="BH74" s="34">
        <f t="shared" si="61"/>
        <v>353.33820881919996</v>
      </c>
      <c r="BI74" s="34">
        <f t="shared" si="62"/>
        <v>305.88752680959999</v>
      </c>
      <c r="BJ74" s="34">
        <f t="shared" si="63"/>
        <v>321.31673758720001</v>
      </c>
      <c r="BK74" s="57">
        <f t="shared" si="64"/>
        <v>3172.1698928639998</v>
      </c>
      <c r="BL74" s="34">
        <f t="shared" si="65"/>
        <v>730.54247321599996</v>
      </c>
      <c r="BM74" s="34">
        <f t="shared" si="66"/>
        <v>730.54247321599996</v>
      </c>
      <c r="BN74" s="34">
        <f t="shared" si="67"/>
        <v>730.54247321599996</v>
      </c>
      <c r="BO74" s="46">
        <f t="shared" si="68"/>
        <v>980.54247321599996</v>
      </c>
      <c r="BP74" s="65">
        <f t="shared" si="69"/>
        <v>243.33820881919993</v>
      </c>
      <c r="BQ74" s="65">
        <f t="shared" si="70"/>
        <v>240.88752680960002</v>
      </c>
      <c r="BR74" s="66">
        <f t="shared" si="71"/>
        <v>246.31673758720001</v>
      </c>
      <c r="BS74" s="34">
        <v>119</v>
      </c>
      <c r="BT74" s="34">
        <v>116</v>
      </c>
      <c r="BU74" s="52">
        <v>117</v>
      </c>
      <c r="BV74" s="58">
        <f t="shared" si="72"/>
        <v>1666.6910440959996</v>
      </c>
      <c r="BW74" s="58">
        <f t="shared" si="73"/>
        <v>1654.4376340480001</v>
      </c>
      <c r="BX74" s="59">
        <f t="shared" si="74"/>
        <v>1681.5836879359999</v>
      </c>
      <c r="BY74" s="44">
        <v>8.91</v>
      </c>
      <c r="BZ74" s="44">
        <v>8.83</v>
      </c>
      <c r="CA74" s="53">
        <v>9.06</v>
      </c>
      <c r="CB74" s="58">
        <f t="shared" si="75"/>
        <v>22.170931199999995</v>
      </c>
      <c r="CC74" s="58">
        <f t="shared" si="76"/>
        <v>21.971865599999997</v>
      </c>
      <c r="CD74" s="59">
        <f t="shared" si="77"/>
        <v>22.544179199999999</v>
      </c>
    </row>
    <row r="75" spans="1:82" ht="13.5" customHeight="1" x14ac:dyDescent="0.25">
      <c r="A75" s="36" t="s">
        <v>463</v>
      </c>
      <c r="B75" s="72" t="s">
        <v>167</v>
      </c>
      <c r="C75" s="34">
        <v>0</v>
      </c>
      <c r="D75" s="34">
        <v>0</v>
      </c>
      <c r="E75" s="52">
        <v>0</v>
      </c>
      <c r="F75" s="34">
        <v>0</v>
      </c>
      <c r="G75" s="34">
        <v>0</v>
      </c>
      <c r="H75" s="52">
        <v>0</v>
      </c>
      <c r="I75" s="34">
        <v>30</v>
      </c>
      <c r="J75" s="34">
        <v>10</v>
      </c>
      <c r="K75" s="52">
        <v>10</v>
      </c>
      <c r="L75" s="34">
        <v>0</v>
      </c>
      <c r="M75" s="34">
        <v>0</v>
      </c>
      <c r="N75" s="46">
        <v>0</v>
      </c>
      <c r="O75" s="34">
        <v>0</v>
      </c>
      <c r="P75" s="34">
        <v>0</v>
      </c>
      <c r="Q75" s="52">
        <v>0</v>
      </c>
      <c r="R75" s="34">
        <v>0</v>
      </c>
      <c r="S75" s="34">
        <v>0</v>
      </c>
      <c r="T75" s="52">
        <v>0</v>
      </c>
      <c r="U75" s="34">
        <v>60</v>
      </c>
      <c r="V75" s="34">
        <v>40</v>
      </c>
      <c r="W75" s="52">
        <v>40</v>
      </c>
      <c r="X75" s="34">
        <v>0</v>
      </c>
      <c r="Y75" s="34">
        <v>0</v>
      </c>
      <c r="Z75" s="46">
        <v>0</v>
      </c>
      <c r="AA75" s="34">
        <v>6</v>
      </c>
      <c r="AB75" s="34">
        <v>0</v>
      </c>
      <c r="AC75" s="52">
        <v>0</v>
      </c>
      <c r="AD75" s="34">
        <v>6</v>
      </c>
      <c r="AE75" s="34">
        <v>0</v>
      </c>
      <c r="AF75" s="52">
        <v>0</v>
      </c>
      <c r="AG75" s="34">
        <v>46</v>
      </c>
      <c r="AH75" s="34">
        <v>10</v>
      </c>
      <c r="AI75" s="52">
        <v>0</v>
      </c>
      <c r="AJ75" s="34">
        <v>36</v>
      </c>
      <c r="AK75" s="34">
        <v>0</v>
      </c>
      <c r="AL75" s="46">
        <v>0</v>
      </c>
      <c r="AM75" s="34">
        <v>0</v>
      </c>
      <c r="AN75" s="34">
        <v>0</v>
      </c>
      <c r="AO75" s="52">
        <v>0</v>
      </c>
      <c r="AP75" s="34">
        <v>0</v>
      </c>
      <c r="AQ75" s="34">
        <v>0</v>
      </c>
      <c r="AR75" s="52">
        <v>0</v>
      </c>
      <c r="AS75" s="34">
        <v>0</v>
      </c>
      <c r="AT75" s="34">
        <v>0</v>
      </c>
      <c r="AU75" s="52">
        <v>0</v>
      </c>
      <c r="AV75" s="34">
        <v>0</v>
      </c>
      <c r="AW75" s="34">
        <v>0</v>
      </c>
      <c r="AX75" s="46">
        <v>0</v>
      </c>
      <c r="AY75" s="34">
        <f t="shared" si="52"/>
        <v>252.30190233599998</v>
      </c>
      <c r="AZ75" s="34">
        <f t="shared" si="53"/>
        <v>240.91719731199996</v>
      </c>
      <c r="BA75" s="52">
        <f t="shared" si="54"/>
        <v>240.67552680960003</v>
      </c>
      <c r="BB75" s="34">
        <f t="shared" si="55"/>
        <v>252.30190233599998</v>
      </c>
      <c r="BC75" s="34">
        <f t="shared" si="56"/>
        <v>240.91719731199996</v>
      </c>
      <c r="BD75" s="52">
        <f t="shared" si="57"/>
        <v>240.67552680960003</v>
      </c>
      <c r="BE75" s="34">
        <f t="shared" si="58"/>
        <v>352.30190233600001</v>
      </c>
      <c r="BF75" s="34">
        <f t="shared" si="59"/>
        <v>290.91719731199998</v>
      </c>
      <c r="BG75" s="52">
        <f t="shared" si="60"/>
        <v>280.6755268096</v>
      </c>
      <c r="BH75" s="34">
        <f t="shared" si="61"/>
        <v>282.30190233600001</v>
      </c>
      <c r="BI75" s="34">
        <f t="shared" si="62"/>
        <v>240.91719731199996</v>
      </c>
      <c r="BJ75" s="34">
        <f t="shared" si="63"/>
        <v>240.67552680960003</v>
      </c>
      <c r="BK75" s="57">
        <f t="shared" si="64"/>
        <v>3155.5785058304</v>
      </c>
      <c r="BL75" s="34">
        <f t="shared" si="65"/>
        <v>733.8946264576</v>
      </c>
      <c r="BM75" s="34">
        <f t="shared" si="66"/>
        <v>733.8946264576</v>
      </c>
      <c r="BN75" s="34">
        <f t="shared" si="67"/>
        <v>923.8946264576</v>
      </c>
      <c r="BO75" s="46">
        <f t="shared" si="68"/>
        <v>763.8946264576</v>
      </c>
      <c r="BP75" s="65">
        <f t="shared" si="69"/>
        <v>246.30190233599998</v>
      </c>
      <c r="BQ75" s="65">
        <f t="shared" si="70"/>
        <v>240.91719731199996</v>
      </c>
      <c r="BR75" s="66">
        <f t="shared" si="71"/>
        <v>240.67552680960003</v>
      </c>
      <c r="BS75" s="34">
        <v>118</v>
      </c>
      <c r="BT75" s="34">
        <v>114</v>
      </c>
      <c r="BU75" s="52">
        <v>115</v>
      </c>
      <c r="BV75" s="58">
        <f t="shared" si="72"/>
        <v>1681.5095116799998</v>
      </c>
      <c r="BW75" s="58">
        <f t="shared" si="73"/>
        <v>1654.5859865599998</v>
      </c>
      <c r="BX75" s="59">
        <f t="shared" si="74"/>
        <v>1653.3776340480001</v>
      </c>
      <c r="BY75" s="44">
        <v>9.0500000000000007</v>
      </c>
      <c r="BZ75" s="44">
        <v>8.85</v>
      </c>
      <c r="CA75" s="53">
        <v>8.83</v>
      </c>
      <c r="CB75" s="58">
        <f t="shared" si="75"/>
        <v>22.519295999999997</v>
      </c>
      <c r="CC75" s="58">
        <f t="shared" si="76"/>
        <v>22.021631999999993</v>
      </c>
      <c r="CD75" s="59">
        <f t="shared" si="77"/>
        <v>21.971865599999997</v>
      </c>
    </row>
    <row r="76" spans="1:82" ht="13.5" customHeight="1" x14ac:dyDescent="0.25">
      <c r="A76" s="36" t="s">
        <v>464</v>
      </c>
      <c r="B76" s="68" t="s">
        <v>674</v>
      </c>
      <c r="C76" s="34">
        <v>0</v>
      </c>
      <c r="D76" s="34">
        <v>0</v>
      </c>
      <c r="E76" s="52">
        <v>0</v>
      </c>
      <c r="F76" s="34">
        <v>0</v>
      </c>
      <c r="G76" s="34">
        <v>0</v>
      </c>
      <c r="H76" s="52">
        <v>20</v>
      </c>
      <c r="I76" s="34">
        <v>0</v>
      </c>
      <c r="J76" s="34">
        <v>0</v>
      </c>
      <c r="K76" s="52">
        <v>0</v>
      </c>
      <c r="L76" s="34">
        <v>30</v>
      </c>
      <c r="M76" s="34">
        <v>0</v>
      </c>
      <c r="N76" s="46">
        <v>0</v>
      </c>
      <c r="O76" s="34">
        <v>0</v>
      </c>
      <c r="P76" s="34">
        <v>0</v>
      </c>
      <c r="Q76" s="52">
        <v>0</v>
      </c>
      <c r="R76" s="34">
        <v>0</v>
      </c>
      <c r="S76" s="34">
        <v>35</v>
      </c>
      <c r="T76" s="52">
        <v>55</v>
      </c>
      <c r="U76" s="34">
        <v>0</v>
      </c>
      <c r="V76" s="34">
        <v>35</v>
      </c>
      <c r="W76" s="52">
        <v>35</v>
      </c>
      <c r="X76" s="34">
        <v>50</v>
      </c>
      <c r="Y76" s="34">
        <v>35</v>
      </c>
      <c r="Z76" s="46">
        <v>35</v>
      </c>
      <c r="AA76" s="34">
        <v>0</v>
      </c>
      <c r="AB76" s="34">
        <v>0</v>
      </c>
      <c r="AC76" s="52">
        <v>0</v>
      </c>
      <c r="AD76" s="34">
        <v>0</v>
      </c>
      <c r="AE76" s="34">
        <v>0</v>
      </c>
      <c r="AF76" s="52">
        <v>0</v>
      </c>
      <c r="AG76" s="34">
        <v>10</v>
      </c>
      <c r="AH76" s="34">
        <v>0</v>
      </c>
      <c r="AI76" s="52">
        <v>0</v>
      </c>
      <c r="AJ76" s="34">
        <v>60</v>
      </c>
      <c r="AK76" s="34">
        <v>20</v>
      </c>
      <c r="AL76" s="46">
        <v>10</v>
      </c>
      <c r="AM76" s="34">
        <v>0</v>
      </c>
      <c r="AN76" s="34">
        <v>0</v>
      </c>
      <c r="AO76" s="52">
        <v>0</v>
      </c>
      <c r="AP76" s="34">
        <v>0</v>
      </c>
      <c r="AQ76" s="34">
        <v>0</v>
      </c>
      <c r="AR76" s="52">
        <v>0</v>
      </c>
      <c r="AS76" s="34">
        <v>0</v>
      </c>
      <c r="AT76" s="34">
        <v>0</v>
      </c>
      <c r="AU76" s="52">
        <v>0</v>
      </c>
      <c r="AV76" s="34">
        <v>0</v>
      </c>
      <c r="AW76" s="34">
        <v>0</v>
      </c>
      <c r="AX76" s="46">
        <v>0</v>
      </c>
      <c r="AY76" s="34">
        <f t="shared" si="52"/>
        <v>227.48510525439997</v>
      </c>
      <c r="AZ76" s="34">
        <f t="shared" si="53"/>
        <v>233.90013977599992</v>
      </c>
      <c r="BA76" s="52">
        <f t="shared" si="54"/>
        <v>230.57178726399994</v>
      </c>
      <c r="BB76" s="34">
        <f t="shared" si="55"/>
        <v>227.48510525439997</v>
      </c>
      <c r="BC76" s="34">
        <f t="shared" si="56"/>
        <v>268.90013977599995</v>
      </c>
      <c r="BD76" s="52">
        <f t="shared" si="57"/>
        <v>285.57178726399991</v>
      </c>
      <c r="BE76" s="34">
        <f t="shared" si="58"/>
        <v>237.48510525439997</v>
      </c>
      <c r="BF76" s="34">
        <f t="shared" si="59"/>
        <v>268.90013977599995</v>
      </c>
      <c r="BG76" s="52">
        <f t="shared" si="60"/>
        <v>265.57178726399991</v>
      </c>
      <c r="BH76" s="34">
        <f t="shared" si="61"/>
        <v>337.48510525439997</v>
      </c>
      <c r="BI76" s="34">
        <f t="shared" si="62"/>
        <v>288.90013977599995</v>
      </c>
      <c r="BJ76" s="34">
        <f t="shared" si="63"/>
        <v>275.57178726399991</v>
      </c>
      <c r="BK76" s="57">
        <f t="shared" si="64"/>
        <v>3147.8281291775993</v>
      </c>
      <c r="BL76" s="34">
        <f t="shared" si="65"/>
        <v>691.95703229439982</v>
      </c>
      <c r="BM76" s="34">
        <f t="shared" si="66"/>
        <v>781.95703229439982</v>
      </c>
      <c r="BN76" s="34">
        <f t="shared" si="67"/>
        <v>771.95703229439982</v>
      </c>
      <c r="BO76" s="46">
        <f t="shared" si="68"/>
        <v>901.95703229439982</v>
      </c>
      <c r="BP76" s="65">
        <f t="shared" si="69"/>
        <v>227.48510525439997</v>
      </c>
      <c r="BQ76" s="65">
        <f t="shared" si="70"/>
        <v>233.90013977599992</v>
      </c>
      <c r="BR76" s="66">
        <f t="shared" si="71"/>
        <v>230.57178726399994</v>
      </c>
      <c r="BS76" s="34">
        <v>102</v>
      </c>
      <c r="BT76" s="34">
        <v>113</v>
      </c>
      <c r="BU76" s="52">
        <v>108</v>
      </c>
      <c r="BV76" s="58">
        <f t="shared" si="72"/>
        <v>1587.4255262719998</v>
      </c>
      <c r="BW76" s="58">
        <f t="shared" si="73"/>
        <v>1619.5006988799996</v>
      </c>
      <c r="BX76" s="59">
        <f t="shared" si="74"/>
        <v>1602.8589363199997</v>
      </c>
      <c r="BY76" s="44">
        <v>8.3699999999999992</v>
      </c>
      <c r="BZ76" s="44">
        <v>8.5500000000000007</v>
      </c>
      <c r="CA76" s="53">
        <v>8.4499999999999993</v>
      </c>
      <c r="CB76" s="58">
        <f t="shared" si="75"/>
        <v>20.827238399999995</v>
      </c>
      <c r="CC76" s="58">
        <f t="shared" si="76"/>
        <v>21.275135999999993</v>
      </c>
      <c r="CD76" s="59">
        <f t="shared" si="77"/>
        <v>21.026303999999993</v>
      </c>
    </row>
    <row r="77" spans="1:82" ht="13.5" customHeight="1" x14ac:dyDescent="0.25">
      <c r="A77" s="36" t="s">
        <v>465</v>
      </c>
      <c r="B77" s="68" t="s">
        <v>128</v>
      </c>
      <c r="C77" s="34">
        <v>40</v>
      </c>
      <c r="D77" s="34">
        <v>0</v>
      </c>
      <c r="E77" s="52">
        <v>0</v>
      </c>
      <c r="F77" s="34">
        <v>0</v>
      </c>
      <c r="G77" s="34">
        <v>0</v>
      </c>
      <c r="H77" s="52">
        <v>0</v>
      </c>
      <c r="I77" s="34">
        <v>0</v>
      </c>
      <c r="J77" s="34">
        <v>0</v>
      </c>
      <c r="K77" s="52">
        <v>0</v>
      </c>
      <c r="L77" s="34">
        <v>0</v>
      </c>
      <c r="M77" s="34">
        <v>0</v>
      </c>
      <c r="N77" s="46">
        <v>0</v>
      </c>
      <c r="O77" s="34">
        <v>75</v>
      </c>
      <c r="P77" s="34">
        <v>0</v>
      </c>
      <c r="Q77" s="52">
        <v>35</v>
      </c>
      <c r="R77" s="34">
        <v>0</v>
      </c>
      <c r="S77" s="34">
        <v>0</v>
      </c>
      <c r="T77" s="52">
        <v>0</v>
      </c>
      <c r="U77" s="34">
        <v>0</v>
      </c>
      <c r="V77" s="34">
        <v>0</v>
      </c>
      <c r="W77" s="52">
        <v>0</v>
      </c>
      <c r="X77" s="34">
        <v>0</v>
      </c>
      <c r="Y77" s="34">
        <v>0</v>
      </c>
      <c r="Z77" s="46">
        <v>0</v>
      </c>
      <c r="AA77" s="34">
        <v>66</v>
      </c>
      <c r="AB77" s="34">
        <v>10</v>
      </c>
      <c r="AC77" s="52">
        <v>20</v>
      </c>
      <c r="AD77" s="34">
        <v>0</v>
      </c>
      <c r="AE77" s="34">
        <v>0</v>
      </c>
      <c r="AF77" s="52">
        <v>0</v>
      </c>
      <c r="AG77" s="34">
        <v>0</v>
      </c>
      <c r="AH77" s="34">
        <v>0</v>
      </c>
      <c r="AI77" s="52">
        <v>0</v>
      </c>
      <c r="AJ77" s="34">
        <v>0</v>
      </c>
      <c r="AK77" s="34">
        <v>0</v>
      </c>
      <c r="AL77" s="46">
        <v>0</v>
      </c>
      <c r="AM77" s="34">
        <v>10</v>
      </c>
      <c r="AN77" s="34">
        <v>15</v>
      </c>
      <c r="AO77" s="52">
        <v>0</v>
      </c>
      <c r="AP77" s="34">
        <v>0</v>
      </c>
      <c r="AQ77" s="34">
        <v>0</v>
      </c>
      <c r="AR77" s="52">
        <v>0</v>
      </c>
      <c r="AS77" s="34">
        <v>0</v>
      </c>
      <c r="AT77" s="34">
        <v>0</v>
      </c>
      <c r="AU77" s="52">
        <v>0</v>
      </c>
      <c r="AV77" s="34">
        <v>0</v>
      </c>
      <c r="AW77" s="34">
        <v>0</v>
      </c>
      <c r="AX77" s="46">
        <v>0</v>
      </c>
      <c r="AY77" s="34">
        <f t="shared" si="52"/>
        <v>393.18919731200003</v>
      </c>
      <c r="AZ77" s="34">
        <f t="shared" si="53"/>
        <v>261.59249228800002</v>
      </c>
      <c r="BA77" s="52">
        <f t="shared" si="54"/>
        <v>304.76377210879991</v>
      </c>
      <c r="BB77" s="34">
        <f t="shared" si="55"/>
        <v>242.189197312</v>
      </c>
      <c r="BC77" s="34">
        <f t="shared" si="56"/>
        <v>236.59249228799999</v>
      </c>
      <c r="BD77" s="52">
        <f t="shared" si="57"/>
        <v>249.76377210879991</v>
      </c>
      <c r="BE77" s="34">
        <f t="shared" si="58"/>
        <v>242.189197312</v>
      </c>
      <c r="BF77" s="34">
        <f t="shared" si="59"/>
        <v>236.59249228799999</v>
      </c>
      <c r="BG77" s="52">
        <f t="shared" si="60"/>
        <v>249.76377210879991</v>
      </c>
      <c r="BH77" s="34">
        <f t="shared" si="61"/>
        <v>242.189197312</v>
      </c>
      <c r="BI77" s="34">
        <f t="shared" si="62"/>
        <v>236.59249228799999</v>
      </c>
      <c r="BJ77" s="34">
        <f t="shared" si="63"/>
        <v>249.76377210879991</v>
      </c>
      <c r="BK77" s="57">
        <f t="shared" si="64"/>
        <v>3145.1818468351994</v>
      </c>
      <c r="BL77" s="34">
        <f t="shared" si="65"/>
        <v>959.54546170879996</v>
      </c>
      <c r="BM77" s="34">
        <f t="shared" si="66"/>
        <v>728.54546170879985</v>
      </c>
      <c r="BN77" s="34">
        <f t="shared" si="67"/>
        <v>728.54546170879985</v>
      </c>
      <c r="BO77" s="46">
        <f t="shared" si="68"/>
        <v>728.54546170879985</v>
      </c>
      <c r="BP77" s="65">
        <f t="shared" si="69"/>
        <v>242.189197312</v>
      </c>
      <c r="BQ77" s="65">
        <f t="shared" si="70"/>
        <v>236.59249228799999</v>
      </c>
      <c r="BR77" s="66">
        <f t="shared" si="71"/>
        <v>249.76377210879991</v>
      </c>
      <c r="BS77" s="34">
        <v>120</v>
      </c>
      <c r="BT77" s="34">
        <v>115</v>
      </c>
      <c r="BU77" s="52">
        <v>114</v>
      </c>
      <c r="BV77" s="58">
        <f t="shared" si="72"/>
        <v>1660.9459865599999</v>
      </c>
      <c r="BW77" s="58">
        <f t="shared" si="73"/>
        <v>1632.96246144</v>
      </c>
      <c r="BX77" s="59">
        <f t="shared" si="74"/>
        <v>1698.8188605439996</v>
      </c>
      <c r="BY77" s="44">
        <v>8.85</v>
      </c>
      <c r="BZ77" s="44">
        <v>8.65</v>
      </c>
      <c r="CA77" s="53">
        <v>9.24</v>
      </c>
      <c r="CB77" s="58">
        <f t="shared" si="75"/>
        <v>22.021631999999993</v>
      </c>
      <c r="CC77" s="58">
        <f t="shared" si="76"/>
        <v>21.523968</v>
      </c>
      <c r="CD77" s="59">
        <f t="shared" si="77"/>
        <v>22.992076799999992</v>
      </c>
    </row>
    <row r="78" spans="1:82" ht="13.5" customHeight="1" x14ac:dyDescent="0.25">
      <c r="A78" s="36" t="s">
        <v>466</v>
      </c>
      <c r="B78" s="68" t="s">
        <v>184</v>
      </c>
      <c r="C78" s="34">
        <v>30</v>
      </c>
      <c r="D78" s="34">
        <v>0</v>
      </c>
      <c r="E78" s="52">
        <v>0</v>
      </c>
      <c r="F78" s="34">
        <v>0</v>
      </c>
      <c r="G78" s="34">
        <v>0</v>
      </c>
      <c r="H78" s="52">
        <v>0</v>
      </c>
      <c r="I78" s="34">
        <v>0</v>
      </c>
      <c r="J78" s="34">
        <v>0</v>
      </c>
      <c r="K78" s="52">
        <v>0</v>
      </c>
      <c r="L78" s="34">
        <v>30</v>
      </c>
      <c r="M78" s="34">
        <v>0</v>
      </c>
      <c r="N78" s="46">
        <v>0</v>
      </c>
      <c r="O78" s="34">
        <v>50</v>
      </c>
      <c r="P78" s="34">
        <v>20</v>
      </c>
      <c r="Q78" s="52">
        <v>0</v>
      </c>
      <c r="R78" s="34">
        <v>0</v>
      </c>
      <c r="S78" s="34">
        <v>0</v>
      </c>
      <c r="T78" s="52">
        <v>0</v>
      </c>
      <c r="U78" s="34">
        <v>0</v>
      </c>
      <c r="V78" s="34">
        <v>0</v>
      </c>
      <c r="W78" s="52">
        <v>0</v>
      </c>
      <c r="X78" s="34">
        <v>50</v>
      </c>
      <c r="Y78" s="34">
        <v>20</v>
      </c>
      <c r="Z78" s="46">
        <v>0</v>
      </c>
      <c r="AA78" s="34">
        <v>26</v>
      </c>
      <c r="AB78" s="34">
        <v>0</v>
      </c>
      <c r="AC78" s="52">
        <v>0</v>
      </c>
      <c r="AD78" s="34">
        <v>0</v>
      </c>
      <c r="AE78" s="34">
        <v>0</v>
      </c>
      <c r="AF78" s="52">
        <v>0</v>
      </c>
      <c r="AG78" s="34">
        <v>0</v>
      </c>
      <c r="AH78" s="34">
        <v>0</v>
      </c>
      <c r="AI78" s="52">
        <v>0</v>
      </c>
      <c r="AJ78" s="34">
        <v>46</v>
      </c>
      <c r="AK78" s="34">
        <v>10</v>
      </c>
      <c r="AL78" s="46">
        <v>20</v>
      </c>
      <c r="AM78" s="34">
        <v>0</v>
      </c>
      <c r="AN78" s="34">
        <v>0</v>
      </c>
      <c r="AO78" s="52">
        <v>0</v>
      </c>
      <c r="AP78" s="34">
        <v>0</v>
      </c>
      <c r="AQ78" s="34">
        <v>0</v>
      </c>
      <c r="AR78" s="52">
        <v>0</v>
      </c>
      <c r="AS78" s="34">
        <v>0</v>
      </c>
      <c r="AT78" s="34">
        <v>0</v>
      </c>
      <c r="AU78" s="52">
        <v>0</v>
      </c>
      <c r="AV78" s="34">
        <v>0</v>
      </c>
      <c r="AW78" s="34">
        <v>0</v>
      </c>
      <c r="AX78" s="46">
        <v>0</v>
      </c>
      <c r="AY78" s="34">
        <f t="shared" si="52"/>
        <v>317.05502105599999</v>
      </c>
      <c r="AZ78" s="34">
        <f t="shared" si="53"/>
        <v>263.39754982399995</v>
      </c>
      <c r="BA78" s="52">
        <f t="shared" si="54"/>
        <v>239.55618580479992</v>
      </c>
      <c r="BB78" s="34">
        <f t="shared" si="55"/>
        <v>241.05502105599999</v>
      </c>
      <c r="BC78" s="34">
        <f t="shared" si="56"/>
        <v>243.39754982399995</v>
      </c>
      <c r="BD78" s="52">
        <f t="shared" si="57"/>
        <v>239.55618580479992</v>
      </c>
      <c r="BE78" s="34">
        <f t="shared" si="58"/>
        <v>241.05502105599999</v>
      </c>
      <c r="BF78" s="34">
        <f t="shared" si="59"/>
        <v>243.39754982399995</v>
      </c>
      <c r="BG78" s="52">
        <f t="shared" si="60"/>
        <v>239.55618580479992</v>
      </c>
      <c r="BH78" s="34">
        <f t="shared" si="61"/>
        <v>337.05502105599999</v>
      </c>
      <c r="BI78" s="34">
        <f t="shared" si="62"/>
        <v>273.39754982399995</v>
      </c>
      <c r="BJ78" s="34">
        <f t="shared" si="63"/>
        <v>259.55618580479995</v>
      </c>
      <c r="BK78" s="57">
        <f t="shared" si="64"/>
        <v>3138.0350267391996</v>
      </c>
      <c r="BL78" s="34">
        <f t="shared" si="65"/>
        <v>820.00875668479989</v>
      </c>
      <c r="BM78" s="34">
        <f t="shared" si="66"/>
        <v>724.00875668479989</v>
      </c>
      <c r="BN78" s="34">
        <f t="shared" si="67"/>
        <v>724.00875668479989</v>
      </c>
      <c r="BO78" s="46">
        <f t="shared" si="68"/>
        <v>870.00875668479989</v>
      </c>
      <c r="BP78" s="65">
        <f t="shared" si="69"/>
        <v>241.05502105599999</v>
      </c>
      <c r="BQ78" s="65">
        <f t="shared" si="70"/>
        <v>243.39754982399995</v>
      </c>
      <c r="BR78" s="66">
        <f t="shared" si="71"/>
        <v>239.55618580479992</v>
      </c>
      <c r="BS78" s="34">
        <v>120</v>
      </c>
      <c r="BT78" s="34">
        <v>115</v>
      </c>
      <c r="BU78" s="52">
        <v>114</v>
      </c>
      <c r="BV78" s="58">
        <f t="shared" si="72"/>
        <v>1655.2751052799999</v>
      </c>
      <c r="BW78" s="58">
        <f t="shared" si="73"/>
        <v>1666.9877491199998</v>
      </c>
      <c r="BX78" s="59">
        <f t="shared" si="74"/>
        <v>1647.7809290239995</v>
      </c>
      <c r="BY78" s="44">
        <v>8.8000000000000007</v>
      </c>
      <c r="BZ78" s="44">
        <v>8.9499999999999993</v>
      </c>
      <c r="CA78" s="53">
        <v>8.7899999999999991</v>
      </c>
      <c r="CB78" s="58">
        <f t="shared" si="75"/>
        <v>21.897215999999997</v>
      </c>
      <c r="CC78" s="58">
        <f t="shared" si="76"/>
        <v>22.270463999999993</v>
      </c>
      <c r="CD78" s="59">
        <f t="shared" si="77"/>
        <v>21.872332799999992</v>
      </c>
    </row>
    <row r="79" spans="1:82" ht="13.5" customHeight="1" x14ac:dyDescent="0.25">
      <c r="A79" s="36" t="s">
        <v>467</v>
      </c>
      <c r="B79" s="71" t="s">
        <v>164</v>
      </c>
      <c r="C79" s="34">
        <v>0</v>
      </c>
      <c r="D79" s="34">
        <v>0</v>
      </c>
      <c r="E79" s="52">
        <v>0</v>
      </c>
      <c r="F79" s="34">
        <v>0</v>
      </c>
      <c r="G79" s="34">
        <v>0</v>
      </c>
      <c r="H79" s="52">
        <v>0</v>
      </c>
      <c r="I79" s="34">
        <v>40</v>
      </c>
      <c r="J79" s="34">
        <v>0</v>
      </c>
      <c r="K79" s="52">
        <v>0</v>
      </c>
      <c r="L79" s="34">
        <v>0</v>
      </c>
      <c r="M79" s="34">
        <v>0</v>
      </c>
      <c r="N79" s="46">
        <v>0</v>
      </c>
      <c r="O79" s="34">
        <v>0</v>
      </c>
      <c r="P79" s="34">
        <v>0</v>
      </c>
      <c r="Q79" s="52">
        <v>0</v>
      </c>
      <c r="R79" s="34">
        <v>0</v>
      </c>
      <c r="S79" s="34">
        <v>0</v>
      </c>
      <c r="T79" s="52">
        <v>0</v>
      </c>
      <c r="U79" s="34">
        <v>65</v>
      </c>
      <c r="V79" s="34">
        <v>20</v>
      </c>
      <c r="W79" s="52">
        <v>30</v>
      </c>
      <c r="X79" s="34">
        <v>0</v>
      </c>
      <c r="Y79" s="34">
        <v>0</v>
      </c>
      <c r="Z79" s="46">
        <v>0</v>
      </c>
      <c r="AA79" s="34">
        <v>0</v>
      </c>
      <c r="AB79" s="34">
        <v>0</v>
      </c>
      <c r="AC79" s="52">
        <v>0</v>
      </c>
      <c r="AD79" s="34">
        <v>0</v>
      </c>
      <c r="AE79" s="34">
        <v>0</v>
      </c>
      <c r="AF79" s="52">
        <v>0</v>
      </c>
      <c r="AG79" s="34">
        <v>76</v>
      </c>
      <c r="AH79" s="34">
        <v>10</v>
      </c>
      <c r="AI79" s="52">
        <v>20</v>
      </c>
      <c r="AJ79" s="34">
        <v>10</v>
      </c>
      <c r="AK79" s="34">
        <v>0</v>
      </c>
      <c r="AL79" s="46">
        <v>0</v>
      </c>
      <c r="AM79" s="34">
        <v>0</v>
      </c>
      <c r="AN79" s="34">
        <v>0</v>
      </c>
      <c r="AO79" s="52">
        <v>0</v>
      </c>
      <c r="AP79" s="34">
        <v>0</v>
      </c>
      <c r="AQ79" s="34">
        <v>0</v>
      </c>
      <c r="AR79" s="52">
        <v>0</v>
      </c>
      <c r="AS79" s="34">
        <v>0</v>
      </c>
      <c r="AT79" s="34">
        <v>0</v>
      </c>
      <c r="AU79" s="52">
        <v>0</v>
      </c>
      <c r="AV79" s="34">
        <v>0</v>
      </c>
      <c r="AW79" s="34">
        <v>0</v>
      </c>
      <c r="AX79" s="46">
        <v>0</v>
      </c>
      <c r="AY79" s="34">
        <f t="shared" si="52"/>
        <v>232.99279877119997</v>
      </c>
      <c r="AZ79" s="34">
        <f t="shared" si="53"/>
        <v>239.73851530239995</v>
      </c>
      <c r="BA79" s="52">
        <f t="shared" si="54"/>
        <v>244.57623183359999</v>
      </c>
      <c r="BB79" s="34">
        <f t="shared" si="55"/>
        <v>232.99279877119997</v>
      </c>
      <c r="BC79" s="34">
        <f t="shared" si="56"/>
        <v>239.73851530239995</v>
      </c>
      <c r="BD79" s="52">
        <f t="shared" si="57"/>
        <v>244.57623183359999</v>
      </c>
      <c r="BE79" s="34">
        <f t="shared" si="58"/>
        <v>373.9927987712</v>
      </c>
      <c r="BF79" s="34">
        <f t="shared" si="59"/>
        <v>269.73851530239995</v>
      </c>
      <c r="BG79" s="52">
        <f t="shared" si="60"/>
        <v>294.57623183359999</v>
      </c>
      <c r="BH79" s="34">
        <f t="shared" si="61"/>
        <v>242.99279877119997</v>
      </c>
      <c r="BI79" s="34">
        <f t="shared" si="62"/>
        <v>239.73851530239995</v>
      </c>
      <c r="BJ79" s="34">
        <f t="shared" si="63"/>
        <v>244.57623183359999</v>
      </c>
      <c r="BK79" s="57">
        <f t="shared" si="64"/>
        <v>3100.2301836287998</v>
      </c>
      <c r="BL79" s="34">
        <f t="shared" si="65"/>
        <v>717.30754590719994</v>
      </c>
      <c r="BM79" s="34">
        <f t="shared" si="66"/>
        <v>717.30754590719994</v>
      </c>
      <c r="BN79" s="34">
        <f t="shared" si="67"/>
        <v>938.30754590719994</v>
      </c>
      <c r="BO79" s="46">
        <f t="shared" si="68"/>
        <v>727.30754590719994</v>
      </c>
      <c r="BP79" s="65">
        <f t="shared" si="69"/>
        <v>232.99279877119997</v>
      </c>
      <c r="BQ79" s="65">
        <f t="shared" si="70"/>
        <v>239.73851530239995</v>
      </c>
      <c r="BR79" s="66">
        <f t="shared" si="71"/>
        <v>244.57623183359999</v>
      </c>
      <c r="BS79" s="34">
        <v>113</v>
      </c>
      <c r="BT79" s="34">
        <v>117</v>
      </c>
      <c r="BU79" s="52">
        <v>112</v>
      </c>
      <c r="BV79" s="58">
        <f t="shared" si="72"/>
        <v>1614.9639938559999</v>
      </c>
      <c r="BW79" s="58">
        <f t="shared" si="73"/>
        <v>1648.6925765119997</v>
      </c>
      <c r="BX79" s="59">
        <f t="shared" si="74"/>
        <v>1672.8811591679998</v>
      </c>
      <c r="BY79" s="44">
        <v>8.51</v>
      </c>
      <c r="BZ79" s="44">
        <v>8.77</v>
      </c>
      <c r="CA79" s="53">
        <v>9.0299999999999994</v>
      </c>
      <c r="CB79" s="58">
        <f t="shared" si="75"/>
        <v>21.175603199999998</v>
      </c>
      <c r="CC79" s="58">
        <f t="shared" si="76"/>
        <v>21.822566399999992</v>
      </c>
      <c r="CD79" s="59">
        <f t="shared" si="77"/>
        <v>22.469529599999994</v>
      </c>
    </row>
    <row r="80" spans="1:82" ht="13.5" customHeight="1" x14ac:dyDescent="0.25">
      <c r="A80" s="36" t="s">
        <v>468</v>
      </c>
      <c r="B80" s="68" t="s">
        <v>133</v>
      </c>
      <c r="C80" s="34">
        <v>25</v>
      </c>
      <c r="D80" s="34">
        <v>0</v>
      </c>
      <c r="E80" s="52">
        <v>0</v>
      </c>
      <c r="F80" s="34">
        <v>0</v>
      </c>
      <c r="G80" s="34">
        <v>0</v>
      </c>
      <c r="H80" s="52">
        <v>0</v>
      </c>
      <c r="I80" s="34">
        <v>0</v>
      </c>
      <c r="J80" s="34">
        <v>0</v>
      </c>
      <c r="K80" s="52">
        <v>0</v>
      </c>
      <c r="L80" s="34">
        <v>0</v>
      </c>
      <c r="M80" s="34">
        <v>0</v>
      </c>
      <c r="N80" s="46">
        <v>0</v>
      </c>
      <c r="O80" s="34">
        <v>45</v>
      </c>
      <c r="P80" s="34">
        <v>15</v>
      </c>
      <c r="Q80" s="52">
        <v>15</v>
      </c>
      <c r="R80" s="34">
        <v>0</v>
      </c>
      <c r="S80" s="34">
        <v>15</v>
      </c>
      <c r="T80" s="52">
        <v>15</v>
      </c>
      <c r="U80" s="34">
        <v>0</v>
      </c>
      <c r="V80" s="34">
        <v>0</v>
      </c>
      <c r="W80" s="52">
        <v>0</v>
      </c>
      <c r="X80" s="34">
        <v>0</v>
      </c>
      <c r="Y80" s="34">
        <v>0</v>
      </c>
      <c r="Z80" s="46">
        <v>0</v>
      </c>
      <c r="AA80" s="34">
        <v>30</v>
      </c>
      <c r="AB80" s="34">
        <v>20</v>
      </c>
      <c r="AC80" s="52">
        <v>30</v>
      </c>
      <c r="AD80" s="34">
        <v>10</v>
      </c>
      <c r="AE80" s="34">
        <v>10</v>
      </c>
      <c r="AF80" s="52">
        <v>10</v>
      </c>
      <c r="AG80" s="34">
        <v>0</v>
      </c>
      <c r="AH80" s="34">
        <v>0</v>
      </c>
      <c r="AI80" s="52">
        <v>0</v>
      </c>
      <c r="AJ80" s="34">
        <v>0</v>
      </c>
      <c r="AK80" s="34">
        <v>0</v>
      </c>
      <c r="AL80" s="46">
        <v>0</v>
      </c>
      <c r="AM80" s="34">
        <v>0</v>
      </c>
      <c r="AN80" s="34">
        <v>0</v>
      </c>
      <c r="AO80" s="52">
        <v>0</v>
      </c>
      <c r="AP80" s="34">
        <v>0</v>
      </c>
      <c r="AQ80" s="34">
        <v>0</v>
      </c>
      <c r="AR80" s="52">
        <v>0</v>
      </c>
      <c r="AS80" s="34">
        <v>0</v>
      </c>
      <c r="AT80" s="34">
        <v>0</v>
      </c>
      <c r="AU80" s="52">
        <v>0</v>
      </c>
      <c r="AV80" s="34">
        <v>0</v>
      </c>
      <c r="AW80" s="34">
        <v>0</v>
      </c>
      <c r="AX80" s="46">
        <v>0</v>
      </c>
      <c r="AY80" s="34">
        <f t="shared" si="52"/>
        <v>314.17669155839997</v>
      </c>
      <c r="AZ80" s="34">
        <f t="shared" si="53"/>
        <v>271.01583329279993</v>
      </c>
      <c r="BA80" s="52">
        <f t="shared" si="54"/>
        <v>289.57623183359999</v>
      </c>
      <c r="BB80" s="34">
        <f t="shared" si="55"/>
        <v>249.17669155839999</v>
      </c>
      <c r="BC80" s="34">
        <f t="shared" si="56"/>
        <v>261.01583329279993</v>
      </c>
      <c r="BD80" s="52">
        <f t="shared" si="57"/>
        <v>269.57623183359999</v>
      </c>
      <c r="BE80" s="34">
        <f t="shared" si="58"/>
        <v>239.17669155839999</v>
      </c>
      <c r="BF80" s="34">
        <f t="shared" si="59"/>
        <v>236.01583329279993</v>
      </c>
      <c r="BG80" s="52">
        <f t="shared" si="60"/>
        <v>244.57623183359999</v>
      </c>
      <c r="BH80" s="34">
        <f t="shared" si="61"/>
        <v>239.17669155839999</v>
      </c>
      <c r="BI80" s="34">
        <f t="shared" si="62"/>
        <v>236.01583329279993</v>
      </c>
      <c r="BJ80" s="34">
        <f t="shared" si="63"/>
        <v>244.57623183359999</v>
      </c>
      <c r="BK80" s="57">
        <f t="shared" si="64"/>
        <v>3094.0750267391995</v>
      </c>
      <c r="BL80" s="34">
        <f t="shared" si="65"/>
        <v>874.76875668479988</v>
      </c>
      <c r="BM80" s="34">
        <f t="shared" si="66"/>
        <v>779.76875668479988</v>
      </c>
      <c r="BN80" s="34">
        <f t="shared" si="67"/>
        <v>719.76875668479988</v>
      </c>
      <c r="BO80" s="46">
        <f t="shared" si="68"/>
        <v>719.76875668479988</v>
      </c>
      <c r="BP80" s="65">
        <f t="shared" si="69"/>
        <v>239.17669155839999</v>
      </c>
      <c r="BQ80" s="65">
        <f t="shared" si="70"/>
        <v>236.01583329279993</v>
      </c>
      <c r="BR80" s="66">
        <f t="shared" si="71"/>
        <v>244.57623183359999</v>
      </c>
      <c r="BS80" s="34">
        <v>109</v>
      </c>
      <c r="BT80" s="34">
        <v>108</v>
      </c>
      <c r="BU80" s="52">
        <v>112</v>
      </c>
      <c r="BV80" s="58">
        <f t="shared" si="72"/>
        <v>1645.8834577919999</v>
      </c>
      <c r="BW80" s="58">
        <f t="shared" si="73"/>
        <v>1630.0791664639996</v>
      </c>
      <c r="BX80" s="59">
        <f t="shared" si="74"/>
        <v>1672.8811591679998</v>
      </c>
      <c r="BY80" s="44">
        <v>8.82</v>
      </c>
      <c r="BZ80" s="44">
        <v>8.69</v>
      </c>
      <c r="CA80" s="53">
        <v>9.0299999999999994</v>
      </c>
      <c r="CB80" s="58">
        <f t="shared" si="75"/>
        <v>21.946982399999996</v>
      </c>
      <c r="CC80" s="58">
        <f t="shared" si="76"/>
        <v>21.623500799999992</v>
      </c>
      <c r="CD80" s="59">
        <f t="shared" si="77"/>
        <v>22.469529599999994</v>
      </c>
    </row>
    <row r="81" spans="1:82" ht="13.5" customHeight="1" x14ac:dyDescent="0.25">
      <c r="A81" s="36" t="s">
        <v>469</v>
      </c>
      <c r="B81" s="68" t="s">
        <v>96</v>
      </c>
      <c r="C81" s="34">
        <v>0</v>
      </c>
      <c r="D81" s="34">
        <v>0</v>
      </c>
      <c r="E81" s="52">
        <v>0</v>
      </c>
      <c r="F81" s="34">
        <v>15</v>
      </c>
      <c r="G81" s="34">
        <v>15</v>
      </c>
      <c r="H81" s="52">
        <v>20</v>
      </c>
      <c r="I81" s="34">
        <v>0</v>
      </c>
      <c r="J81" s="34">
        <v>0</v>
      </c>
      <c r="K81" s="52">
        <v>0</v>
      </c>
      <c r="L81" s="34">
        <v>0</v>
      </c>
      <c r="M81" s="34">
        <v>0</v>
      </c>
      <c r="N81" s="46">
        <v>0</v>
      </c>
      <c r="O81" s="34">
        <v>0</v>
      </c>
      <c r="P81" s="34">
        <v>0</v>
      </c>
      <c r="Q81" s="52">
        <v>0</v>
      </c>
      <c r="R81" s="34">
        <v>45</v>
      </c>
      <c r="S81" s="34">
        <v>40</v>
      </c>
      <c r="T81" s="52">
        <v>45</v>
      </c>
      <c r="U81" s="34">
        <v>0</v>
      </c>
      <c r="V81" s="34">
        <v>0</v>
      </c>
      <c r="W81" s="52">
        <v>0</v>
      </c>
      <c r="X81" s="34">
        <v>0</v>
      </c>
      <c r="Y81" s="34">
        <v>0</v>
      </c>
      <c r="Z81" s="46">
        <v>0</v>
      </c>
      <c r="AA81" s="34">
        <v>10</v>
      </c>
      <c r="AB81" s="34">
        <v>0</v>
      </c>
      <c r="AC81" s="52">
        <v>0</v>
      </c>
      <c r="AD81" s="34">
        <v>46</v>
      </c>
      <c r="AE81" s="34">
        <v>10</v>
      </c>
      <c r="AF81" s="52">
        <v>36</v>
      </c>
      <c r="AG81" s="34">
        <v>0</v>
      </c>
      <c r="AH81" s="34">
        <v>0</v>
      </c>
      <c r="AI81" s="52">
        <v>0</v>
      </c>
      <c r="AJ81" s="34">
        <v>0</v>
      </c>
      <c r="AK81" s="34">
        <v>0</v>
      </c>
      <c r="AL81" s="46">
        <v>0</v>
      </c>
      <c r="AM81" s="34">
        <v>0</v>
      </c>
      <c r="AN81" s="34">
        <v>0</v>
      </c>
      <c r="AO81" s="52">
        <v>0</v>
      </c>
      <c r="AP81" s="34">
        <v>0</v>
      </c>
      <c r="AQ81" s="34">
        <v>0</v>
      </c>
      <c r="AR81" s="52">
        <v>0</v>
      </c>
      <c r="AS81" s="34">
        <v>0</v>
      </c>
      <c r="AT81" s="34">
        <v>0</v>
      </c>
      <c r="AU81" s="52">
        <v>0</v>
      </c>
      <c r="AV81" s="34">
        <v>0</v>
      </c>
      <c r="AW81" s="34">
        <v>0</v>
      </c>
      <c r="AX81" s="46">
        <v>0</v>
      </c>
      <c r="AY81" s="34">
        <f t="shared" si="52"/>
        <v>227.17367219200003</v>
      </c>
      <c r="AZ81" s="34">
        <f t="shared" si="53"/>
        <v>246.72590233599999</v>
      </c>
      <c r="BA81" s="52">
        <f t="shared" si="54"/>
        <v>250.38493685759997</v>
      </c>
      <c r="BB81" s="34">
        <f t="shared" si="55"/>
        <v>308.17367219200003</v>
      </c>
      <c r="BC81" s="34">
        <f t="shared" si="56"/>
        <v>296.72590233599999</v>
      </c>
      <c r="BD81" s="52">
        <f t="shared" si="57"/>
        <v>331.3849368576</v>
      </c>
      <c r="BE81" s="34">
        <f t="shared" si="58"/>
        <v>217.17367219200003</v>
      </c>
      <c r="BF81" s="34">
        <f t="shared" si="59"/>
        <v>246.72590233599999</v>
      </c>
      <c r="BG81" s="52">
        <f t="shared" si="60"/>
        <v>250.38493685759997</v>
      </c>
      <c r="BH81" s="34">
        <f t="shared" si="61"/>
        <v>217.17367219200003</v>
      </c>
      <c r="BI81" s="34">
        <f t="shared" si="62"/>
        <v>246.72590233599999</v>
      </c>
      <c r="BJ81" s="34">
        <f t="shared" si="63"/>
        <v>250.38493685759997</v>
      </c>
      <c r="BK81" s="57">
        <f t="shared" si="64"/>
        <v>3089.1380455424001</v>
      </c>
      <c r="BL81" s="34">
        <f t="shared" si="65"/>
        <v>724.28451138560001</v>
      </c>
      <c r="BM81" s="34">
        <f t="shared" si="66"/>
        <v>936.28451138560001</v>
      </c>
      <c r="BN81" s="34">
        <f t="shared" si="67"/>
        <v>714.28451138560001</v>
      </c>
      <c r="BO81" s="46">
        <f t="shared" si="68"/>
        <v>714.28451138560001</v>
      </c>
      <c r="BP81" s="65">
        <f t="shared" si="69"/>
        <v>217.17367219200003</v>
      </c>
      <c r="BQ81" s="65">
        <f t="shared" si="70"/>
        <v>246.72590233599999</v>
      </c>
      <c r="BR81" s="66">
        <f t="shared" si="71"/>
        <v>250.38493685759997</v>
      </c>
      <c r="BS81" s="34">
        <v>109</v>
      </c>
      <c r="BT81" s="34">
        <v>120</v>
      </c>
      <c r="BU81" s="52">
        <v>118</v>
      </c>
      <c r="BV81" s="58">
        <f t="shared" si="72"/>
        <v>1535.86836096</v>
      </c>
      <c r="BW81" s="58">
        <f t="shared" si="73"/>
        <v>1683.62951168</v>
      </c>
      <c r="BX81" s="59">
        <f t="shared" si="74"/>
        <v>1701.9246842879998</v>
      </c>
      <c r="BY81" s="44">
        <v>7.85</v>
      </c>
      <c r="BZ81" s="44">
        <v>9.0500000000000007</v>
      </c>
      <c r="CA81" s="53">
        <v>9.23</v>
      </c>
      <c r="CB81" s="58">
        <f t="shared" si="75"/>
        <v>19.533311999999999</v>
      </c>
      <c r="CC81" s="58">
        <f t="shared" si="76"/>
        <v>22.519295999999997</v>
      </c>
      <c r="CD81" s="59">
        <f t="shared" si="77"/>
        <v>22.967193599999998</v>
      </c>
    </row>
    <row r="82" spans="1:82" ht="13.5" customHeight="1" x14ac:dyDescent="0.25">
      <c r="A82" s="36" t="s">
        <v>470</v>
      </c>
      <c r="B82" s="68" t="s">
        <v>295</v>
      </c>
      <c r="C82" s="34">
        <v>20</v>
      </c>
      <c r="D82" s="34">
        <v>0</v>
      </c>
      <c r="E82" s="52">
        <v>0</v>
      </c>
      <c r="F82" s="34">
        <v>20</v>
      </c>
      <c r="G82" s="34">
        <v>0</v>
      </c>
      <c r="H82" s="52">
        <v>0</v>
      </c>
      <c r="I82" s="34">
        <v>0</v>
      </c>
      <c r="J82" s="34">
        <v>0</v>
      </c>
      <c r="K82" s="52">
        <v>0</v>
      </c>
      <c r="L82" s="34">
        <v>0</v>
      </c>
      <c r="M82" s="34">
        <v>0</v>
      </c>
      <c r="N82" s="46">
        <v>0</v>
      </c>
      <c r="O82" s="34">
        <v>40</v>
      </c>
      <c r="P82" s="34">
        <v>30</v>
      </c>
      <c r="Q82" s="52">
        <v>0</v>
      </c>
      <c r="R82" s="34">
        <v>40</v>
      </c>
      <c r="S82" s="34">
        <v>30</v>
      </c>
      <c r="T82" s="52">
        <v>0</v>
      </c>
      <c r="U82" s="34">
        <v>0</v>
      </c>
      <c r="V82" s="34">
        <v>0</v>
      </c>
      <c r="W82" s="52">
        <v>0</v>
      </c>
      <c r="X82" s="34">
        <v>0</v>
      </c>
      <c r="Y82" s="34">
        <v>0</v>
      </c>
      <c r="Z82" s="46">
        <v>0</v>
      </c>
      <c r="AA82" s="34">
        <v>42</v>
      </c>
      <c r="AB82" s="34">
        <v>0</v>
      </c>
      <c r="AC82" s="52">
        <v>20</v>
      </c>
      <c r="AD82" s="34">
        <v>32</v>
      </c>
      <c r="AE82" s="34">
        <v>0</v>
      </c>
      <c r="AF82" s="52">
        <v>10</v>
      </c>
      <c r="AG82" s="34">
        <v>6</v>
      </c>
      <c r="AH82" s="34">
        <v>0</v>
      </c>
      <c r="AI82" s="52">
        <v>0</v>
      </c>
      <c r="AJ82" s="34">
        <v>6</v>
      </c>
      <c r="AK82" s="34">
        <v>0</v>
      </c>
      <c r="AL82" s="46">
        <v>0</v>
      </c>
      <c r="AM82" s="34">
        <v>0</v>
      </c>
      <c r="AN82" s="34">
        <v>0</v>
      </c>
      <c r="AO82" s="52">
        <v>0</v>
      </c>
      <c r="AP82" s="34">
        <v>0</v>
      </c>
      <c r="AQ82" s="34">
        <v>0</v>
      </c>
      <c r="AR82" s="52">
        <v>0</v>
      </c>
      <c r="AS82" s="34">
        <v>0</v>
      </c>
      <c r="AT82" s="34">
        <v>0</v>
      </c>
      <c r="AU82" s="52">
        <v>0</v>
      </c>
      <c r="AV82" s="34">
        <v>0</v>
      </c>
      <c r="AW82" s="34">
        <v>0</v>
      </c>
      <c r="AX82" s="46">
        <v>0</v>
      </c>
      <c r="AY82" s="34">
        <f t="shared" si="52"/>
        <v>311.57543475199998</v>
      </c>
      <c r="AZ82" s="34">
        <f t="shared" si="53"/>
        <v>260.72444625920002</v>
      </c>
      <c r="BA82" s="52">
        <f t="shared" si="54"/>
        <v>265.11891384319995</v>
      </c>
      <c r="BB82" s="34">
        <f t="shared" si="55"/>
        <v>301.57543475199998</v>
      </c>
      <c r="BC82" s="34">
        <f t="shared" si="56"/>
        <v>260.72444625920002</v>
      </c>
      <c r="BD82" s="52">
        <f t="shared" si="57"/>
        <v>255.11891384319998</v>
      </c>
      <c r="BE82" s="34">
        <f t="shared" si="58"/>
        <v>235.57543475199995</v>
      </c>
      <c r="BF82" s="34">
        <f t="shared" si="59"/>
        <v>230.72444625920002</v>
      </c>
      <c r="BG82" s="52">
        <f t="shared" si="60"/>
        <v>245.11891384319998</v>
      </c>
      <c r="BH82" s="34">
        <f t="shared" si="61"/>
        <v>235.57543475199995</v>
      </c>
      <c r="BI82" s="34">
        <f t="shared" si="62"/>
        <v>230.72444625920002</v>
      </c>
      <c r="BJ82" s="34">
        <f t="shared" si="63"/>
        <v>245.11891384319998</v>
      </c>
      <c r="BK82" s="57">
        <f t="shared" si="64"/>
        <v>3077.6751794175998</v>
      </c>
      <c r="BL82" s="34">
        <f t="shared" si="65"/>
        <v>837.41879485439995</v>
      </c>
      <c r="BM82" s="34">
        <f t="shared" si="66"/>
        <v>817.41879485439995</v>
      </c>
      <c r="BN82" s="34">
        <f t="shared" si="67"/>
        <v>711.41879485439995</v>
      </c>
      <c r="BO82" s="46">
        <f t="shared" si="68"/>
        <v>711.41879485439995</v>
      </c>
      <c r="BP82" s="65">
        <f t="shared" si="69"/>
        <v>229.57543475199995</v>
      </c>
      <c r="BQ82" s="65">
        <f t="shared" si="70"/>
        <v>230.72444625920002</v>
      </c>
      <c r="BR82" s="66">
        <f t="shared" si="71"/>
        <v>245.11891384319998</v>
      </c>
      <c r="BS82" s="34">
        <v>114</v>
      </c>
      <c r="BT82" s="34">
        <v>113</v>
      </c>
      <c r="BU82" s="52">
        <v>106</v>
      </c>
      <c r="BV82" s="58">
        <f t="shared" si="72"/>
        <v>1597.8771737599998</v>
      </c>
      <c r="BW82" s="58">
        <f t="shared" si="73"/>
        <v>1603.6222312960001</v>
      </c>
      <c r="BX82" s="59">
        <f t="shared" si="74"/>
        <v>1675.5945692159999</v>
      </c>
      <c r="BY82" s="44">
        <v>8.35</v>
      </c>
      <c r="BZ82" s="44">
        <v>8.41</v>
      </c>
      <c r="CA82" s="53">
        <v>9.11</v>
      </c>
      <c r="CB82" s="58">
        <f t="shared" si="75"/>
        <v>20.777471999999996</v>
      </c>
      <c r="CC82" s="58">
        <f t="shared" si="76"/>
        <v>20.926771200000001</v>
      </c>
      <c r="CD82" s="59">
        <f t="shared" si="77"/>
        <v>22.668595199999995</v>
      </c>
    </row>
    <row r="83" spans="1:82" ht="13.5" customHeight="1" x14ac:dyDescent="0.25">
      <c r="A83" s="36" t="s">
        <v>471</v>
      </c>
      <c r="B83" s="68" t="s">
        <v>191</v>
      </c>
      <c r="C83" s="34">
        <v>0</v>
      </c>
      <c r="D83" s="34">
        <v>0</v>
      </c>
      <c r="E83" s="52">
        <v>0</v>
      </c>
      <c r="F83" s="34">
        <v>0</v>
      </c>
      <c r="G83" s="34">
        <v>0</v>
      </c>
      <c r="H83" s="52">
        <v>0</v>
      </c>
      <c r="I83" s="34">
        <v>20</v>
      </c>
      <c r="J83" s="34">
        <v>0</v>
      </c>
      <c r="K83" s="52">
        <v>0</v>
      </c>
      <c r="L83" s="34">
        <v>20</v>
      </c>
      <c r="M83" s="34">
        <v>0</v>
      </c>
      <c r="N83" s="46">
        <v>0</v>
      </c>
      <c r="O83" s="34">
        <v>0</v>
      </c>
      <c r="P83" s="34">
        <v>0</v>
      </c>
      <c r="Q83" s="52">
        <v>0</v>
      </c>
      <c r="R83" s="34">
        <v>0</v>
      </c>
      <c r="S83" s="34">
        <v>0</v>
      </c>
      <c r="T83" s="52">
        <v>0</v>
      </c>
      <c r="U83" s="34">
        <v>30</v>
      </c>
      <c r="V83" s="34">
        <v>15</v>
      </c>
      <c r="W83" s="52">
        <v>20</v>
      </c>
      <c r="X83" s="34">
        <v>30</v>
      </c>
      <c r="Y83" s="34">
        <v>15</v>
      </c>
      <c r="Z83" s="46">
        <v>20</v>
      </c>
      <c r="AA83" s="34">
        <v>0</v>
      </c>
      <c r="AB83" s="34">
        <v>0</v>
      </c>
      <c r="AC83" s="52">
        <v>0</v>
      </c>
      <c r="AD83" s="34">
        <v>0</v>
      </c>
      <c r="AE83" s="34">
        <v>0</v>
      </c>
      <c r="AF83" s="52">
        <v>0</v>
      </c>
      <c r="AG83" s="34">
        <v>36</v>
      </c>
      <c r="AH83" s="34">
        <v>30</v>
      </c>
      <c r="AI83" s="52">
        <v>10</v>
      </c>
      <c r="AJ83" s="34">
        <v>16</v>
      </c>
      <c r="AK83" s="34">
        <v>10</v>
      </c>
      <c r="AL83" s="46">
        <v>0</v>
      </c>
      <c r="AM83" s="34">
        <v>0</v>
      </c>
      <c r="AN83" s="34">
        <v>0</v>
      </c>
      <c r="AO83" s="52">
        <v>0</v>
      </c>
      <c r="AP83" s="34">
        <v>0</v>
      </c>
      <c r="AQ83" s="34">
        <v>0</v>
      </c>
      <c r="AR83" s="52">
        <v>0</v>
      </c>
      <c r="AS83" s="34">
        <v>0</v>
      </c>
      <c r="AT83" s="34">
        <v>0</v>
      </c>
      <c r="AU83" s="52">
        <v>0</v>
      </c>
      <c r="AV83" s="34">
        <v>0</v>
      </c>
      <c r="AW83" s="34">
        <v>0</v>
      </c>
      <c r="AX83" s="46">
        <v>0</v>
      </c>
      <c r="AY83" s="34">
        <f t="shared" si="52"/>
        <v>231.87345776640001</v>
      </c>
      <c r="AZ83" s="34">
        <f t="shared" si="53"/>
        <v>230.79862251519998</v>
      </c>
      <c r="BA83" s="52">
        <f t="shared" si="54"/>
        <v>246.42058434559999</v>
      </c>
      <c r="BB83" s="34">
        <f t="shared" si="55"/>
        <v>231.87345776640001</v>
      </c>
      <c r="BC83" s="34">
        <f t="shared" si="56"/>
        <v>230.79862251519998</v>
      </c>
      <c r="BD83" s="52">
        <f t="shared" si="57"/>
        <v>246.42058434559999</v>
      </c>
      <c r="BE83" s="34">
        <f t="shared" si="58"/>
        <v>297.87345776640001</v>
      </c>
      <c r="BF83" s="34">
        <f t="shared" si="59"/>
        <v>275.79862251520001</v>
      </c>
      <c r="BG83" s="52">
        <f t="shared" si="60"/>
        <v>276.42058434559999</v>
      </c>
      <c r="BH83" s="34">
        <f t="shared" si="61"/>
        <v>277.87345776640001</v>
      </c>
      <c r="BI83" s="34">
        <f t="shared" si="62"/>
        <v>255.79862251519998</v>
      </c>
      <c r="BJ83" s="34">
        <f t="shared" si="63"/>
        <v>266.42058434559999</v>
      </c>
      <c r="BK83" s="57">
        <f t="shared" si="64"/>
        <v>3068.3706585088003</v>
      </c>
      <c r="BL83" s="34">
        <f t="shared" si="65"/>
        <v>709.09266462719995</v>
      </c>
      <c r="BM83" s="34">
        <f t="shared" si="66"/>
        <v>709.09266462719995</v>
      </c>
      <c r="BN83" s="34">
        <f t="shared" si="67"/>
        <v>850.09266462720007</v>
      </c>
      <c r="BO83" s="46">
        <f t="shared" si="68"/>
        <v>800.09266462719995</v>
      </c>
      <c r="BP83" s="65">
        <f t="shared" si="69"/>
        <v>231.87345776640001</v>
      </c>
      <c r="BQ83" s="65">
        <f t="shared" si="70"/>
        <v>230.79862251519998</v>
      </c>
      <c r="BR83" s="66">
        <f t="shared" si="71"/>
        <v>246.42058434559999</v>
      </c>
      <c r="BS83" s="34">
        <v>112</v>
      </c>
      <c r="BT83" s="34">
        <v>108</v>
      </c>
      <c r="BU83" s="52">
        <v>110</v>
      </c>
      <c r="BV83" s="58">
        <f t="shared" si="72"/>
        <v>1609.367288832</v>
      </c>
      <c r="BW83" s="58">
        <f t="shared" si="73"/>
        <v>1603.9931125759999</v>
      </c>
      <c r="BX83" s="59">
        <f t="shared" si="74"/>
        <v>1682.102921728</v>
      </c>
      <c r="BY83" s="44">
        <v>8.4700000000000006</v>
      </c>
      <c r="BZ83" s="44">
        <v>8.4600000000000009</v>
      </c>
      <c r="CA83" s="53">
        <v>9.1300000000000008</v>
      </c>
      <c r="CB83" s="58">
        <f t="shared" si="75"/>
        <v>21.076070399999995</v>
      </c>
      <c r="CC83" s="58">
        <f t="shared" si="76"/>
        <v>21.051187200000001</v>
      </c>
      <c r="CD83" s="59">
        <f t="shared" si="77"/>
        <v>22.718361600000001</v>
      </c>
    </row>
    <row r="84" spans="1:82" ht="13.5" customHeight="1" x14ac:dyDescent="0.25">
      <c r="A84" s="36" t="s">
        <v>472</v>
      </c>
      <c r="B84" s="71" t="s">
        <v>303</v>
      </c>
      <c r="C84" s="34">
        <v>0</v>
      </c>
      <c r="D84" s="34">
        <v>0</v>
      </c>
      <c r="E84" s="52">
        <v>0</v>
      </c>
      <c r="F84" s="34">
        <v>0</v>
      </c>
      <c r="G84" s="34">
        <v>0</v>
      </c>
      <c r="H84" s="52">
        <v>0</v>
      </c>
      <c r="I84" s="34">
        <v>15</v>
      </c>
      <c r="J84" s="34">
        <v>0</v>
      </c>
      <c r="K84" s="52">
        <v>0</v>
      </c>
      <c r="L84" s="34">
        <v>15</v>
      </c>
      <c r="M84" s="34">
        <v>0</v>
      </c>
      <c r="N84" s="46">
        <v>0</v>
      </c>
      <c r="O84" s="34">
        <v>0</v>
      </c>
      <c r="P84" s="34">
        <v>0</v>
      </c>
      <c r="Q84" s="52">
        <v>0</v>
      </c>
      <c r="R84" s="34">
        <v>0</v>
      </c>
      <c r="S84" s="34">
        <v>0</v>
      </c>
      <c r="T84" s="52">
        <v>0</v>
      </c>
      <c r="U84" s="34">
        <v>30</v>
      </c>
      <c r="V84" s="34">
        <v>20</v>
      </c>
      <c r="W84" s="52">
        <v>20</v>
      </c>
      <c r="X84" s="34">
        <v>30</v>
      </c>
      <c r="Y84" s="34">
        <v>20</v>
      </c>
      <c r="Z84" s="46">
        <v>20</v>
      </c>
      <c r="AA84" s="34">
        <v>0</v>
      </c>
      <c r="AB84" s="34">
        <v>0</v>
      </c>
      <c r="AC84" s="52">
        <v>0</v>
      </c>
      <c r="AD84" s="34">
        <v>0</v>
      </c>
      <c r="AE84" s="34">
        <v>0</v>
      </c>
      <c r="AF84" s="52">
        <v>0</v>
      </c>
      <c r="AG84" s="34">
        <v>40</v>
      </c>
      <c r="AH84" s="34">
        <v>20</v>
      </c>
      <c r="AI84" s="52">
        <v>10</v>
      </c>
      <c r="AJ84" s="34">
        <v>0</v>
      </c>
      <c r="AK84" s="34">
        <v>0</v>
      </c>
      <c r="AL84" s="46">
        <v>0</v>
      </c>
      <c r="AM84" s="34">
        <v>0</v>
      </c>
      <c r="AN84" s="34">
        <v>0</v>
      </c>
      <c r="AO84" s="52">
        <v>0</v>
      </c>
      <c r="AP84" s="34">
        <v>0</v>
      </c>
      <c r="AQ84" s="34">
        <v>0</v>
      </c>
      <c r="AR84" s="52">
        <v>0</v>
      </c>
      <c r="AS84" s="34">
        <v>0</v>
      </c>
      <c r="AT84" s="34">
        <v>0</v>
      </c>
      <c r="AU84" s="52">
        <v>0</v>
      </c>
      <c r="AV84" s="34">
        <v>0</v>
      </c>
      <c r="AW84" s="34">
        <v>0</v>
      </c>
      <c r="AX84" s="46">
        <v>0</v>
      </c>
      <c r="AY84" s="34">
        <f t="shared" si="52"/>
        <v>237.7563390464</v>
      </c>
      <c r="AZ84" s="34">
        <f t="shared" si="53"/>
        <v>235.95649228799999</v>
      </c>
      <c r="BA84" s="52">
        <f t="shared" si="54"/>
        <v>238.40717429759999</v>
      </c>
      <c r="BB84" s="34">
        <f t="shared" si="55"/>
        <v>237.7563390464</v>
      </c>
      <c r="BC84" s="34">
        <f t="shared" si="56"/>
        <v>235.95649228799999</v>
      </c>
      <c r="BD84" s="52">
        <f t="shared" si="57"/>
        <v>238.40717429759999</v>
      </c>
      <c r="BE84" s="34">
        <f t="shared" si="58"/>
        <v>307.7563390464</v>
      </c>
      <c r="BF84" s="34">
        <f t="shared" si="59"/>
        <v>275.95649228799999</v>
      </c>
      <c r="BG84" s="52">
        <f t="shared" si="60"/>
        <v>268.40717429760002</v>
      </c>
      <c r="BH84" s="34">
        <f t="shared" si="61"/>
        <v>267.7563390464</v>
      </c>
      <c r="BI84" s="34">
        <f t="shared" si="62"/>
        <v>255.95649228799999</v>
      </c>
      <c r="BJ84" s="34">
        <f t="shared" si="63"/>
        <v>258.40717429760002</v>
      </c>
      <c r="BK84" s="57">
        <f t="shared" si="64"/>
        <v>3058.4800225280001</v>
      </c>
      <c r="BL84" s="34">
        <f t="shared" si="65"/>
        <v>712.12000563200002</v>
      </c>
      <c r="BM84" s="34">
        <f t="shared" si="66"/>
        <v>712.12000563200002</v>
      </c>
      <c r="BN84" s="34">
        <f t="shared" si="67"/>
        <v>852.12000563200002</v>
      </c>
      <c r="BO84" s="46">
        <f t="shared" si="68"/>
        <v>782.12000563200002</v>
      </c>
      <c r="BP84" s="65">
        <f t="shared" si="69"/>
        <v>237.7563390464</v>
      </c>
      <c r="BQ84" s="65">
        <f t="shared" si="70"/>
        <v>235.95649228799999</v>
      </c>
      <c r="BR84" s="66">
        <f t="shared" si="71"/>
        <v>238.40717429759999</v>
      </c>
      <c r="BS84" s="34">
        <v>113</v>
      </c>
      <c r="BT84" s="34">
        <v>112</v>
      </c>
      <c r="BU84" s="52">
        <v>115</v>
      </c>
      <c r="BV84" s="58">
        <f t="shared" si="72"/>
        <v>1638.7816952319999</v>
      </c>
      <c r="BW84" s="58">
        <f t="shared" si="73"/>
        <v>1629.7824614399999</v>
      </c>
      <c r="BX84" s="59">
        <f t="shared" si="74"/>
        <v>1642.0358714879999</v>
      </c>
      <c r="BY84" s="44">
        <v>8.7200000000000006</v>
      </c>
      <c r="BZ84" s="44">
        <v>8.65</v>
      </c>
      <c r="CA84" s="53">
        <v>8.73</v>
      </c>
      <c r="CB84" s="58">
        <f t="shared" si="75"/>
        <v>21.698150399999999</v>
      </c>
      <c r="CC84" s="58">
        <f t="shared" si="76"/>
        <v>21.523968</v>
      </c>
      <c r="CD84" s="59">
        <f t="shared" si="77"/>
        <v>21.723033599999997</v>
      </c>
    </row>
    <row r="85" spans="1:82" ht="13.5" customHeight="1" x14ac:dyDescent="0.25">
      <c r="A85" s="36" t="s">
        <v>473</v>
      </c>
      <c r="B85" s="68" t="s">
        <v>189</v>
      </c>
      <c r="C85" s="34">
        <v>20</v>
      </c>
      <c r="D85" s="34">
        <v>0</v>
      </c>
      <c r="E85" s="52">
        <v>0</v>
      </c>
      <c r="F85" s="34">
        <v>0</v>
      </c>
      <c r="G85" s="34">
        <v>0</v>
      </c>
      <c r="H85" s="52">
        <v>0</v>
      </c>
      <c r="I85" s="34">
        <v>0</v>
      </c>
      <c r="J85" s="34">
        <v>0</v>
      </c>
      <c r="K85" s="52">
        <v>0</v>
      </c>
      <c r="L85" s="34">
        <v>20</v>
      </c>
      <c r="M85" s="34">
        <v>0</v>
      </c>
      <c r="N85" s="46">
        <v>0</v>
      </c>
      <c r="O85" s="34">
        <v>30</v>
      </c>
      <c r="P85" s="34">
        <v>10</v>
      </c>
      <c r="Q85" s="52">
        <v>10</v>
      </c>
      <c r="R85" s="34">
        <v>0</v>
      </c>
      <c r="S85" s="34">
        <v>0</v>
      </c>
      <c r="T85" s="52">
        <v>0</v>
      </c>
      <c r="U85" s="34">
        <v>0</v>
      </c>
      <c r="V85" s="34">
        <v>0</v>
      </c>
      <c r="W85" s="52">
        <v>0</v>
      </c>
      <c r="X85" s="34">
        <v>50</v>
      </c>
      <c r="Y85" s="34">
        <v>0</v>
      </c>
      <c r="Z85" s="46">
        <v>0</v>
      </c>
      <c r="AA85" s="34">
        <v>20</v>
      </c>
      <c r="AB85" s="34">
        <v>0</v>
      </c>
      <c r="AC85" s="52">
        <v>0</v>
      </c>
      <c r="AD85" s="34">
        <v>0</v>
      </c>
      <c r="AE85" s="34">
        <v>0</v>
      </c>
      <c r="AF85" s="52">
        <v>0</v>
      </c>
      <c r="AG85" s="34">
        <v>10</v>
      </c>
      <c r="AH85" s="34">
        <v>0</v>
      </c>
      <c r="AI85" s="52">
        <v>0</v>
      </c>
      <c r="AJ85" s="34">
        <v>50</v>
      </c>
      <c r="AK85" s="34">
        <v>10</v>
      </c>
      <c r="AL85" s="46">
        <v>20</v>
      </c>
      <c r="AM85" s="34">
        <v>0</v>
      </c>
      <c r="AN85" s="34">
        <v>0</v>
      </c>
      <c r="AO85" s="52">
        <v>0</v>
      </c>
      <c r="AP85" s="34">
        <v>0</v>
      </c>
      <c r="AQ85" s="34">
        <v>0</v>
      </c>
      <c r="AR85" s="52">
        <v>0</v>
      </c>
      <c r="AS85" s="34">
        <v>0</v>
      </c>
      <c r="AT85" s="34">
        <v>0</v>
      </c>
      <c r="AU85" s="52">
        <v>0</v>
      </c>
      <c r="AV85" s="34">
        <v>0</v>
      </c>
      <c r="AW85" s="34">
        <v>0</v>
      </c>
      <c r="AX85" s="46">
        <v>0</v>
      </c>
      <c r="AY85" s="34">
        <f t="shared" si="52"/>
        <v>283.68813977599996</v>
      </c>
      <c r="AZ85" s="34">
        <f t="shared" si="53"/>
        <v>234.88607073279999</v>
      </c>
      <c r="BA85" s="52">
        <f t="shared" si="54"/>
        <v>262.25895987199993</v>
      </c>
      <c r="BB85" s="34">
        <f t="shared" si="55"/>
        <v>233.68813977599993</v>
      </c>
      <c r="BC85" s="34">
        <f t="shared" si="56"/>
        <v>224.88607073279999</v>
      </c>
      <c r="BD85" s="52">
        <f t="shared" si="57"/>
        <v>252.25895987199993</v>
      </c>
      <c r="BE85" s="34">
        <f t="shared" si="58"/>
        <v>243.68813977599993</v>
      </c>
      <c r="BF85" s="34">
        <f t="shared" si="59"/>
        <v>224.88607073279999</v>
      </c>
      <c r="BG85" s="52">
        <f t="shared" si="60"/>
        <v>252.25895987199993</v>
      </c>
      <c r="BH85" s="34">
        <f t="shared" si="61"/>
        <v>333.68813977599996</v>
      </c>
      <c r="BI85" s="34">
        <f t="shared" si="62"/>
        <v>234.88607073279999</v>
      </c>
      <c r="BJ85" s="34">
        <f t="shared" si="63"/>
        <v>272.25895987199993</v>
      </c>
      <c r="BK85" s="57">
        <f t="shared" si="64"/>
        <v>3053.3326815231994</v>
      </c>
      <c r="BL85" s="34">
        <f t="shared" si="65"/>
        <v>780.83317038079986</v>
      </c>
      <c r="BM85" s="34">
        <f t="shared" si="66"/>
        <v>710.83317038079986</v>
      </c>
      <c r="BN85" s="34">
        <f t="shared" si="67"/>
        <v>720.83317038079986</v>
      </c>
      <c r="BO85" s="46">
        <f t="shared" si="68"/>
        <v>840.83317038079986</v>
      </c>
      <c r="BP85" s="65">
        <f t="shared" si="69"/>
        <v>233.68813977599993</v>
      </c>
      <c r="BQ85" s="65">
        <f t="shared" si="70"/>
        <v>224.88607073279999</v>
      </c>
      <c r="BR85" s="66">
        <f t="shared" si="71"/>
        <v>252.25895987199993</v>
      </c>
      <c r="BS85" s="34">
        <v>112</v>
      </c>
      <c r="BT85" s="34">
        <v>109</v>
      </c>
      <c r="BU85" s="52">
        <v>114</v>
      </c>
      <c r="BV85" s="58">
        <f t="shared" si="72"/>
        <v>1618.4406988799997</v>
      </c>
      <c r="BW85" s="58">
        <f t="shared" si="73"/>
        <v>1574.430353664</v>
      </c>
      <c r="BX85" s="59">
        <f t="shared" si="74"/>
        <v>1711.2947993599996</v>
      </c>
      <c r="BY85" s="44">
        <v>8.5500000000000007</v>
      </c>
      <c r="BZ85" s="44">
        <v>8.19</v>
      </c>
      <c r="CA85" s="53">
        <v>9.35</v>
      </c>
      <c r="CB85" s="58">
        <f t="shared" si="75"/>
        <v>21.275135999999993</v>
      </c>
      <c r="CC85" s="58">
        <f t="shared" si="76"/>
        <v>20.379340799999998</v>
      </c>
      <c r="CD85" s="59">
        <f t="shared" si="77"/>
        <v>23.265791999999994</v>
      </c>
    </row>
    <row r="86" spans="1:82" ht="13.5" customHeight="1" x14ac:dyDescent="0.25">
      <c r="A86" s="36" t="s">
        <v>493</v>
      </c>
      <c r="B86" s="68" t="s">
        <v>137</v>
      </c>
      <c r="C86" s="34">
        <v>35</v>
      </c>
      <c r="D86" s="34">
        <v>0</v>
      </c>
      <c r="E86" s="52">
        <v>0</v>
      </c>
      <c r="F86" s="34">
        <v>0</v>
      </c>
      <c r="G86" s="34">
        <v>0</v>
      </c>
      <c r="H86" s="52">
        <v>0</v>
      </c>
      <c r="I86" s="34">
        <v>0</v>
      </c>
      <c r="J86" s="34">
        <v>0</v>
      </c>
      <c r="K86" s="52">
        <v>0</v>
      </c>
      <c r="L86" s="34">
        <v>0</v>
      </c>
      <c r="M86" s="34">
        <v>0</v>
      </c>
      <c r="N86" s="46">
        <v>0</v>
      </c>
      <c r="O86" s="34">
        <v>60</v>
      </c>
      <c r="P86" s="34">
        <v>20</v>
      </c>
      <c r="Q86" s="52">
        <v>30</v>
      </c>
      <c r="R86" s="34">
        <v>0</v>
      </c>
      <c r="S86" s="34">
        <v>0</v>
      </c>
      <c r="T86" s="52">
        <v>0</v>
      </c>
      <c r="U86" s="34">
        <v>0</v>
      </c>
      <c r="V86" s="34">
        <v>0</v>
      </c>
      <c r="W86" s="52">
        <v>0</v>
      </c>
      <c r="X86" s="34">
        <v>0</v>
      </c>
      <c r="Y86" s="34">
        <v>0</v>
      </c>
      <c r="Z86" s="46">
        <v>0</v>
      </c>
      <c r="AA86" s="34">
        <v>50</v>
      </c>
      <c r="AB86" s="34">
        <v>20</v>
      </c>
      <c r="AC86" s="52">
        <v>10</v>
      </c>
      <c r="AD86" s="34">
        <v>0</v>
      </c>
      <c r="AE86" s="34">
        <v>0</v>
      </c>
      <c r="AF86" s="52">
        <v>0</v>
      </c>
      <c r="AG86" s="34">
        <v>0</v>
      </c>
      <c r="AH86" s="34">
        <v>0</v>
      </c>
      <c r="AI86" s="52">
        <v>0</v>
      </c>
      <c r="AJ86" s="34">
        <v>0</v>
      </c>
      <c r="AK86" s="34">
        <v>0</v>
      </c>
      <c r="AL86" s="46">
        <v>0</v>
      </c>
      <c r="AM86" s="34">
        <v>0</v>
      </c>
      <c r="AN86" s="34">
        <v>0</v>
      </c>
      <c r="AO86" s="52">
        <v>0</v>
      </c>
      <c r="AP86" s="34">
        <v>0</v>
      </c>
      <c r="AQ86" s="34">
        <v>0</v>
      </c>
      <c r="AR86" s="52">
        <v>0</v>
      </c>
      <c r="AS86" s="34">
        <v>0</v>
      </c>
      <c r="AT86" s="34">
        <v>0</v>
      </c>
      <c r="AU86" s="52">
        <v>0</v>
      </c>
      <c r="AV86" s="34">
        <v>0</v>
      </c>
      <c r="AW86" s="34">
        <v>0</v>
      </c>
      <c r="AX86" s="46">
        <v>0</v>
      </c>
      <c r="AY86" s="34">
        <f t="shared" si="52"/>
        <v>347.01649228799999</v>
      </c>
      <c r="AZ86" s="34">
        <f t="shared" si="53"/>
        <v>273.30864552959997</v>
      </c>
      <c r="BA86" s="52">
        <f t="shared" si="54"/>
        <v>282.80605557759998</v>
      </c>
      <c r="BB86" s="34">
        <f t="shared" si="55"/>
        <v>237.01649228800002</v>
      </c>
      <c r="BC86" s="34">
        <f t="shared" si="56"/>
        <v>233.30864552959994</v>
      </c>
      <c r="BD86" s="52">
        <f t="shared" si="57"/>
        <v>242.80605557759995</v>
      </c>
      <c r="BE86" s="34">
        <f t="shared" si="58"/>
        <v>237.01649228800002</v>
      </c>
      <c r="BF86" s="34">
        <f t="shared" si="59"/>
        <v>233.30864552959994</v>
      </c>
      <c r="BG86" s="52">
        <f t="shared" si="60"/>
        <v>242.80605557759995</v>
      </c>
      <c r="BH86" s="34">
        <f t="shared" si="61"/>
        <v>237.01649228800002</v>
      </c>
      <c r="BI86" s="34">
        <f t="shared" si="62"/>
        <v>233.30864552959994</v>
      </c>
      <c r="BJ86" s="34">
        <f t="shared" si="63"/>
        <v>242.80605557759995</v>
      </c>
      <c r="BK86" s="57">
        <f t="shared" si="64"/>
        <v>3042.5247735807998</v>
      </c>
      <c r="BL86" s="34">
        <f t="shared" si="65"/>
        <v>903.13119339519994</v>
      </c>
      <c r="BM86" s="34">
        <f t="shared" si="66"/>
        <v>713.13119339519994</v>
      </c>
      <c r="BN86" s="34">
        <f t="shared" si="67"/>
        <v>713.13119339519994</v>
      </c>
      <c r="BO86" s="46">
        <f t="shared" si="68"/>
        <v>713.13119339519994</v>
      </c>
      <c r="BP86" s="65">
        <f t="shared" si="69"/>
        <v>237.01649228800002</v>
      </c>
      <c r="BQ86" s="65">
        <f t="shared" si="70"/>
        <v>233.30864552959994</v>
      </c>
      <c r="BR86" s="66">
        <f t="shared" si="71"/>
        <v>242.80605557759995</v>
      </c>
      <c r="BS86" s="34">
        <v>117</v>
      </c>
      <c r="BT86" s="34">
        <v>107</v>
      </c>
      <c r="BU86" s="52">
        <v>109</v>
      </c>
      <c r="BV86" s="58">
        <f t="shared" si="72"/>
        <v>1635.0824614400001</v>
      </c>
      <c r="BW86" s="58">
        <f t="shared" si="73"/>
        <v>1616.5432276479996</v>
      </c>
      <c r="BX86" s="59">
        <f t="shared" si="74"/>
        <v>1664.0302778879998</v>
      </c>
      <c r="BY86" s="44">
        <v>8.65</v>
      </c>
      <c r="BZ86" s="44">
        <v>8.58</v>
      </c>
      <c r="CA86" s="53">
        <v>8.98</v>
      </c>
      <c r="CB86" s="58">
        <f t="shared" si="75"/>
        <v>21.523968</v>
      </c>
      <c r="CC86" s="58">
        <f t="shared" si="76"/>
        <v>21.349785599999993</v>
      </c>
      <c r="CD86" s="59">
        <f t="shared" si="77"/>
        <v>22.345113599999994</v>
      </c>
    </row>
    <row r="87" spans="1:82" ht="13.5" customHeight="1" x14ac:dyDescent="0.25">
      <c r="A87" s="36" t="s">
        <v>494</v>
      </c>
      <c r="B87" s="70" t="s">
        <v>195</v>
      </c>
      <c r="C87" s="34">
        <v>0</v>
      </c>
      <c r="D87" s="34">
        <v>0</v>
      </c>
      <c r="E87" s="52">
        <v>0</v>
      </c>
      <c r="F87" s="34">
        <v>0</v>
      </c>
      <c r="G87" s="34">
        <v>0</v>
      </c>
      <c r="H87" s="52">
        <v>10</v>
      </c>
      <c r="I87" s="34">
        <v>0</v>
      </c>
      <c r="J87" s="34">
        <v>0</v>
      </c>
      <c r="K87" s="52">
        <v>0</v>
      </c>
      <c r="L87" s="34">
        <v>20</v>
      </c>
      <c r="M87" s="34">
        <v>20</v>
      </c>
      <c r="N87" s="46">
        <v>0</v>
      </c>
      <c r="O87" s="34">
        <v>0</v>
      </c>
      <c r="P87" s="34">
        <v>0</v>
      </c>
      <c r="Q87" s="52">
        <v>0</v>
      </c>
      <c r="R87" s="34">
        <v>0</v>
      </c>
      <c r="S87" s="34">
        <v>10</v>
      </c>
      <c r="T87" s="52">
        <v>20</v>
      </c>
      <c r="U87" s="34">
        <v>0</v>
      </c>
      <c r="V87" s="34">
        <v>0</v>
      </c>
      <c r="W87" s="52">
        <v>0</v>
      </c>
      <c r="X87" s="34">
        <v>50</v>
      </c>
      <c r="Y87" s="34">
        <v>35</v>
      </c>
      <c r="Z87" s="46">
        <v>15</v>
      </c>
      <c r="AA87" s="34">
        <v>0</v>
      </c>
      <c r="AB87" s="34">
        <v>0</v>
      </c>
      <c r="AC87" s="52">
        <v>0</v>
      </c>
      <c r="AD87" s="34">
        <v>0</v>
      </c>
      <c r="AE87" s="34">
        <v>0</v>
      </c>
      <c r="AF87" s="52">
        <v>0</v>
      </c>
      <c r="AG87" s="34">
        <v>10</v>
      </c>
      <c r="AH87" s="34">
        <v>0</v>
      </c>
      <c r="AI87" s="52">
        <v>0</v>
      </c>
      <c r="AJ87" s="34">
        <v>30</v>
      </c>
      <c r="AK87" s="34">
        <v>20</v>
      </c>
      <c r="AL87" s="46">
        <v>10</v>
      </c>
      <c r="AM87" s="34">
        <v>0</v>
      </c>
      <c r="AN87" s="34">
        <v>0</v>
      </c>
      <c r="AO87" s="52">
        <v>0</v>
      </c>
      <c r="AP87" s="34">
        <v>0</v>
      </c>
      <c r="AQ87" s="34">
        <v>0</v>
      </c>
      <c r="AR87" s="52">
        <v>0</v>
      </c>
      <c r="AS87" s="34">
        <v>0</v>
      </c>
      <c r="AT87" s="34">
        <v>0</v>
      </c>
      <c r="AU87" s="52">
        <v>0</v>
      </c>
      <c r="AV87" s="34">
        <v>0</v>
      </c>
      <c r="AW87" s="34">
        <v>0</v>
      </c>
      <c r="AX87" s="46">
        <v>0</v>
      </c>
      <c r="AY87" s="34">
        <f t="shared" si="52"/>
        <v>238.9201858047999</v>
      </c>
      <c r="AZ87" s="34">
        <f t="shared" si="53"/>
        <v>232.64297502719998</v>
      </c>
      <c r="BA87" s="52">
        <f t="shared" si="54"/>
        <v>238.43684479999999</v>
      </c>
      <c r="BB87" s="34">
        <f t="shared" si="55"/>
        <v>238.9201858047999</v>
      </c>
      <c r="BC87" s="34">
        <f t="shared" si="56"/>
        <v>242.64297502719998</v>
      </c>
      <c r="BD87" s="52">
        <f t="shared" si="57"/>
        <v>258.43684480000002</v>
      </c>
      <c r="BE87" s="34">
        <f t="shared" si="58"/>
        <v>248.9201858047999</v>
      </c>
      <c r="BF87" s="34">
        <f t="shared" si="59"/>
        <v>232.64297502719998</v>
      </c>
      <c r="BG87" s="52">
        <f t="shared" si="60"/>
        <v>238.43684479999999</v>
      </c>
      <c r="BH87" s="34">
        <f t="shared" si="61"/>
        <v>318.92018580479987</v>
      </c>
      <c r="BI87" s="34">
        <f t="shared" si="62"/>
        <v>287.64297502720001</v>
      </c>
      <c r="BJ87" s="34">
        <f t="shared" si="63"/>
        <v>263.43684480000002</v>
      </c>
      <c r="BK87" s="57">
        <f t="shared" si="64"/>
        <v>3040.0000225279996</v>
      </c>
      <c r="BL87" s="34">
        <f t="shared" si="65"/>
        <v>710.0000056319999</v>
      </c>
      <c r="BM87" s="34">
        <f t="shared" si="66"/>
        <v>740.0000056319999</v>
      </c>
      <c r="BN87" s="34">
        <f t="shared" si="67"/>
        <v>720.0000056319999</v>
      </c>
      <c r="BO87" s="46">
        <f t="shared" si="68"/>
        <v>870.0000056319999</v>
      </c>
      <c r="BP87" s="65">
        <f t="shared" si="69"/>
        <v>238.9201858047999</v>
      </c>
      <c r="BQ87" s="65">
        <f t="shared" si="70"/>
        <v>232.64297502719998</v>
      </c>
      <c r="BR87" s="66">
        <f t="shared" si="71"/>
        <v>238.43684479999999</v>
      </c>
      <c r="BS87" s="34">
        <v>111</v>
      </c>
      <c r="BT87" s="34">
        <v>106</v>
      </c>
      <c r="BU87" s="52">
        <v>113</v>
      </c>
      <c r="BV87" s="58">
        <f t="shared" si="72"/>
        <v>1644.6009290239995</v>
      </c>
      <c r="BW87" s="58">
        <f t="shared" si="73"/>
        <v>1613.2148751359998</v>
      </c>
      <c r="BX87" s="59">
        <f t="shared" si="74"/>
        <v>1642.1842239999999</v>
      </c>
      <c r="BY87" s="44">
        <v>8.7899999999999991</v>
      </c>
      <c r="BZ87" s="44">
        <v>8.56</v>
      </c>
      <c r="CA87" s="53">
        <v>8.75</v>
      </c>
      <c r="CB87" s="58">
        <f t="shared" si="75"/>
        <v>21.872332799999992</v>
      </c>
      <c r="CC87" s="58">
        <f t="shared" si="76"/>
        <v>21.300019199999998</v>
      </c>
      <c r="CD87" s="59">
        <f t="shared" si="77"/>
        <v>21.772799999999997</v>
      </c>
    </row>
    <row r="88" spans="1:82" ht="13.5" customHeight="1" x14ac:dyDescent="0.25">
      <c r="A88" s="36" t="s">
        <v>495</v>
      </c>
      <c r="B88" s="72" t="s">
        <v>151</v>
      </c>
      <c r="C88" s="34">
        <v>5</v>
      </c>
      <c r="D88" s="34">
        <v>0</v>
      </c>
      <c r="E88" s="52">
        <v>0</v>
      </c>
      <c r="F88" s="34">
        <v>5</v>
      </c>
      <c r="G88" s="34">
        <v>0</v>
      </c>
      <c r="H88" s="52">
        <v>0</v>
      </c>
      <c r="I88" s="34">
        <v>25</v>
      </c>
      <c r="J88" s="34">
        <v>0</v>
      </c>
      <c r="K88" s="52">
        <v>0</v>
      </c>
      <c r="L88" s="34">
        <v>5</v>
      </c>
      <c r="M88" s="34">
        <v>0</v>
      </c>
      <c r="N88" s="46">
        <v>0</v>
      </c>
      <c r="O88" s="34">
        <v>5</v>
      </c>
      <c r="P88" s="34">
        <v>0</v>
      </c>
      <c r="Q88" s="52">
        <v>0</v>
      </c>
      <c r="R88" s="34">
        <v>5</v>
      </c>
      <c r="S88" s="34">
        <v>0</v>
      </c>
      <c r="T88" s="52">
        <v>0</v>
      </c>
      <c r="U88" s="34">
        <v>50</v>
      </c>
      <c r="V88" s="34">
        <v>25</v>
      </c>
      <c r="W88" s="52">
        <v>25</v>
      </c>
      <c r="X88" s="34">
        <v>5</v>
      </c>
      <c r="Y88" s="34">
        <v>0</v>
      </c>
      <c r="Z88" s="46">
        <v>0</v>
      </c>
      <c r="AA88" s="34">
        <v>6</v>
      </c>
      <c r="AB88" s="34">
        <v>0</v>
      </c>
      <c r="AC88" s="52">
        <v>0</v>
      </c>
      <c r="AD88" s="34">
        <v>6</v>
      </c>
      <c r="AE88" s="34">
        <v>0</v>
      </c>
      <c r="AF88" s="52">
        <v>0</v>
      </c>
      <c r="AG88" s="34">
        <v>26</v>
      </c>
      <c r="AH88" s="34">
        <v>10</v>
      </c>
      <c r="AI88" s="52">
        <v>0</v>
      </c>
      <c r="AJ88" s="34">
        <v>16</v>
      </c>
      <c r="AK88" s="34">
        <v>0</v>
      </c>
      <c r="AL88" s="46">
        <v>0</v>
      </c>
      <c r="AM88" s="34">
        <v>0</v>
      </c>
      <c r="AN88" s="34">
        <v>0</v>
      </c>
      <c r="AO88" s="52">
        <v>0</v>
      </c>
      <c r="AP88" s="34">
        <v>0</v>
      </c>
      <c r="AQ88" s="34">
        <v>0</v>
      </c>
      <c r="AR88" s="52">
        <v>0</v>
      </c>
      <c r="AS88" s="34">
        <v>0</v>
      </c>
      <c r="AT88" s="34">
        <v>0</v>
      </c>
      <c r="AU88" s="52">
        <v>0</v>
      </c>
      <c r="AV88" s="34">
        <v>0</v>
      </c>
      <c r="AW88" s="34">
        <v>0</v>
      </c>
      <c r="AX88" s="46">
        <v>0</v>
      </c>
      <c r="AY88" s="34">
        <f t="shared" si="52"/>
        <v>248.7563390464</v>
      </c>
      <c r="AZ88" s="34">
        <f t="shared" si="53"/>
        <v>237.52950379519999</v>
      </c>
      <c r="BA88" s="52">
        <f t="shared" si="54"/>
        <v>239.13218580479989</v>
      </c>
      <c r="BB88" s="34">
        <f t="shared" si="55"/>
        <v>248.7563390464</v>
      </c>
      <c r="BC88" s="34">
        <f t="shared" si="56"/>
        <v>237.52950379519999</v>
      </c>
      <c r="BD88" s="52">
        <f t="shared" si="57"/>
        <v>239.13218580479989</v>
      </c>
      <c r="BE88" s="34">
        <f t="shared" si="58"/>
        <v>313.7563390464</v>
      </c>
      <c r="BF88" s="34">
        <f t="shared" si="59"/>
        <v>272.52950379519996</v>
      </c>
      <c r="BG88" s="52">
        <f t="shared" si="60"/>
        <v>264.13218580479986</v>
      </c>
      <c r="BH88" s="34">
        <f t="shared" si="61"/>
        <v>258.7563390464</v>
      </c>
      <c r="BI88" s="34">
        <f t="shared" si="62"/>
        <v>237.52950379519999</v>
      </c>
      <c r="BJ88" s="34">
        <f t="shared" si="63"/>
        <v>239.13218580479989</v>
      </c>
      <c r="BK88" s="57">
        <f t="shared" si="64"/>
        <v>3036.6721145855995</v>
      </c>
      <c r="BL88" s="34">
        <f t="shared" si="65"/>
        <v>725.41802864639988</v>
      </c>
      <c r="BM88" s="34">
        <f t="shared" si="66"/>
        <v>725.41802864639988</v>
      </c>
      <c r="BN88" s="34">
        <f t="shared" si="67"/>
        <v>850.41802864639988</v>
      </c>
      <c r="BO88" s="46">
        <f t="shared" si="68"/>
        <v>735.41802864639988</v>
      </c>
      <c r="BP88" s="65">
        <f t="shared" si="69"/>
        <v>237.7563390464</v>
      </c>
      <c r="BQ88" s="65">
        <f t="shared" si="70"/>
        <v>237.52950379519999</v>
      </c>
      <c r="BR88" s="66">
        <f t="shared" si="71"/>
        <v>239.13218580479989</v>
      </c>
      <c r="BS88" s="34">
        <v>113</v>
      </c>
      <c r="BT88" s="34">
        <v>113</v>
      </c>
      <c r="BU88" s="52">
        <v>112</v>
      </c>
      <c r="BV88" s="58">
        <f t="shared" si="72"/>
        <v>1638.7816952319999</v>
      </c>
      <c r="BW88" s="58">
        <f t="shared" si="73"/>
        <v>1637.6475189759999</v>
      </c>
      <c r="BX88" s="59">
        <f t="shared" si="74"/>
        <v>1645.6609290239994</v>
      </c>
      <c r="BY88" s="44">
        <v>8.7200000000000006</v>
      </c>
      <c r="BZ88" s="44">
        <v>8.7100000000000009</v>
      </c>
      <c r="CA88" s="53">
        <v>8.7899999999999991</v>
      </c>
      <c r="CB88" s="58">
        <f t="shared" si="75"/>
        <v>21.698150399999999</v>
      </c>
      <c r="CC88" s="58">
        <f t="shared" si="76"/>
        <v>21.673267199999994</v>
      </c>
      <c r="CD88" s="59">
        <f t="shared" si="77"/>
        <v>21.872332799999992</v>
      </c>
    </row>
    <row r="89" spans="1:82" ht="13.5" customHeight="1" x14ac:dyDescent="0.25">
      <c r="A89" s="36" t="s">
        <v>496</v>
      </c>
      <c r="B89" s="72" t="s">
        <v>297</v>
      </c>
      <c r="C89" s="34">
        <v>0</v>
      </c>
      <c r="D89" s="34">
        <v>0</v>
      </c>
      <c r="E89" s="52">
        <v>0</v>
      </c>
      <c r="F89" s="34">
        <v>0</v>
      </c>
      <c r="G89" s="34">
        <v>0</v>
      </c>
      <c r="H89" s="52">
        <v>0</v>
      </c>
      <c r="I89" s="34">
        <v>25</v>
      </c>
      <c r="J89" s="34">
        <v>0</v>
      </c>
      <c r="K89" s="52">
        <v>0</v>
      </c>
      <c r="L89" s="34">
        <v>0</v>
      </c>
      <c r="M89" s="34">
        <v>0</v>
      </c>
      <c r="N89" s="46">
        <v>0</v>
      </c>
      <c r="O89" s="34">
        <v>0</v>
      </c>
      <c r="P89" s="34">
        <v>0</v>
      </c>
      <c r="Q89" s="52">
        <v>0</v>
      </c>
      <c r="R89" s="34">
        <v>0</v>
      </c>
      <c r="S89" s="34">
        <v>0</v>
      </c>
      <c r="T89" s="52">
        <v>0</v>
      </c>
      <c r="U89" s="34">
        <v>55</v>
      </c>
      <c r="V89" s="34">
        <v>0</v>
      </c>
      <c r="W89" s="52">
        <v>0</v>
      </c>
      <c r="X89" s="34">
        <v>0</v>
      </c>
      <c r="Y89" s="34">
        <v>0</v>
      </c>
      <c r="Z89" s="46">
        <v>0</v>
      </c>
      <c r="AA89" s="34">
        <v>0</v>
      </c>
      <c r="AB89" s="34">
        <v>0</v>
      </c>
      <c r="AC89" s="52">
        <v>0</v>
      </c>
      <c r="AD89" s="34">
        <v>0</v>
      </c>
      <c r="AE89" s="34">
        <v>0</v>
      </c>
      <c r="AF89" s="52">
        <v>0</v>
      </c>
      <c r="AG89" s="34">
        <v>46</v>
      </c>
      <c r="AH89" s="34">
        <v>10</v>
      </c>
      <c r="AI89" s="52">
        <v>46</v>
      </c>
      <c r="AJ89" s="34">
        <v>0</v>
      </c>
      <c r="AK89" s="34">
        <v>0</v>
      </c>
      <c r="AL89" s="46">
        <v>0</v>
      </c>
      <c r="AM89" s="34">
        <v>0</v>
      </c>
      <c r="AN89" s="34">
        <v>0</v>
      </c>
      <c r="AO89" s="52">
        <v>0</v>
      </c>
      <c r="AP89" s="34">
        <v>0</v>
      </c>
      <c r="AQ89" s="34">
        <v>0</v>
      </c>
      <c r="AR89" s="52">
        <v>0</v>
      </c>
      <c r="AS89" s="34">
        <v>0</v>
      </c>
      <c r="AT89" s="34">
        <v>0</v>
      </c>
      <c r="AU89" s="52">
        <v>0</v>
      </c>
      <c r="AV89" s="34">
        <v>0</v>
      </c>
      <c r="AW89" s="34">
        <v>0</v>
      </c>
      <c r="AX89" s="46">
        <v>0</v>
      </c>
      <c r="AY89" s="34">
        <f t="shared" si="52"/>
        <v>229.42277575679995</v>
      </c>
      <c r="AZ89" s="34">
        <f t="shared" si="53"/>
        <v>240.88752680960002</v>
      </c>
      <c r="BA89" s="52">
        <f t="shared" si="54"/>
        <v>242.77638507519995</v>
      </c>
      <c r="BB89" s="34">
        <f t="shared" si="55"/>
        <v>229.42277575679995</v>
      </c>
      <c r="BC89" s="34">
        <f t="shared" si="56"/>
        <v>240.88752680960002</v>
      </c>
      <c r="BD89" s="52">
        <f t="shared" si="57"/>
        <v>242.77638507519995</v>
      </c>
      <c r="BE89" s="34">
        <f t="shared" si="58"/>
        <v>330.42277575679998</v>
      </c>
      <c r="BF89" s="34">
        <f t="shared" si="59"/>
        <v>250.88752680960002</v>
      </c>
      <c r="BG89" s="52">
        <f t="shared" si="60"/>
        <v>288.77638507519998</v>
      </c>
      <c r="BH89" s="34">
        <f t="shared" si="61"/>
        <v>229.42277575679995</v>
      </c>
      <c r="BI89" s="34">
        <f t="shared" si="62"/>
        <v>240.88752680960002</v>
      </c>
      <c r="BJ89" s="34">
        <f t="shared" si="63"/>
        <v>242.77638507519995</v>
      </c>
      <c r="BK89" s="57">
        <f t="shared" si="64"/>
        <v>3009.3467505663998</v>
      </c>
      <c r="BL89" s="34">
        <f t="shared" si="65"/>
        <v>713.08668764159995</v>
      </c>
      <c r="BM89" s="34">
        <f t="shared" si="66"/>
        <v>713.08668764159995</v>
      </c>
      <c r="BN89" s="34">
        <f t="shared" si="67"/>
        <v>870.08668764159995</v>
      </c>
      <c r="BO89" s="46">
        <f t="shared" si="68"/>
        <v>713.08668764159995</v>
      </c>
      <c r="BP89" s="65">
        <f t="shared" si="69"/>
        <v>229.42277575679995</v>
      </c>
      <c r="BQ89" s="65">
        <f t="shared" si="70"/>
        <v>240.88752680960002</v>
      </c>
      <c r="BR89" s="66">
        <f t="shared" si="71"/>
        <v>242.77638507519995</v>
      </c>
      <c r="BS89" s="34">
        <v>109</v>
      </c>
      <c r="BT89" s="34">
        <v>116</v>
      </c>
      <c r="BU89" s="52">
        <v>111</v>
      </c>
      <c r="BV89" s="58">
        <f t="shared" si="72"/>
        <v>1597.1138787839998</v>
      </c>
      <c r="BW89" s="58">
        <f t="shared" si="73"/>
        <v>1654.4376340480001</v>
      </c>
      <c r="BX89" s="59">
        <f t="shared" si="74"/>
        <v>1663.8819253759998</v>
      </c>
      <c r="BY89" s="44">
        <v>8.39</v>
      </c>
      <c r="BZ89" s="44">
        <v>8.83</v>
      </c>
      <c r="CA89" s="53">
        <v>8.9600000000000009</v>
      </c>
      <c r="CB89" s="58">
        <f t="shared" si="75"/>
        <v>20.877004799999998</v>
      </c>
      <c r="CC89" s="58">
        <f t="shared" si="76"/>
        <v>21.971865599999997</v>
      </c>
      <c r="CD89" s="59">
        <f t="shared" si="77"/>
        <v>22.295347199999998</v>
      </c>
    </row>
    <row r="90" spans="1:82" ht="13.5" customHeight="1" x14ac:dyDescent="0.25">
      <c r="A90" s="36" t="s">
        <v>497</v>
      </c>
      <c r="B90" s="68" t="s">
        <v>40</v>
      </c>
      <c r="C90" s="34">
        <v>0</v>
      </c>
      <c r="D90" s="34">
        <v>10</v>
      </c>
      <c r="E90" s="52">
        <v>0</v>
      </c>
      <c r="F90" s="34">
        <v>0</v>
      </c>
      <c r="G90" s="34">
        <v>10</v>
      </c>
      <c r="H90" s="52">
        <v>0</v>
      </c>
      <c r="I90" s="34">
        <v>0</v>
      </c>
      <c r="J90" s="34">
        <v>0</v>
      </c>
      <c r="K90" s="52">
        <v>0</v>
      </c>
      <c r="L90" s="34">
        <v>0</v>
      </c>
      <c r="M90" s="34">
        <v>0</v>
      </c>
      <c r="N90" s="46">
        <v>0</v>
      </c>
      <c r="O90" s="34">
        <v>10</v>
      </c>
      <c r="P90" s="34">
        <v>20</v>
      </c>
      <c r="Q90" s="52">
        <v>10</v>
      </c>
      <c r="R90" s="34">
        <v>10</v>
      </c>
      <c r="S90" s="34">
        <v>20</v>
      </c>
      <c r="T90" s="52">
        <v>10</v>
      </c>
      <c r="U90" s="34">
        <v>0</v>
      </c>
      <c r="V90" s="34">
        <v>0</v>
      </c>
      <c r="W90" s="52">
        <v>0</v>
      </c>
      <c r="X90" s="34">
        <v>0</v>
      </c>
      <c r="Y90" s="34">
        <v>0</v>
      </c>
      <c r="Z90" s="46">
        <v>0</v>
      </c>
      <c r="AA90" s="34">
        <v>6</v>
      </c>
      <c r="AB90" s="34">
        <v>0</v>
      </c>
      <c r="AC90" s="52">
        <v>26</v>
      </c>
      <c r="AD90" s="34">
        <v>6</v>
      </c>
      <c r="AE90" s="34">
        <v>10</v>
      </c>
      <c r="AF90" s="52">
        <v>36</v>
      </c>
      <c r="AG90" s="34">
        <v>6</v>
      </c>
      <c r="AH90" s="34">
        <v>0</v>
      </c>
      <c r="AI90" s="52">
        <v>0</v>
      </c>
      <c r="AJ90" s="34">
        <v>6</v>
      </c>
      <c r="AK90" s="34">
        <v>0</v>
      </c>
      <c r="AL90" s="46">
        <v>0</v>
      </c>
      <c r="AM90" s="34">
        <v>0</v>
      </c>
      <c r="AN90" s="34">
        <v>0</v>
      </c>
      <c r="AO90" s="52">
        <v>0</v>
      </c>
      <c r="AP90" s="34">
        <v>0</v>
      </c>
      <c r="AQ90" s="34">
        <v>0</v>
      </c>
      <c r="AR90" s="52">
        <v>0</v>
      </c>
      <c r="AS90" s="34">
        <v>0</v>
      </c>
      <c r="AT90" s="34">
        <v>0</v>
      </c>
      <c r="AU90" s="52">
        <v>0</v>
      </c>
      <c r="AV90" s="34">
        <v>0</v>
      </c>
      <c r="AW90" s="34">
        <v>0</v>
      </c>
      <c r="AX90" s="46">
        <v>0</v>
      </c>
      <c r="AY90" s="34">
        <f t="shared" si="52"/>
        <v>242.94242324479998</v>
      </c>
      <c r="AZ90" s="34">
        <f t="shared" si="53"/>
        <v>252.32712826879998</v>
      </c>
      <c r="BA90" s="52">
        <f t="shared" si="54"/>
        <v>283.76676060160003</v>
      </c>
      <c r="BB90" s="34">
        <f t="shared" si="55"/>
        <v>242.94242324479998</v>
      </c>
      <c r="BC90" s="34">
        <f t="shared" si="56"/>
        <v>262.32712826879998</v>
      </c>
      <c r="BD90" s="52">
        <f t="shared" si="57"/>
        <v>293.76676060160003</v>
      </c>
      <c r="BE90" s="34">
        <f t="shared" si="58"/>
        <v>232.94242324479998</v>
      </c>
      <c r="BF90" s="34">
        <f t="shared" si="59"/>
        <v>232.32712826879998</v>
      </c>
      <c r="BG90" s="52">
        <f t="shared" si="60"/>
        <v>247.7667606016</v>
      </c>
      <c r="BH90" s="34">
        <f t="shared" si="61"/>
        <v>232.94242324479998</v>
      </c>
      <c r="BI90" s="34">
        <f t="shared" si="62"/>
        <v>232.32712826879998</v>
      </c>
      <c r="BJ90" s="34">
        <f t="shared" si="63"/>
        <v>247.7667606016</v>
      </c>
      <c r="BK90" s="57">
        <f t="shared" si="64"/>
        <v>3004.1452484607998</v>
      </c>
      <c r="BL90" s="34">
        <f t="shared" si="65"/>
        <v>779.03631211519996</v>
      </c>
      <c r="BM90" s="34">
        <f t="shared" si="66"/>
        <v>799.03631211519996</v>
      </c>
      <c r="BN90" s="34">
        <f t="shared" si="67"/>
        <v>713.03631211519996</v>
      </c>
      <c r="BO90" s="46">
        <f t="shared" si="68"/>
        <v>713.03631211519996</v>
      </c>
      <c r="BP90" s="65">
        <f t="shared" si="69"/>
        <v>226.94242324479998</v>
      </c>
      <c r="BQ90" s="65">
        <f t="shared" si="70"/>
        <v>232.32712826879998</v>
      </c>
      <c r="BR90" s="66">
        <f t="shared" si="71"/>
        <v>247.7667606016</v>
      </c>
      <c r="BS90" s="34">
        <v>108</v>
      </c>
      <c r="BT90" s="34">
        <v>112</v>
      </c>
      <c r="BU90" s="52">
        <v>111</v>
      </c>
      <c r="BV90" s="58">
        <f t="shared" si="72"/>
        <v>1584.7121162239998</v>
      </c>
      <c r="BW90" s="58">
        <f t="shared" si="73"/>
        <v>1611.6356413439999</v>
      </c>
      <c r="BX90" s="59">
        <f t="shared" si="74"/>
        <v>1688.8338030079999</v>
      </c>
      <c r="BY90" s="44">
        <v>8.2899999999999991</v>
      </c>
      <c r="BZ90" s="44">
        <v>8.49</v>
      </c>
      <c r="CA90" s="53">
        <v>9.18</v>
      </c>
      <c r="CB90" s="58">
        <f t="shared" si="75"/>
        <v>20.628172799999994</v>
      </c>
      <c r="CC90" s="58">
        <f t="shared" si="76"/>
        <v>21.125836799999998</v>
      </c>
      <c r="CD90" s="59">
        <f t="shared" si="77"/>
        <v>22.842777599999998</v>
      </c>
    </row>
    <row r="91" spans="1:82" ht="13.5" customHeight="1" x14ac:dyDescent="0.25">
      <c r="A91" s="36" t="s">
        <v>498</v>
      </c>
      <c r="B91" s="68" t="s">
        <v>107</v>
      </c>
      <c r="C91" s="34">
        <v>0</v>
      </c>
      <c r="D91" s="34">
        <v>0</v>
      </c>
      <c r="E91" s="52">
        <v>0</v>
      </c>
      <c r="F91" s="34">
        <v>0</v>
      </c>
      <c r="G91" s="34">
        <v>0</v>
      </c>
      <c r="H91" s="52">
        <v>35</v>
      </c>
      <c r="I91" s="34">
        <v>0</v>
      </c>
      <c r="J91" s="34">
        <v>0</v>
      </c>
      <c r="K91" s="52">
        <v>0</v>
      </c>
      <c r="L91" s="34">
        <v>0</v>
      </c>
      <c r="M91" s="34">
        <v>0</v>
      </c>
      <c r="N91" s="46">
        <v>0</v>
      </c>
      <c r="O91" s="34">
        <v>0</v>
      </c>
      <c r="P91" s="34">
        <v>0</v>
      </c>
      <c r="Q91" s="52">
        <v>0</v>
      </c>
      <c r="R91" s="34">
        <v>40</v>
      </c>
      <c r="S91" s="34">
        <v>25</v>
      </c>
      <c r="T91" s="52">
        <v>55</v>
      </c>
      <c r="U91" s="34">
        <v>0</v>
      </c>
      <c r="V91" s="34">
        <v>0</v>
      </c>
      <c r="W91" s="52">
        <v>0</v>
      </c>
      <c r="X91" s="34">
        <v>0</v>
      </c>
      <c r="Y91" s="34">
        <v>0</v>
      </c>
      <c r="Z91" s="46">
        <v>0</v>
      </c>
      <c r="AA91" s="34">
        <v>10</v>
      </c>
      <c r="AB91" s="34">
        <v>0</v>
      </c>
      <c r="AC91" s="52">
        <v>0</v>
      </c>
      <c r="AD91" s="34">
        <v>20</v>
      </c>
      <c r="AE91" s="34">
        <v>30</v>
      </c>
      <c r="AF91" s="52">
        <v>20</v>
      </c>
      <c r="AG91" s="34">
        <v>0</v>
      </c>
      <c r="AH91" s="34">
        <v>0</v>
      </c>
      <c r="AI91" s="52">
        <v>0</v>
      </c>
      <c r="AJ91" s="34">
        <v>0</v>
      </c>
      <c r="AK91" s="34">
        <v>0</v>
      </c>
      <c r="AL91" s="46">
        <v>0</v>
      </c>
      <c r="AM91" s="34">
        <v>0</v>
      </c>
      <c r="AN91" s="34">
        <v>0</v>
      </c>
      <c r="AO91" s="52">
        <v>0</v>
      </c>
      <c r="AP91" s="34">
        <v>0</v>
      </c>
      <c r="AQ91" s="34">
        <v>0</v>
      </c>
      <c r="AR91" s="52">
        <v>0</v>
      </c>
      <c r="AS91" s="34">
        <v>0</v>
      </c>
      <c r="AT91" s="34">
        <v>0</v>
      </c>
      <c r="AU91" s="52">
        <v>0</v>
      </c>
      <c r="AV91" s="34">
        <v>0</v>
      </c>
      <c r="AW91" s="34">
        <v>0</v>
      </c>
      <c r="AX91" s="46">
        <v>0</v>
      </c>
      <c r="AY91" s="34">
        <f t="shared" si="52"/>
        <v>227.06551895039996</v>
      </c>
      <c r="AZ91" s="34">
        <f t="shared" si="53"/>
        <v>228.95427000319998</v>
      </c>
      <c r="BA91" s="52">
        <f t="shared" si="54"/>
        <v>251.35161886719999</v>
      </c>
      <c r="BB91" s="34">
        <f t="shared" si="55"/>
        <v>277.06551895039996</v>
      </c>
      <c r="BC91" s="34">
        <f t="shared" si="56"/>
        <v>283.95427000320001</v>
      </c>
      <c r="BD91" s="52">
        <f t="shared" si="57"/>
        <v>326.35161886719999</v>
      </c>
      <c r="BE91" s="34">
        <f t="shared" si="58"/>
        <v>217.06551895039996</v>
      </c>
      <c r="BF91" s="34">
        <f t="shared" si="59"/>
        <v>228.95427000319998</v>
      </c>
      <c r="BG91" s="52">
        <f t="shared" si="60"/>
        <v>251.35161886719999</v>
      </c>
      <c r="BH91" s="34">
        <f t="shared" si="61"/>
        <v>217.06551895039996</v>
      </c>
      <c r="BI91" s="34">
        <f t="shared" si="62"/>
        <v>228.95427000319998</v>
      </c>
      <c r="BJ91" s="34">
        <f t="shared" si="63"/>
        <v>251.35161886719999</v>
      </c>
      <c r="BK91" s="57">
        <f t="shared" si="64"/>
        <v>2989.4856312831998</v>
      </c>
      <c r="BL91" s="34">
        <f t="shared" si="65"/>
        <v>707.37140782079996</v>
      </c>
      <c r="BM91" s="34">
        <f t="shared" si="66"/>
        <v>887.37140782079996</v>
      </c>
      <c r="BN91" s="34">
        <f t="shared" si="67"/>
        <v>697.37140782079996</v>
      </c>
      <c r="BO91" s="46">
        <f t="shared" si="68"/>
        <v>697.37140782079996</v>
      </c>
      <c r="BP91" s="65">
        <f t="shared" si="69"/>
        <v>217.06551895039996</v>
      </c>
      <c r="BQ91" s="65">
        <f t="shared" si="70"/>
        <v>228.95427000319998</v>
      </c>
      <c r="BR91" s="66">
        <f t="shared" si="71"/>
        <v>251.35161886719999</v>
      </c>
      <c r="BS91" s="34">
        <v>101</v>
      </c>
      <c r="BT91" s="34">
        <v>110</v>
      </c>
      <c r="BU91" s="52">
        <v>114</v>
      </c>
      <c r="BV91" s="58">
        <f t="shared" si="72"/>
        <v>1535.3275947519999</v>
      </c>
      <c r="BW91" s="58">
        <f t="shared" si="73"/>
        <v>1594.7713500159998</v>
      </c>
      <c r="BX91" s="59">
        <f t="shared" si="74"/>
        <v>1706.7580943359999</v>
      </c>
      <c r="BY91" s="44">
        <v>7.92</v>
      </c>
      <c r="BZ91" s="44">
        <v>8.36</v>
      </c>
      <c r="CA91" s="53">
        <v>9.31</v>
      </c>
      <c r="CB91" s="58">
        <f t="shared" si="75"/>
        <v>19.707494399999998</v>
      </c>
      <c r="CC91" s="58">
        <f t="shared" si="76"/>
        <v>20.802355199999994</v>
      </c>
      <c r="CD91" s="59">
        <f t="shared" si="77"/>
        <v>23.166259199999995</v>
      </c>
    </row>
    <row r="92" spans="1:82" ht="13.5" customHeight="1" x14ac:dyDescent="0.25">
      <c r="A92" s="36" t="s">
        <v>499</v>
      </c>
      <c r="B92" s="70" t="s">
        <v>196</v>
      </c>
      <c r="C92" s="34">
        <v>10</v>
      </c>
      <c r="D92" s="34">
        <v>0</v>
      </c>
      <c r="E92" s="52">
        <v>0</v>
      </c>
      <c r="F92" s="34">
        <v>10</v>
      </c>
      <c r="G92" s="34">
        <v>0</v>
      </c>
      <c r="H92" s="52">
        <v>0</v>
      </c>
      <c r="I92" s="34">
        <v>10</v>
      </c>
      <c r="J92" s="34">
        <v>0</v>
      </c>
      <c r="K92" s="52">
        <v>0</v>
      </c>
      <c r="L92" s="34">
        <v>10</v>
      </c>
      <c r="M92" s="34">
        <v>0</v>
      </c>
      <c r="N92" s="46">
        <v>0</v>
      </c>
      <c r="O92" s="34">
        <v>10</v>
      </c>
      <c r="P92" s="34">
        <v>0</v>
      </c>
      <c r="Q92" s="52">
        <v>0</v>
      </c>
      <c r="R92" s="34">
        <v>10</v>
      </c>
      <c r="S92" s="34">
        <v>0</v>
      </c>
      <c r="T92" s="52">
        <v>0</v>
      </c>
      <c r="U92" s="34">
        <v>10</v>
      </c>
      <c r="V92" s="34">
        <v>10</v>
      </c>
      <c r="W92" s="52">
        <v>10</v>
      </c>
      <c r="X92" s="34">
        <v>45</v>
      </c>
      <c r="Y92" s="34">
        <v>25</v>
      </c>
      <c r="Z92" s="46">
        <v>25</v>
      </c>
      <c r="AA92" s="34">
        <v>10</v>
      </c>
      <c r="AB92" s="34">
        <v>0</v>
      </c>
      <c r="AC92" s="52">
        <v>0</v>
      </c>
      <c r="AD92" s="34">
        <v>10</v>
      </c>
      <c r="AE92" s="34">
        <v>0</v>
      </c>
      <c r="AF92" s="52">
        <v>0</v>
      </c>
      <c r="AG92" s="34">
        <v>20</v>
      </c>
      <c r="AH92" s="34">
        <v>0</v>
      </c>
      <c r="AI92" s="52">
        <v>0</v>
      </c>
      <c r="AJ92" s="34">
        <v>30</v>
      </c>
      <c r="AK92" s="34">
        <v>0</v>
      </c>
      <c r="AL92" s="46">
        <v>10</v>
      </c>
      <c r="AM92" s="34">
        <v>0</v>
      </c>
      <c r="AN92" s="34">
        <v>0</v>
      </c>
      <c r="AO92" s="52">
        <v>0</v>
      </c>
      <c r="AP92" s="34">
        <v>0</v>
      </c>
      <c r="AQ92" s="34">
        <v>0</v>
      </c>
      <c r="AR92" s="52">
        <v>0</v>
      </c>
      <c r="AS92" s="34">
        <v>0</v>
      </c>
      <c r="AT92" s="34">
        <v>0</v>
      </c>
      <c r="AU92" s="52">
        <v>0</v>
      </c>
      <c r="AV92" s="34">
        <v>0</v>
      </c>
      <c r="AW92" s="34">
        <v>0</v>
      </c>
      <c r="AX92" s="46">
        <v>0</v>
      </c>
      <c r="AY92" s="34">
        <f t="shared" si="52"/>
        <v>248.6786225152</v>
      </c>
      <c r="AZ92" s="34">
        <f t="shared" si="53"/>
        <v>219.98470671359993</v>
      </c>
      <c r="BA92" s="52">
        <f t="shared" si="54"/>
        <v>238.02768005119992</v>
      </c>
      <c r="BB92" s="34">
        <f t="shared" si="55"/>
        <v>248.6786225152</v>
      </c>
      <c r="BC92" s="34">
        <f t="shared" si="56"/>
        <v>219.98470671359993</v>
      </c>
      <c r="BD92" s="52">
        <f t="shared" si="57"/>
        <v>238.02768005119992</v>
      </c>
      <c r="BE92" s="34">
        <f t="shared" si="58"/>
        <v>258.6786225152</v>
      </c>
      <c r="BF92" s="34">
        <f t="shared" si="59"/>
        <v>229.98470671359993</v>
      </c>
      <c r="BG92" s="52">
        <f t="shared" si="60"/>
        <v>248.02768005119992</v>
      </c>
      <c r="BH92" s="34">
        <f t="shared" si="61"/>
        <v>303.6786225152</v>
      </c>
      <c r="BI92" s="34">
        <f t="shared" si="62"/>
        <v>244.98470671359993</v>
      </c>
      <c r="BJ92" s="34">
        <f t="shared" si="63"/>
        <v>273.02768005119992</v>
      </c>
      <c r="BK92" s="57">
        <f t="shared" si="64"/>
        <v>2971.7640371199996</v>
      </c>
      <c r="BL92" s="34">
        <f t="shared" si="65"/>
        <v>706.69100927999989</v>
      </c>
      <c r="BM92" s="34">
        <f t="shared" si="66"/>
        <v>706.69100927999989</v>
      </c>
      <c r="BN92" s="34">
        <f t="shared" si="67"/>
        <v>736.69100927999989</v>
      </c>
      <c r="BO92" s="46">
        <f t="shared" si="68"/>
        <v>821.69100927999989</v>
      </c>
      <c r="BP92" s="65">
        <f t="shared" si="69"/>
        <v>228.6786225152</v>
      </c>
      <c r="BQ92" s="65">
        <f t="shared" si="70"/>
        <v>219.98470671359993</v>
      </c>
      <c r="BR92" s="66">
        <f t="shared" si="71"/>
        <v>238.02768005119992</v>
      </c>
      <c r="BS92" s="34">
        <v>98</v>
      </c>
      <c r="BT92" s="34">
        <v>103</v>
      </c>
      <c r="BU92" s="52">
        <v>110</v>
      </c>
      <c r="BV92" s="58">
        <f t="shared" si="72"/>
        <v>1593.393112576</v>
      </c>
      <c r="BW92" s="58">
        <f t="shared" si="73"/>
        <v>1549.9235335679996</v>
      </c>
      <c r="BX92" s="59">
        <f t="shared" si="74"/>
        <v>1640.1384002559996</v>
      </c>
      <c r="BY92" s="44">
        <v>8.4600000000000009</v>
      </c>
      <c r="BZ92" s="44">
        <v>8.0299999999999994</v>
      </c>
      <c r="CA92" s="53">
        <v>8.76</v>
      </c>
      <c r="CB92" s="58">
        <f t="shared" si="75"/>
        <v>21.051187200000001</v>
      </c>
      <c r="CC92" s="58">
        <f t="shared" si="76"/>
        <v>19.981209599999996</v>
      </c>
      <c r="CD92" s="59">
        <f t="shared" si="77"/>
        <v>21.797683199999991</v>
      </c>
    </row>
    <row r="93" spans="1:82" ht="13.5" customHeight="1" x14ac:dyDescent="0.25">
      <c r="A93" s="36" t="s">
        <v>635</v>
      </c>
      <c r="B93" s="68" t="s">
        <v>302</v>
      </c>
      <c r="C93" s="34">
        <v>0</v>
      </c>
      <c r="D93" s="34">
        <v>0</v>
      </c>
      <c r="E93" s="52">
        <v>0</v>
      </c>
      <c r="F93" s="34">
        <v>0</v>
      </c>
      <c r="G93" s="34">
        <v>0</v>
      </c>
      <c r="H93" s="52">
        <v>0</v>
      </c>
      <c r="I93" s="34">
        <v>15</v>
      </c>
      <c r="J93" s="34">
        <v>0</v>
      </c>
      <c r="K93" s="52">
        <v>0</v>
      </c>
      <c r="L93" s="34">
        <v>15</v>
      </c>
      <c r="M93" s="34">
        <v>0</v>
      </c>
      <c r="N93" s="46">
        <v>0</v>
      </c>
      <c r="O93" s="34">
        <v>0</v>
      </c>
      <c r="P93" s="34">
        <v>0</v>
      </c>
      <c r="Q93" s="52">
        <v>0</v>
      </c>
      <c r="R93" s="34">
        <v>0</v>
      </c>
      <c r="S93" s="34">
        <v>0</v>
      </c>
      <c r="T93" s="52">
        <v>0</v>
      </c>
      <c r="U93" s="34">
        <v>40</v>
      </c>
      <c r="V93" s="34">
        <v>0</v>
      </c>
      <c r="W93" s="52">
        <v>0</v>
      </c>
      <c r="X93" s="34">
        <v>40</v>
      </c>
      <c r="Y93" s="34">
        <v>0</v>
      </c>
      <c r="Z93" s="46">
        <v>0</v>
      </c>
      <c r="AA93" s="34">
        <v>0</v>
      </c>
      <c r="AB93" s="34">
        <v>0</v>
      </c>
      <c r="AC93" s="52">
        <v>0</v>
      </c>
      <c r="AD93" s="34">
        <v>0</v>
      </c>
      <c r="AE93" s="34">
        <v>0</v>
      </c>
      <c r="AF93" s="52">
        <v>0</v>
      </c>
      <c r="AG93" s="34">
        <v>10</v>
      </c>
      <c r="AH93" s="34">
        <v>0</v>
      </c>
      <c r="AI93" s="52">
        <v>0</v>
      </c>
      <c r="AJ93" s="34">
        <v>30</v>
      </c>
      <c r="AK93" s="34">
        <v>10</v>
      </c>
      <c r="AL93" s="46">
        <v>20</v>
      </c>
      <c r="AM93" s="34">
        <v>0</v>
      </c>
      <c r="AN93" s="34">
        <v>0</v>
      </c>
      <c r="AO93" s="52">
        <v>0</v>
      </c>
      <c r="AP93" s="34">
        <v>0</v>
      </c>
      <c r="AQ93" s="34">
        <v>0</v>
      </c>
      <c r="AR93" s="52">
        <v>0</v>
      </c>
      <c r="AS93" s="34">
        <v>0</v>
      </c>
      <c r="AT93" s="34">
        <v>0</v>
      </c>
      <c r="AU93" s="52">
        <v>0</v>
      </c>
      <c r="AV93" s="34">
        <v>0</v>
      </c>
      <c r="AW93" s="34">
        <v>0</v>
      </c>
      <c r="AX93" s="46">
        <v>0</v>
      </c>
      <c r="AY93" s="34">
        <f t="shared" si="52"/>
        <v>237.49983329279991</v>
      </c>
      <c r="AZ93" s="34">
        <f t="shared" si="53"/>
        <v>223.95958799359997</v>
      </c>
      <c r="BA93" s="52">
        <f t="shared" si="54"/>
        <v>242.17005557759995</v>
      </c>
      <c r="BB93" s="34">
        <f t="shared" si="55"/>
        <v>237.49983329279991</v>
      </c>
      <c r="BC93" s="34">
        <f t="shared" si="56"/>
        <v>223.95958799359997</v>
      </c>
      <c r="BD93" s="52">
        <f t="shared" si="57"/>
        <v>242.17005557759995</v>
      </c>
      <c r="BE93" s="34">
        <f t="shared" si="58"/>
        <v>287.49983329279991</v>
      </c>
      <c r="BF93" s="34">
        <f t="shared" si="59"/>
        <v>223.95958799359997</v>
      </c>
      <c r="BG93" s="52">
        <f t="shared" si="60"/>
        <v>242.17005557759995</v>
      </c>
      <c r="BH93" s="34">
        <f t="shared" si="61"/>
        <v>307.49983329279991</v>
      </c>
      <c r="BI93" s="34">
        <f t="shared" si="62"/>
        <v>233.95958799359997</v>
      </c>
      <c r="BJ93" s="34">
        <f t="shared" si="63"/>
        <v>262.17005557759995</v>
      </c>
      <c r="BK93" s="57">
        <f t="shared" si="64"/>
        <v>2964.5179074559992</v>
      </c>
      <c r="BL93" s="34">
        <f t="shared" si="65"/>
        <v>703.6294768639998</v>
      </c>
      <c r="BM93" s="34">
        <f t="shared" si="66"/>
        <v>703.6294768639998</v>
      </c>
      <c r="BN93" s="34">
        <f t="shared" si="67"/>
        <v>753.6294768639998</v>
      </c>
      <c r="BO93" s="46">
        <f t="shared" si="68"/>
        <v>803.6294768639998</v>
      </c>
      <c r="BP93" s="65">
        <f t="shared" si="69"/>
        <v>237.49983329279991</v>
      </c>
      <c r="BQ93" s="65">
        <f t="shared" si="70"/>
        <v>223.95958799359997</v>
      </c>
      <c r="BR93" s="66">
        <f t="shared" si="71"/>
        <v>242.17005557759995</v>
      </c>
      <c r="BS93" s="34">
        <v>115</v>
      </c>
      <c r="BT93" s="34">
        <v>95</v>
      </c>
      <c r="BU93" s="52">
        <v>106</v>
      </c>
      <c r="BV93" s="58">
        <f t="shared" si="72"/>
        <v>1637.4991664639995</v>
      </c>
      <c r="BW93" s="58">
        <f t="shared" si="73"/>
        <v>1569.7979399679998</v>
      </c>
      <c r="BX93" s="59">
        <f t="shared" si="74"/>
        <v>1660.8502778879997</v>
      </c>
      <c r="BY93" s="44">
        <v>8.69</v>
      </c>
      <c r="BZ93" s="44">
        <v>8.2799999999999994</v>
      </c>
      <c r="CA93" s="53">
        <v>8.98</v>
      </c>
      <c r="CB93" s="58">
        <f t="shared" si="75"/>
        <v>21.623500799999992</v>
      </c>
      <c r="CC93" s="58">
        <f t="shared" si="76"/>
        <v>20.603289599999997</v>
      </c>
      <c r="CD93" s="59">
        <f t="shared" si="77"/>
        <v>22.345113599999994</v>
      </c>
    </row>
    <row r="94" spans="1:82" ht="13.5" customHeight="1" x14ac:dyDescent="0.25">
      <c r="A94" s="36" t="s">
        <v>636</v>
      </c>
      <c r="B94" s="68" t="s">
        <v>26</v>
      </c>
      <c r="C94" s="34">
        <v>0</v>
      </c>
      <c r="D94" s="34">
        <v>0</v>
      </c>
      <c r="E94" s="52">
        <v>0</v>
      </c>
      <c r="F94" s="34">
        <v>0</v>
      </c>
      <c r="G94" s="34">
        <v>0</v>
      </c>
      <c r="H94" s="52">
        <v>0</v>
      </c>
      <c r="I94" s="34">
        <v>0</v>
      </c>
      <c r="J94" s="34">
        <v>0</v>
      </c>
      <c r="K94" s="52">
        <v>0</v>
      </c>
      <c r="L94" s="34">
        <v>20</v>
      </c>
      <c r="M94" s="34">
        <v>0</v>
      </c>
      <c r="N94" s="46">
        <v>0</v>
      </c>
      <c r="O94" s="34">
        <v>0</v>
      </c>
      <c r="P94" s="34">
        <v>0</v>
      </c>
      <c r="Q94" s="52">
        <v>0</v>
      </c>
      <c r="R94" s="34">
        <v>0</v>
      </c>
      <c r="S94" s="34">
        <v>0</v>
      </c>
      <c r="T94" s="52">
        <v>0</v>
      </c>
      <c r="U94" s="34">
        <v>0</v>
      </c>
      <c r="V94" s="34">
        <v>0</v>
      </c>
      <c r="W94" s="52">
        <v>0</v>
      </c>
      <c r="X94" s="34">
        <v>45</v>
      </c>
      <c r="Y94" s="34">
        <v>0</v>
      </c>
      <c r="Z94" s="46">
        <v>0</v>
      </c>
      <c r="AA94" s="34">
        <v>0</v>
      </c>
      <c r="AB94" s="34">
        <v>0</v>
      </c>
      <c r="AC94" s="52">
        <v>0</v>
      </c>
      <c r="AD94" s="34">
        <v>0</v>
      </c>
      <c r="AE94" s="34">
        <v>0</v>
      </c>
      <c r="AF94" s="52">
        <v>0</v>
      </c>
      <c r="AG94" s="34">
        <v>10</v>
      </c>
      <c r="AH94" s="34">
        <v>0</v>
      </c>
      <c r="AI94" s="52">
        <v>0</v>
      </c>
      <c r="AJ94" s="34">
        <v>46</v>
      </c>
      <c r="AK94" s="34">
        <v>0</v>
      </c>
      <c r="AL94" s="46">
        <v>36</v>
      </c>
      <c r="AM94" s="34">
        <v>0</v>
      </c>
      <c r="AN94" s="34">
        <v>0</v>
      </c>
      <c r="AO94" s="52">
        <v>0</v>
      </c>
      <c r="AP94" s="34">
        <v>0</v>
      </c>
      <c r="AQ94" s="34">
        <v>0</v>
      </c>
      <c r="AR94" s="52">
        <v>0</v>
      </c>
      <c r="AS94" s="34">
        <v>0</v>
      </c>
      <c r="AT94" s="34">
        <v>0</v>
      </c>
      <c r="AU94" s="52">
        <v>0</v>
      </c>
      <c r="AV94" s="34">
        <v>0</v>
      </c>
      <c r="AW94" s="34">
        <v>0</v>
      </c>
      <c r="AX94" s="46">
        <v>0</v>
      </c>
      <c r="AY94" s="34">
        <f t="shared" si="52"/>
        <v>236.62216279039998</v>
      </c>
      <c r="AZ94" s="34">
        <f t="shared" si="53"/>
        <v>236.89350379519996</v>
      </c>
      <c r="BA94" s="52">
        <f t="shared" si="54"/>
        <v>227.4702700032</v>
      </c>
      <c r="BB94" s="34">
        <f t="shared" si="55"/>
        <v>236.62216279039998</v>
      </c>
      <c r="BC94" s="34">
        <f t="shared" si="56"/>
        <v>236.89350379519996</v>
      </c>
      <c r="BD94" s="52">
        <f t="shared" si="57"/>
        <v>227.4702700032</v>
      </c>
      <c r="BE94" s="34">
        <f t="shared" si="58"/>
        <v>246.62216279039998</v>
      </c>
      <c r="BF94" s="34">
        <f t="shared" si="59"/>
        <v>236.89350379519996</v>
      </c>
      <c r="BG94" s="52">
        <f t="shared" si="60"/>
        <v>227.4702700032</v>
      </c>
      <c r="BH94" s="34">
        <f t="shared" si="61"/>
        <v>327.62216279040001</v>
      </c>
      <c r="BI94" s="34">
        <f t="shared" si="62"/>
        <v>236.89350379519996</v>
      </c>
      <c r="BJ94" s="34">
        <f t="shared" si="63"/>
        <v>263.47027000319997</v>
      </c>
      <c r="BK94" s="57">
        <f t="shared" si="64"/>
        <v>2940.9437463551999</v>
      </c>
      <c r="BL94" s="34">
        <f t="shared" si="65"/>
        <v>700.98593658879997</v>
      </c>
      <c r="BM94" s="34">
        <f t="shared" si="66"/>
        <v>700.98593658879997</v>
      </c>
      <c r="BN94" s="34">
        <f t="shared" si="67"/>
        <v>710.98593658879997</v>
      </c>
      <c r="BO94" s="46">
        <f t="shared" si="68"/>
        <v>827.98593658879997</v>
      </c>
      <c r="BP94" s="65">
        <f t="shared" si="69"/>
        <v>236.62216279039998</v>
      </c>
      <c r="BQ94" s="65">
        <f t="shared" si="70"/>
        <v>236.89350379519996</v>
      </c>
      <c r="BR94" s="66">
        <f t="shared" si="71"/>
        <v>227.4702700032</v>
      </c>
      <c r="BS94" s="34">
        <v>113</v>
      </c>
      <c r="BT94" s="34">
        <v>110</v>
      </c>
      <c r="BU94" s="52">
        <v>103</v>
      </c>
      <c r="BV94" s="58">
        <f t="shared" si="72"/>
        <v>1633.1108139519999</v>
      </c>
      <c r="BW94" s="58">
        <f t="shared" si="73"/>
        <v>1634.4675189759998</v>
      </c>
      <c r="BX94" s="59">
        <f t="shared" si="74"/>
        <v>1587.351350016</v>
      </c>
      <c r="BY94" s="44">
        <v>8.67</v>
      </c>
      <c r="BZ94" s="44">
        <v>8.7100000000000009</v>
      </c>
      <c r="CA94" s="53">
        <v>8.36</v>
      </c>
      <c r="CB94" s="58">
        <f t="shared" si="75"/>
        <v>21.573734399999999</v>
      </c>
      <c r="CC94" s="58">
        <f t="shared" si="76"/>
        <v>21.673267199999994</v>
      </c>
      <c r="CD94" s="59">
        <f t="shared" si="77"/>
        <v>20.802355199999994</v>
      </c>
    </row>
    <row r="95" spans="1:82" ht="13.5" customHeight="1" x14ac:dyDescent="0.25">
      <c r="A95" s="36" t="s">
        <v>637</v>
      </c>
      <c r="B95" s="72" t="s">
        <v>159</v>
      </c>
      <c r="C95" s="34">
        <v>0</v>
      </c>
      <c r="D95" s="34">
        <v>0</v>
      </c>
      <c r="E95" s="52">
        <v>0</v>
      </c>
      <c r="F95" s="34">
        <v>0</v>
      </c>
      <c r="G95" s="34">
        <v>0</v>
      </c>
      <c r="H95" s="52">
        <v>0</v>
      </c>
      <c r="I95" s="34">
        <v>15</v>
      </c>
      <c r="J95" s="34">
        <v>0</v>
      </c>
      <c r="K95" s="52">
        <v>0</v>
      </c>
      <c r="L95" s="34">
        <v>0</v>
      </c>
      <c r="M95" s="34">
        <v>0</v>
      </c>
      <c r="N95" s="46">
        <v>0</v>
      </c>
      <c r="O95" s="34">
        <v>0</v>
      </c>
      <c r="P95" s="34">
        <v>0</v>
      </c>
      <c r="Q95" s="52">
        <v>0</v>
      </c>
      <c r="R95" s="34">
        <v>0</v>
      </c>
      <c r="S95" s="34">
        <v>0</v>
      </c>
      <c r="T95" s="52">
        <v>0</v>
      </c>
      <c r="U95" s="34">
        <v>50</v>
      </c>
      <c r="V95" s="34">
        <v>15</v>
      </c>
      <c r="W95" s="52">
        <v>15</v>
      </c>
      <c r="X95" s="34">
        <v>0</v>
      </c>
      <c r="Y95" s="34">
        <v>0</v>
      </c>
      <c r="Z95" s="46">
        <v>0</v>
      </c>
      <c r="AA95" s="34">
        <v>0</v>
      </c>
      <c r="AB95" s="34">
        <v>0</v>
      </c>
      <c r="AC95" s="52">
        <v>0</v>
      </c>
      <c r="AD95" s="34">
        <v>0</v>
      </c>
      <c r="AE95" s="34">
        <v>0</v>
      </c>
      <c r="AF95" s="52">
        <v>0</v>
      </c>
      <c r="AG95" s="34">
        <v>10</v>
      </c>
      <c r="AH95" s="34">
        <v>0</v>
      </c>
      <c r="AI95" s="52">
        <v>10</v>
      </c>
      <c r="AJ95" s="34">
        <v>0</v>
      </c>
      <c r="AK95" s="34">
        <v>0</v>
      </c>
      <c r="AL95" s="46">
        <v>0</v>
      </c>
      <c r="AM95" s="34">
        <v>0</v>
      </c>
      <c r="AN95" s="34">
        <v>0</v>
      </c>
      <c r="AO95" s="52">
        <v>0</v>
      </c>
      <c r="AP95" s="34">
        <v>0</v>
      </c>
      <c r="AQ95" s="34">
        <v>0</v>
      </c>
      <c r="AR95" s="52">
        <v>0</v>
      </c>
      <c r="AS95" s="34">
        <v>0</v>
      </c>
      <c r="AT95" s="34">
        <v>0</v>
      </c>
      <c r="AU95" s="52">
        <v>0</v>
      </c>
      <c r="AV95" s="34">
        <v>0</v>
      </c>
      <c r="AW95" s="34">
        <v>0</v>
      </c>
      <c r="AX95" s="46">
        <v>0</v>
      </c>
      <c r="AY95" s="34">
        <f t="shared" si="52"/>
        <v>235.04915128319996</v>
      </c>
      <c r="AZ95" s="34">
        <f t="shared" si="53"/>
        <v>224.93057648639999</v>
      </c>
      <c r="BA95" s="52">
        <f t="shared" si="54"/>
        <v>248.1907606016</v>
      </c>
      <c r="BB95" s="34">
        <f t="shared" si="55"/>
        <v>235.04915128319996</v>
      </c>
      <c r="BC95" s="34">
        <f t="shared" si="56"/>
        <v>224.93057648639999</v>
      </c>
      <c r="BD95" s="52">
        <f t="shared" si="57"/>
        <v>248.1907606016</v>
      </c>
      <c r="BE95" s="34">
        <f t="shared" si="58"/>
        <v>295.04915128319999</v>
      </c>
      <c r="BF95" s="34">
        <f t="shared" si="59"/>
        <v>239.93057648639999</v>
      </c>
      <c r="BG95" s="52">
        <f t="shared" si="60"/>
        <v>273.1907606016</v>
      </c>
      <c r="BH95" s="34">
        <f t="shared" si="61"/>
        <v>235.04915128319996</v>
      </c>
      <c r="BI95" s="34">
        <f t="shared" si="62"/>
        <v>224.93057648639999</v>
      </c>
      <c r="BJ95" s="34">
        <f t="shared" si="63"/>
        <v>248.1907606016</v>
      </c>
      <c r="BK95" s="57">
        <f t="shared" si="64"/>
        <v>2932.6819534848</v>
      </c>
      <c r="BL95" s="34">
        <f t="shared" si="65"/>
        <v>708.17048837120001</v>
      </c>
      <c r="BM95" s="34">
        <f t="shared" si="66"/>
        <v>708.17048837120001</v>
      </c>
      <c r="BN95" s="34">
        <f t="shared" si="67"/>
        <v>808.17048837120001</v>
      </c>
      <c r="BO95" s="46">
        <f t="shared" si="68"/>
        <v>708.17048837120001</v>
      </c>
      <c r="BP95" s="65">
        <f t="shared" si="69"/>
        <v>235.04915128319996</v>
      </c>
      <c r="BQ95" s="65">
        <f t="shared" si="70"/>
        <v>224.93057648639999</v>
      </c>
      <c r="BR95" s="66">
        <f t="shared" si="71"/>
        <v>248.1907606016</v>
      </c>
      <c r="BS95" s="34">
        <v>112</v>
      </c>
      <c r="BT95" s="34">
        <v>106</v>
      </c>
      <c r="BU95" s="52">
        <v>113</v>
      </c>
      <c r="BV95" s="58">
        <f t="shared" si="72"/>
        <v>1625.2457564159997</v>
      </c>
      <c r="BW95" s="58">
        <f t="shared" si="73"/>
        <v>1574.6528824319998</v>
      </c>
      <c r="BX95" s="59">
        <f t="shared" si="74"/>
        <v>1690.953803008</v>
      </c>
      <c r="BY95" s="44">
        <v>8.61</v>
      </c>
      <c r="BZ95" s="44">
        <v>8.2200000000000006</v>
      </c>
      <c r="CA95" s="53">
        <v>9.18</v>
      </c>
      <c r="CB95" s="58">
        <f t="shared" si="75"/>
        <v>21.424435199999994</v>
      </c>
      <c r="CC95" s="58">
        <f t="shared" si="76"/>
        <v>20.453990399999999</v>
      </c>
      <c r="CD95" s="59">
        <f t="shared" si="77"/>
        <v>22.842777599999998</v>
      </c>
    </row>
    <row r="96" spans="1:82" ht="13.5" customHeight="1" x14ac:dyDescent="0.25">
      <c r="A96" s="36" t="s">
        <v>638</v>
      </c>
      <c r="B96" s="72" t="s">
        <v>169</v>
      </c>
      <c r="C96" s="34">
        <v>0</v>
      </c>
      <c r="D96" s="34">
        <v>0</v>
      </c>
      <c r="E96" s="52">
        <v>0</v>
      </c>
      <c r="F96" s="34">
        <v>0</v>
      </c>
      <c r="G96" s="34">
        <v>0</v>
      </c>
      <c r="H96" s="52">
        <v>0</v>
      </c>
      <c r="I96" s="34">
        <v>35</v>
      </c>
      <c r="J96" s="34">
        <v>0</v>
      </c>
      <c r="K96" s="52">
        <v>0</v>
      </c>
      <c r="L96" s="34">
        <v>0</v>
      </c>
      <c r="M96" s="34">
        <v>0</v>
      </c>
      <c r="N96" s="46">
        <v>0</v>
      </c>
      <c r="O96" s="34">
        <v>0</v>
      </c>
      <c r="P96" s="34">
        <v>0</v>
      </c>
      <c r="Q96" s="52">
        <v>0</v>
      </c>
      <c r="R96" s="34">
        <v>0</v>
      </c>
      <c r="S96" s="34">
        <v>0</v>
      </c>
      <c r="T96" s="52">
        <v>0</v>
      </c>
      <c r="U96" s="34">
        <v>60</v>
      </c>
      <c r="V96" s="34">
        <v>25</v>
      </c>
      <c r="W96" s="52">
        <v>25</v>
      </c>
      <c r="X96" s="34">
        <v>0</v>
      </c>
      <c r="Y96" s="34">
        <v>0</v>
      </c>
      <c r="Z96" s="46">
        <v>0</v>
      </c>
      <c r="AA96" s="34">
        <v>0</v>
      </c>
      <c r="AB96" s="34">
        <v>0</v>
      </c>
      <c r="AC96" s="52">
        <v>0</v>
      </c>
      <c r="AD96" s="34">
        <v>0</v>
      </c>
      <c r="AE96" s="34">
        <v>0</v>
      </c>
      <c r="AF96" s="52">
        <v>0</v>
      </c>
      <c r="AG96" s="34">
        <v>26</v>
      </c>
      <c r="AH96" s="34">
        <v>16</v>
      </c>
      <c r="AI96" s="52">
        <v>10</v>
      </c>
      <c r="AJ96" s="34">
        <v>0</v>
      </c>
      <c r="AK96" s="34">
        <v>0</v>
      </c>
      <c r="AL96" s="46">
        <v>0</v>
      </c>
      <c r="AM96" s="34">
        <v>0</v>
      </c>
      <c r="AN96" s="34">
        <v>0</v>
      </c>
      <c r="AO96" s="52">
        <v>0</v>
      </c>
      <c r="AP96" s="34">
        <v>0</v>
      </c>
      <c r="AQ96" s="34">
        <v>0</v>
      </c>
      <c r="AR96" s="52">
        <v>0</v>
      </c>
      <c r="AS96" s="34">
        <v>0</v>
      </c>
      <c r="AT96" s="34">
        <v>0</v>
      </c>
      <c r="AU96" s="52">
        <v>0</v>
      </c>
      <c r="AV96" s="34">
        <v>0</v>
      </c>
      <c r="AW96" s="34">
        <v>0</v>
      </c>
      <c r="AX96" s="46">
        <v>0</v>
      </c>
      <c r="AY96" s="34">
        <f t="shared" si="52"/>
        <v>210.4279556608</v>
      </c>
      <c r="AZ96" s="34">
        <f t="shared" si="53"/>
        <v>240.03952680960001</v>
      </c>
      <c r="BA96" s="52">
        <f t="shared" si="54"/>
        <v>231.47912826880003</v>
      </c>
      <c r="BB96" s="34">
        <f t="shared" si="55"/>
        <v>210.4279556608</v>
      </c>
      <c r="BC96" s="34">
        <f t="shared" si="56"/>
        <v>240.03952680960001</v>
      </c>
      <c r="BD96" s="52">
        <f t="shared" si="57"/>
        <v>231.47912826880003</v>
      </c>
      <c r="BE96" s="34">
        <f t="shared" si="58"/>
        <v>296.42795566079997</v>
      </c>
      <c r="BF96" s="34">
        <f t="shared" si="59"/>
        <v>281.03952680960003</v>
      </c>
      <c r="BG96" s="52">
        <f t="shared" si="60"/>
        <v>266.47912826880003</v>
      </c>
      <c r="BH96" s="34">
        <f t="shared" si="61"/>
        <v>210.4279556608</v>
      </c>
      <c r="BI96" s="34">
        <f t="shared" si="62"/>
        <v>240.03952680960001</v>
      </c>
      <c r="BJ96" s="34">
        <f t="shared" si="63"/>
        <v>231.47912826880003</v>
      </c>
      <c r="BK96" s="57">
        <f t="shared" si="64"/>
        <v>2889.7864429567999</v>
      </c>
      <c r="BL96" s="34">
        <f t="shared" si="65"/>
        <v>681.94661073919997</v>
      </c>
      <c r="BM96" s="34">
        <f t="shared" si="66"/>
        <v>681.94661073919997</v>
      </c>
      <c r="BN96" s="34">
        <f t="shared" si="67"/>
        <v>843.94661073919997</v>
      </c>
      <c r="BO96" s="46">
        <f t="shared" si="68"/>
        <v>681.94661073919997</v>
      </c>
      <c r="BP96" s="65">
        <f t="shared" si="69"/>
        <v>210.4279556608</v>
      </c>
      <c r="BQ96" s="65">
        <f t="shared" si="70"/>
        <v>240.03952680960001</v>
      </c>
      <c r="BR96" s="66">
        <f t="shared" si="71"/>
        <v>231.47912826880003</v>
      </c>
      <c r="BS96" s="34">
        <v>105</v>
      </c>
      <c r="BT96" s="34">
        <v>112</v>
      </c>
      <c r="BU96" s="52">
        <v>108</v>
      </c>
      <c r="BV96" s="58">
        <f t="shared" si="72"/>
        <v>1502.1397783039999</v>
      </c>
      <c r="BW96" s="58">
        <f t="shared" si="73"/>
        <v>1650.1976340480001</v>
      </c>
      <c r="BX96" s="59">
        <f t="shared" si="74"/>
        <v>1607.3956413440001</v>
      </c>
      <c r="BY96" s="44">
        <v>7.59</v>
      </c>
      <c r="BZ96" s="44">
        <v>8.83</v>
      </c>
      <c r="CA96" s="53">
        <v>8.49</v>
      </c>
      <c r="CB96" s="58">
        <f t="shared" si="75"/>
        <v>18.886348799999997</v>
      </c>
      <c r="CC96" s="58">
        <f t="shared" si="76"/>
        <v>21.971865599999997</v>
      </c>
      <c r="CD96" s="59">
        <f t="shared" si="77"/>
        <v>21.125836799999998</v>
      </c>
    </row>
    <row r="97" spans="1:82" ht="13.5" customHeight="1" x14ac:dyDescent="0.25">
      <c r="A97" s="36" t="s">
        <v>639</v>
      </c>
      <c r="B97" s="68" t="s">
        <v>102</v>
      </c>
      <c r="C97" s="34">
        <v>0</v>
      </c>
      <c r="D97" s="34">
        <v>0</v>
      </c>
      <c r="E97" s="52">
        <v>0</v>
      </c>
      <c r="F97" s="34">
        <v>35</v>
      </c>
      <c r="G97" s="34">
        <v>0</v>
      </c>
      <c r="H97" s="52">
        <v>0</v>
      </c>
      <c r="I97" s="34">
        <v>0</v>
      </c>
      <c r="J97" s="34">
        <v>0</v>
      </c>
      <c r="K97" s="52">
        <v>0</v>
      </c>
      <c r="L97" s="34">
        <v>0</v>
      </c>
      <c r="M97" s="34">
        <v>0</v>
      </c>
      <c r="N97" s="46">
        <v>0</v>
      </c>
      <c r="O97" s="34">
        <v>0</v>
      </c>
      <c r="P97" s="34">
        <v>0</v>
      </c>
      <c r="Q97" s="52">
        <v>0</v>
      </c>
      <c r="R97" s="34">
        <v>75</v>
      </c>
      <c r="S97" s="34">
        <v>20</v>
      </c>
      <c r="T97" s="52">
        <v>20</v>
      </c>
      <c r="U97" s="34">
        <v>0</v>
      </c>
      <c r="V97" s="34">
        <v>0</v>
      </c>
      <c r="W97" s="52">
        <v>0</v>
      </c>
      <c r="X97" s="34">
        <v>0</v>
      </c>
      <c r="Y97" s="34">
        <v>0</v>
      </c>
      <c r="Z97" s="46">
        <v>0</v>
      </c>
      <c r="AA97" s="34">
        <v>6</v>
      </c>
      <c r="AB97" s="34">
        <v>0</v>
      </c>
      <c r="AC97" s="52">
        <v>0</v>
      </c>
      <c r="AD97" s="34">
        <v>36</v>
      </c>
      <c r="AE97" s="34">
        <v>0</v>
      </c>
      <c r="AF97" s="52">
        <v>30</v>
      </c>
      <c r="AG97" s="34">
        <v>6</v>
      </c>
      <c r="AH97" s="34">
        <v>0</v>
      </c>
      <c r="AI97" s="52">
        <v>0</v>
      </c>
      <c r="AJ97" s="34">
        <v>6</v>
      </c>
      <c r="AK97" s="34">
        <v>0</v>
      </c>
      <c r="AL97" s="46">
        <v>0</v>
      </c>
      <c r="AM97" s="34">
        <v>0</v>
      </c>
      <c r="AN97" s="34">
        <v>0</v>
      </c>
      <c r="AO97" s="52">
        <v>0</v>
      </c>
      <c r="AP97" s="34">
        <v>0</v>
      </c>
      <c r="AQ97" s="34">
        <v>0</v>
      </c>
      <c r="AR97" s="52">
        <v>0</v>
      </c>
      <c r="AS97" s="34">
        <v>0</v>
      </c>
      <c r="AT97" s="34">
        <v>0</v>
      </c>
      <c r="AU97" s="52">
        <v>0</v>
      </c>
      <c r="AV97" s="34">
        <v>0</v>
      </c>
      <c r="AW97" s="34">
        <v>0</v>
      </c>
      <c r="AX97" s="46">
        <v>0</v>
      </c>
      <c r="AY97" s="34">
        <f t="shared" si="52"/>
        <v>216.63995566079998</v>
      </c>
      <c r="AZ97" s="34">
        <f t="shared" si="53"/>
        <v>216.62668369919999</v>
      </c>
      <c r="BA97" s="52">
        <f t="shared" si="54"/>
        <v>242.06620881919994</v>
      </c>
      <c r="BB97" s="34">
        <f t="shared" si="55"/>
        <v>321.63995566079996</v>
      </c>
      <c r="BC97" s="34">
        <f t="shared" si="56"/>
        <v>236.62668369919999</v>
      </c>
      <c r="BD97" s="52">
        <f t="shared" si="57"/>
        <v>292.06620881919991</v>
      </c>
      <c r="BE97" s="34">
        <f t="shared" si="58"/>
        <v>216.63995566079998</v>
      </c>
      <c r="BF97" s="34">
        <f t="shared" si="59"/>
        <v>216.62668369919999</v>
      </c>
      <c r="BG97" s="52">
        <f t="shared" si="60"/>
        <v>242.06620881919994</v>
      </c>
      <c r="BH97" s="34">
        <f t="shared" si="61"/>
        <v>216.63995566079998</v>
      </c>
      <c r="BI97" s="34">
        <f t="shared" si="62"/>
        <v>216.62668369919999</v>
      </c>
      <c r="BJ97" s="34">
        <f t="shared" si="63"/>
        <v>242.06620881919994</v>
      </c>
      <c r="BK97" s="57">
        <f t="shared" si="64"/>
        <v>2876.3313927167997</v>
      </c>
      <c r="BL97" s="34">
        <f t="shared" si="65"/>
        <v>675.33284817919991</v>
      </c>
      <c r="BM97" s="34">
        <f t="shared" si="66"/>
        <v>850.33284817919991</v>
      </c>
      <c r="BN97" s="34">
        <f t="shared" si="67"/>
        <v>675.33284817919991</v>
      </c>
      <c r="BO97" s="46">
        <f t="shared" si="68"/>
        <v>675.33284817919991</v>
      </c>
      <c r="BP97" s="65">
        <f t="shared" si="69"/>
        <v>210.63995566079998</v>
      </c>
      <c r="BQ97" s="65">
        <f t="shared" si="70"/>
        <v>216.62668369919999</v>
      </c>
      <c r="BR97" s="66">
        <f t="shared" si="71"/>
        <v>242.06620881919994</v>
      </c>
      <c r="BS97" s="34">
        <v>106</v>
      </c>
      <c r="BT97" s="34">
        <v>100</v>
      </c>
      <c r="BU97" s="52">
        <v>113</v>
      </c>
      <c r="BV97" s="58">
        <f t="shared" si="72"/>
        <v>1503.1997783039999</v>
      </c>
      <c r="BW97" s="58">
        <f t="shared" si="73"/>
        <v>1533.1334184959999</v>
      </c>
      <c r="BX97" s="59">
        <f t="shared" si="74"/>
        <v>1660.3310440959997</v>
      </c>
      <c r="BY97" s="44">
        <v>7.59</v>
      </c>
      <c r="BZ97" s="44">
        <v>7.91</v>
      </c>
      <c r="CA97" s="53">
        <v>8.91</v>
      </c>
      <c r="CB97" s="58">
        <f t="shared" si="75"/>
        <v>18.886348799999997</v>
      </c>
      <c r="CC97" s="58">
        <f t="shared" si="76"/>
        <v>19.682611199999997</v>
      </c>
      <c r="CD97" s="59">
        <f t="shared" si="77"/>
        <v>22.170931199999995</v>
      </c>
    </row>
    <row r="98" spans="1:82" ht="13.5" customHeight="1" x14ac:dyDescent="0.25">
      <c r="A98" s="36" t="s">
        <v>660</v>
      </c>
      <c r="B98" s="68" t="s">
        <v>136</v>
      </c>
      <c r="C98" s="34">
        <v>35</v>
      </c>
      <c r="D98" s="34">
        <v>0</v>
      </c>
      <c r="E98" s="52">
        <v>0</v>
      </c>
      <c r="F98" s="34">
        <v>0</v>
      </c>
      <c r="G98" s="34">
        <v>0</v>
      </c>
      <c r="H98" s="52">
        <v>0</v>
      </c>
      <c r="I98" s="34">
        <v>0</v>
      </c>
      <c r="J98" s="34">
        <v>0</v>
      </c>
      <c r="K98" s="52">
        <v>0</v>
      </c>
      <c r="L98" s="34">
        <v>0</v>
      </c>
      <c r="M98" s="34">
        <v>0</v>
      </c>
      <c r="N98" s="46">
        <v>0</v>
      </c>
      <c r="O98" s="34">
        <v>60</v>
      </c>
      <c r="P98" s="34">
        <v>25</v>
      </c>
      <c r="Q98" s="52">
        <v>25</v>
      </c>
      <c r="R98" s="34">
        <v>0</v>
      </c>
      <c r="S98" s="34">
        <v>0</v>
      </c>
      <c r="T98" s="52">
        <v>0</v>
      </c>
      <c r="U98" s="34">
        <v>0</v>
      </c>
      <c r="V98" s="34">
        <v>0</v>
      </c>
      <c r="W98" s="52">
        <v>0</v>
      </c>
      <c r="X98" s="34">
        <v>0</v>
      </c>
      <c r="Y98" s="34">
        <v>0</v>
      </c>
      <c r="Z98" s="46">
        <v>0</v>
      </c>
      <c r="AA98" s="34">
        <v>46</v>
      </c>
      <c r="AB98" s="34">
        <v>36</v>
      </c>
      <c r="AC98" s="52">
        <v>10</v>
      </c>
      <c r="AD98" s="34">
        <v>10</v>
      </c>
      <c r="AE98" s="34">
        <v>0</v>
      </c>
      <c r="AF98" s="52">
        <v>0</v>
      </c>
      <c r="AG98" s="34">
        <v>0</v>
      </c>
      <c r="AH98" s="34">
        <v>0</v>
      </c>
      <c r="AI98" s="52">
        <v>0</v>
      </c>
      <c r="AJ98" s="34">
        <v>0</v>
      </c>
      <c r="AK98" s="34">
        <v>0</v>
      </c>
      <c r="AL98" s="46">
        <v>0</v>
      </c>
      <c r="AM98" s="34">
        <v>0</v>
      </c>
      <c r="AN98" s="34">
        <v>0</v>
      </c>
      <c r="AO98" s="52">
        <v>0</v>
      </c>
      <c r="AP98" s="34">
        <v>0</v>
      </c>
      <c r="AQ98" s="34">
        <v>0</v>
      </c>
      <c r="AR98" s="52">
        <v>0</v>
      </c>
      <c r="AS98" s="34">
        <v>0</v>
      </c>
      <c r="AT98" s="34">
        <v>0</v>
      </c>
      <c r="AU98" s="52">
        <v>0</v>
      </c>
      <c r="AV98" s="34">
        <v>0</v>
      </c>
      <c r="AW98" s="34">
        <v>0</v>
      </c>
      <c r="AX98" s="46">
        <v>0</v>
      </c>
      <c r="AY98" s="34">
        <f t="shared" si="52"/>
        <v>316.21595566079998</v>
      </c>
      <c r="AZ98" s="34">
        <f t="shared" si="53"/>
        <v>273.27230817279997</v>
      </c>
      <c r="BA98" s="52">
        <f t="shared" si="54"/>
        <v>264.0284462592</v>
      </c>
      <c r="BB98" s="34">
        <f t="shared" si="55"/>
        <v>220.21595566080001</v>
      </c>
      <c r="BC98" s="34">
        <f t="shared" si="56"/>
        <v>212.27230817279997</v>
      </c>
      <c r="BD98" s="52">
        <f t="shared" si="57"/>
        <v>229.02844625920002</v>
      </c>
      <c r="BE98" s="34">
        <f t="shared" si="58"/>
        <v>210.21595566080001</v>
      </c>
      <c r="BF98" s="34">
        <f t="shared" si="59"/>
        <v>212.27230817279997</v>
      </c>
      <c r="BG98" s="52">
        <f t="shared" si="60"/>
        <v>229.02844625920002</v>
      </c>
      <c r="BH98" s="34">
        <f t="shared" si="61"/>
        <v>210.21595566080001</v>
      </c>
      <c r="BI98" s="34">
        <f t="shared" si="62"/>
        <v>212.27230817279997</v>
      </c>
      <c r="BJ98" s="34">
        <f t="shared" si="63"/>
        <v>229.02844625920002</v>
      </c>
      <c r="BK98" s="57">
        <f t="shared" si="64"/>
        <v>2818.0668403711998</v>
      </c>
      <c r="BL98" s="34">
        <f t="shared" si="65"/>
        <v>853.51671009279994</v>
      </c>
      <c r="BM98" s="34">
        <f t="shared" si="66"/>
        <v>661.51671009279994</v>
      </c>
      <c r="BN98" s="34">
        <f t="shared" si="67"/>
        <v>651.51671009279994</v>
      </c>
      <c r="BO98" s="46">
        <f t="shared" si="68"/>
        <v>651.51671009279994</v>
      </c>
      <c r="BP98" s="65">
        <f t="shared" si="69"/>
        <v>210.21595566080001</v>
      </c>
      <c r="BQ98" s="65">
        <f t="shared" si="70"/>
        <v>212.27230817279997</v>
      </c>
      <c r="BR98" s="66">
        <f t="shared" si="71"/>
        <v>229.02844625920002</v>
      </c>
      <c r="BS98" s="34">
        <v>104</v>
      </c>
      <c r="BT98" s="34">
        <v>103</v>
      </c>
      <c r="BU98" s="52">
        <v>105</v>
      </c>
      <c r="BV98" s="58">
        <f t="shared" si="72"/>
        <v>1501.079778304</v>
      </c>
      <c r="BW98" s="58">
        <f t="shared" si="73"/>
        <v>1511.3615408639998</v>
      </c>
      <c r="BX98" s="59">
        <f t="shared" si="74"/>
        <v>1595.1422312960001</v>
      </c>
      <c r="BY98" s="44">
        <v>7.59</v>
      </c>
      <c r="BZ98" s="44">
        <v>7.69</v>
      </c>
      <c r="CA98" s="53">
        <v>8.41</v>
      </c>
      <c r="CB98" s="58">
        <f t="shared" si="75"/>
        <v>18.886348799999997</v>
      </c>
      <c r="CC98" s="58">
        <f t="shared" si="76"/>
        <v>19.135180799999997</v>
      </c>
      <c r="CD98" s="59">
        <f t="shared" si="77"/>
        <v>20.926771200000001</v>
      </c>
    </row>
    <row r="99" spans="1:82" ht="13.5" customHeight="1" x14ac:dyDescent="0.25">
      <c r="A99" s="36" t="s">
        <v>661</v>
      </c>
      <c r="B99" s="68" t="s">
        <v>288</v>
      </c>
      <c r="C99" s="34">
        <v>0</v>
      </c>
      <c r="D99" s="34">
        <v>0</v>
      </c>
      <c r="E99" s="52">
        <v>0</v>
      </c>
      <c r="F99" s="34">
        <v>0</v>
      </c>
      <c r="G99" s="34">
        <v>0</v>
      </c>
      <c r="H99" s="52">
        <v>0</v>
      </c>
      <c r="I99" s="34">
        <v>0</v>
      </c>
      <c r="J99" s="34">
        <v>0</v>
      </c>
      <c r="K99" s="52">
        <v>0</v>
      </c>
      <c r="L99" s="34">
        <v>35</v>
      </c>
      <c r="M99" s="34">
        <v>0</v>
      </c>
      <c r="N99" s="46">
        <v>0</v>
      </c>
      <c r="O99" s="34">
        <v>0</v>
      </c>
      <c r="P99" s="34">
        <v>0</v>
      </c>
      <c r="Q99" s="52">
        <v>0</v>
      </c>
      <c r="R99" s="34">
        <v>0</v>
      </c>
      <c r="S99" s="34">
        <v>0</v>
      </c>
      <c r="T99" s="52">
        <v>0</v>
      </c>
      <c r="U99" s="34">
        <v>0</v>
      </c>
      <c r="V99" s="34">
        <v>0</v>
      </c>
      <c r="W99" s="52">
        <v>0</v>
      </c>
      <c r="X99" s="34">
        <v>60</v>
      </c>
      <c r="Y99" s="34">
        <v>25</v>
      </c>
      <c r="Z99" s="46">
        <v>25</v>
      </c>
      <c r="AA99" s="34">
        <v>0</v>
      </c>
      <c r="AB99" s="34">
        <v>0</v>
      </c>
      <c r="AC99" s="52">
        <v>0</v>
      </c>
      <c r="AD99" s="34">
        <v>0</v>
      </c>
      <c r="AE99" s="34">
        <v>0</v>
      </c>
      <c r="AF99" s="52">
        <v>0</v>
      </c>
      <c r="AG99" s="34">
        <v>0</v>
      </c>
      <c r="AH99" s="34">
        <v>0</v>
      </c>
      <c r="AI99" s="52">
        <v>0</v>
      </c>
      <c r="AJ99" s="34">
        <v>36</v>
      </c>
      <c r="AK99" s="34">
        <v>36</v>
      </c>
      <c r="AL99" s="46">
        <v>0</v>
      </c>
      <c r="AM99" s="34">
        <v>0</v>
      </c>
      <c r="AN99" s="34">
        <v>0</v>
      </c>
      <c r="AO99" s="52">
        <v>0</v>
      </c>
      <c r="AP99" s="34">
        <v>0</v>
      </c>
      <c r="AQ99" s="34">
        <v>0</v>
      </c>
      <c r="AR99" s="52">
        <v>0</v>
      </c>
      <c r="AS99" s="34">
        <v>0</v>
      </c>
      <c r="AT99" s="34">
        <v>0</v>
      </c>
      <c r="AU99" s="52">
        <v>0</v>
      </c>
      <c r="AV99" s="34">
        <v>0</v>
      </c>
      <c r="AW99" s="34">
        <v>0</v>
      </c>
      <c r="AX99" s="46">
        <v>0</v>
      </c>
      <c r="AY99" s="34">
        <f t="shared" ref="AY99:AY113" si="78">O99+AA99+AM99+BP99</f>
        <v>218.12551895039996</v>
      </c>
      <c r="AZ99" s="34">
        <f t="shared" ref="AZ99:AZ113" si="79">P99+AB99+AN99+BQ99</f>
        <v>214.81200168959992</v>
      </c>
      <c r="BA99" s="52">
        <f t="shared" ref="BA99:BA113" si="80">Q99+AC99+AO99+BR99</f>
        <v>214.81200168959992</v>
      </c>
      <c r="BB99" s="34">
        <f t="shared" ref="BB99:BB113" si="81">R99+AD99+AP99+BP99</f>
        <v>218.12551895039996</v>
      </c>
      <c r="BC99" s="34">
        <f t="shared" ref="BC99:BC113" si="82">S99+AE99+AQ99+BQ99</f>
        <v>214.81200168959992</v>
      </c>
      <c r="BD99" s="52">
        <f t="shared" ref="BD99:BD113" si="83">T99+AF99+AR99+BR99</f>
        <v>214.81200168959992</v>
      </c>
      <c r="BE99" s="34">
        <f t="shared" ref="BE99:BE113" si="84">U99+AG99+AS99+BP99</f>
        <v>218.12551895039996</v>
      </c>
      <c r="BF99" s="34">
        <f t="shared" ref="BF99:BF113" si="85">V99+AH99+AT99+BQ99</f>
        <v>214.81200168959992</v>
      </c>
      <c r="BG99" s="52">
        <f t="shared" ref="BG99:BG113" si="86">W99+AI99+AU99+BR99</f>
        <v>214.81200168959992</v>
      </c>
      <c r="BH99" s="34">
        <f t="shared" ref="BH99:BH113" si="87">X99+AJ99+AV99+BP99</f>
        <v>314.12551895039996</v>
      </c>
      <c r="BI99" s="34">
        <f t="shared" ref="BI99:BI113" si="88">Y99+AK99+AW99+BQ99</f>
        <v>275.81200168959992</v>
      </c>
      <c r="BJ99" s="34">
        <f t="shared" ref="BJ99:BJ113" si="89">Z99+AL99+AX99+BR99</f>
        <v>239.81200168959992</v>
      </c>
      <c r="BK99" s="57">
        <f t="shared" ref="BK99:BK113" si="90">BL99+BM99+BN99+BO99</f>
        <v>2772.9980893183993</v>
      </c>
      <c r="BL99" s="34">
        <f t="shared" ref="BL99:BL113" si="91">AY99+AZ99+BA99</f>
        <v>647.74952232959981</v>
      </c>
      <c r="BM99" s="34">
        <f t="shared" ref="BM99:BM113" si="92">BB99+BC99+BD99</f>
        <v>647.74952232959981</v>
      </c>
      <c r="BN99" s="34">
        <f t="shared" ref="BN99:BN113" si="93">BE99+BF99+BG99</f>
        <v>647.74952232959981</v>
      </c>
      <c r="BO99" s="46">
        <f t="shared" ref="BO99:BO113" si="94">BH99+BI99+BJ99</f>
        <v>829.74952232959981</v>
      </c>
      <c r="BP99" s="65">
        <f t="shared" ref="BP99:BP113" si="95">900*0.1+(BV99-900)*0.2</f>
        <v>218.12551895039996</v>
      </c>
      <c r="BQ99" s="65">
        <f t="shared" ref="BQ99:BQ113" si="96">900*0.1+(BW99-900)*0.2</f>
        <v>214.81200168959992</v>
      </c>
      <c r="BR99" s="66">
        <f t="shared" ref="BR99:BR113" si="97">900*0.1+(BX99-900)*0.2</f>
        <v>214.81200168959992</v>
      </c>
      <c r="BS99" s="34">
        <v>106</v>
      </c>
      <c r="BT99" s="34">
        <v>100</v>
      </c>
      <c r="BU99" s="52">
        <v>100</v>
      </c>
      <c r="BV99" s="58">
        <f t="shared" ref="BV99:BV113" si="98">(BS99+CB99*(CG$1-1))+500+((BS99+CB99*(CG$1-1))+500)*$CH$2</f>
        <v>1540.6275947519998</v>
      </c>
      <c r="BW99" s="58">
        <f t="shared" ref="BW99:BW113" si="99">(BT99+CC99*(CG$1-1))+500+((BT99+CC99*(CG$1-1))+500)*$CH$2</f>
        <v>1524.0600084479995</v>
      </c>
      <c r="BX99" s="59">
        <f t="shared" ref="BX99:BX113" si="100">(BU99+CD99*(CG$1-1))+500+((BU99+CD99*(CG$1-1))+500)*$CH$2</f>
        <v>1524.0600084479995</v>
      </c>
      <c r="BY99" s="44">
        <v>7.92</v>
      </c>
      <c r="BZ99" s="44">
        <v>7.83</v>
      </c>
      <c r="CA99" s="53">
        <v>7.83</v>
      </c>
      <c r="CB99" s="58">
        <f t="shared" ref="CB99:CB113" si="101">(((((1+20/100)*$BY99)*(1+20/100)))*(1+20/100))*(1+20/100)*(1+20/100)</f>
        <v>19.707494399999998</v>
      </c>
      <c r="CC99" s="58">
        <f t="shared" ref="CC99:CC113" si="102">(((((1+20/100)*$BZ99)*(1+20/100)))*(1+20/100))*(1+20/100)*(1+20/100)</f>
        <v>19.483545599999992</v>
      </c>
      <c r="CD99" s="59">
        <f t="shared" ref="CD99:CD113" si="103">(((((1+20/100)*$CA99)*(1+20/100)))*(1+20/100))*(1+20/100)*(1+20/100)</f>
        <v>19.483545599999992</v>
      </c>
    </row>
    <row r="100" spans="1:82" ht="13.5" customHeight="1" x14ac:dyDescent="0.25">
      <c r="A100" s="36" t="s">
        <v>662</v>
      </c>
      <c r="B100" s="62" t="s">
        <v>1142</v>
      </c>
      <c r="C100" s="34">
        <v>0</v>
      </c>
      <c r="D100" s="34">
        <v>0</v>
      </c>
      <c r="E100" s="52">
        <v>0</v>
      </c>
      <c r="F100" s="34">
        <v>60</v>
      </c>
      <c r="G100" s="34">
        <v>60</v>
      </c>
      <c r="H100" s="52">
        <v>45</v>
      </c>
      <c r="I100" s="34">
        <v>0</v>
      </c>
      <c r="J100" s="34">
        <v>0</v>
      </c>
      <c r="K100" s="50">
        <v>0</v>
      </c>
      <c r="L100" s="41">
        <v>0</v>
      </c>
      <c r="M100" s="41">
        <v>0</v>
      </c>
      <c r="N100" s="48">
        <v>0</v>
      </c>
      <c r="O100" s="41">
        <v>35</v>
      </c>
      <c r="P100" s="41">
        <v>0</v>
      </c>
      <c r="Q100" s="50">
        <v>0</v>
      </c>
      <c r="R100" s="41">
        <v>110</v>
      </c>
      <c r="S100" s="41">
        <v>120</v>
      </c>
      <c r="T100" s="50">
        <v>105</v>
      </c>
      <c r="U100" s="41">
        <v>0</v>
      </c>
      <c r="V100" s="41">
        <v>0</v>
      </c>
      <c r="W100" s="50">
        <v>0</v>
      </c>
      <c r="X100" s="41">
        <v>0</v>
      </c>
      <c r="Y100" s="41">
        <v>0</v>
      </c>
      <c r="Z100" s="48">
        <v>0</v>
      </c>
      <c r="AA100" s="41">
        <v>10</v>
      </c>
      <c r="AB100" s="41">
        <v>35</v>
      </c>
      <c r="AC100" s="50">
        <v>35</v>
      </c>
      <c r="AD100" s="41">
        <v>75</v>
      </c>
      <c r="AE100" s="41">
        <v>55</v>
      </c>
      <c r="AF100" s="50">
        <v>55</v>
      </c>
      <c r="AG100" s="41">
        <v>0</v>
      </c>
      <c r="AH100" s="41">
        <v>0</v>
      </c>
      <c r="AI100" s="50">
        <v>0</v>
      </c>
      <c r="AJ100" s="41">
        <v>0</v>
      </c>
      <c r="AK100" s="41">
        <v>0</v>
      </c>
      <c r="AL100" s="48">
        <v>0</v>
      </c>
      <c r="AM100" s="41">
        <v>0</v>
      </c>
      <c r="AN100" s="41">
        <v>0</v>
      </c>
      <c r="AO100" s="50">
        <v>0</v>
      </c>
      <c r="AP100" s="41">
        <v>10</v>
      </c>
      <c r="AQ100" s="41">
        <v>10</v>
      </c>
      <c r="AR100" s="50">
        <v>10</v>
      </c>
      <c r="AS100" s="41">
        <v>0</v>
      </c>
      <c r="AT100" s="41">
        <v>0</v>
      </c>
      <c r="AU100" s="50">
        <v>0</v>
      </c>
      <c r="AV100" s="41">
        <v>0</v>
      </c>
      <c r="AW100" s="41">
        <v>0</v>
      </c>
      <c r="AX100" s="48">
        <v>0</v>
      </c>
      <c r="AY100" s="41">
        <f t="shared" si="78"/>
        <v>300.83328936959992</v>
      </c>
      <c r="AZ100" s="41">
        <f t="shared" si="79"/>
        <v>272.16915128319994</v>
      </c>
      <c r="BA100" s="50">
        <f t="shared" si="80"/>
        <v>285.00974909439992</v>
      </c>
      <c r="BB100" s="41">
        <f t="shared" si="81"/>
        <v>450.83328936959992</v>
      </c>
      <c r="BC100" s="41">
        <f t="shared" si="82"/>
        <v>422.16915128319994</v>
      </c>
      <c r="BD100" s="50">
        <f t="shared" si="83"/>
        <v>420.00974909439992</v>
      </c>
      <c r="BE100" s="41">
        <f t="shared" si="84"/>
        <v>255.83328936959992</v>
      </c>
      <c r="BF100" s="41">
        <f t="shared" si="85"/>
        <v>237.16915128319994</v>
      </c>
      <c r="BG100" s="50">
        <f t="shared" si="86"/>
        <v>250.00974909439992</v>
      </c>
      <c r="BH100" s="41">
        <f t="shared" si="87"/>
        <v>255.83328936959992</v>
      </c>
      <c r="BI100" s="41">
        <f t="shared" si="88"/>
        <v>237.16915128319994</v>
      </c>
      <c r="BJ100" s="41">
        <f t="shared" si="89"/>
        <v>250.00974909439992</v>
      </c>
      <c r="BK100" s="56">
        <f t="shared" si="90"/>
        <v>3637.0487589887989</v>
      </c>
      <c r="BL100" s="41">
        <f t="shared" si="91"/>
        <v>858.01218974719973</v>
      </c>
      <c r="BM100" s="41">
        <f t="shared" si="92"/>
        <v>1293.0121897471997</v>
      </c>
      <c r="BN100" s="41">
        <f t="shared" si="93"/>
        <v>743.01218974719973</v>
      </c>
      <c r="BO100" s="46">
        <f t="shared" si="94"/>
        <v>743.01218974719973</v>
      </c>
      <c r="BP100" s="95">
        <f t="shared" si="95"/>
        <v>255.83328936959992</v>
      </c>
      <c r="BQ100" s="95">
        <f t="shared" si="96"/>
        <v>237.16915128319994</v>
      </c>
      <c r="BR100" s="96">
        <f t="shared" si="97"/>
        <v>250.00974909439992</v>
      </c>
      <c r="BS100" s="34">
        <v>133</v>
      </c>
      <c r="BT100" s="34">
        <v>122</v>
      </c>
      <c r="BU100" s="52">
        <v>128</v>
      </c>
      <c r="BV100" s="98">
        <f t="shared" si="98"/>
        <v>1729.1664468479996</v>
      </c>
      <c r="BW100" s="98">
        <f t="shared" si="99"/>
        <v>1635.8457564159996</v>
      </c>
      <c r="BX100" s="100">
        <f t="shared" si="100"/>
        <v>1700.0487454719996</v>
      </c>
      <c r="BY100" s="44">
        <v>9.33</v>
      </c>
      <c r="BZ100" s="44">
        <v>8.61</v>
      </c>
      <c r="CA100" s="53">
        <v>9.1199999999999992</v>
      </c>
      <c r="CB100" s="98">
        <f t="shared" si="101"/>
        <v>23.216025599999995</v>
      </c>
      <c r="CC100" s="98">
        <f t="shared" si="102"/>
        <v>21.424435199999994</v>
      </c>
      <c r="CD100" s="100">
        <f t="shared" si="103"/>
        <v>22.693478399999993</v>
      </c>
    </row>
    <row r="101" spans="1:82" ht="13.5" customHeight="1" x14ac:dyDescent="0.25">
      <c r="A101" s="36" t="s">
        <v>663</v>
      </c>
      <c r="B101" s="62" t="s">
        <v>1145</v>
      </c>
      <c r="C101" s="34">
        <v>60</v>
      </c>
      <c r="D101" s="34">
        <v>60</v>
      </c>
      <c r="E101" s="52">
        <v>45</v>
      </c>
      <c r="F101" s="34">
        <v>0</v>
      </c>
      <c r="G101" s="34">
        <v>0</v>
      </c>
      <c r="H101" s="52">
        <v>0</v>
      </c>
      <c r="I101" s="34">
        <v>0</v>
      </c>
      <c r="J101" s="34">
        <v>0</v>
      </c>
      <c r="K101" s="50">
        <v>0</v>
      </c>
      <c r="L101" s="41">
        <v>0</v>
      </c>
      <c r="M101" s="41">
        <v>0</v>
      </c>
      <c r="N101" s="48">
        <v>0</v>
      </c>
      <c r="O101" s="41">
        <v>100</v>
      </c>
      <c r="P101" s="41">
        <v>95</v>
      </c>
      <c r="Q101" s="50">
        <v>80</v>
      </c>
      <c r="R101" s="41">
        <v>30</v>
      </c>
      <c r="S101" s="41">
        <v>0</v>
      </c>
      <c r="T101" s="50">
        <v>0</v>
      </c>
      <c r="U101" s="41">
        <v>0</v>
      </c>
      <c r="V101" s="41">
        <v>0</v>
      </c>
      <c r="W101" s="50">
        <v>0</v>
      </c>
      <c r="X101" s="41">
        <v>0</v>
      </c>
      <c r="Y101" s="41">
        <v>0</v>
      </c>
      <c r="Z101" s="48">
        <v>0</v>
      </c>
      <c r="AA101" s="41">
        <v>75</v>
      </c>
      <c r="AB101" s="41">
        <v>20</v>
      </c>
      <c r="AC101" s="50">
        <v>10</v>
      </c>
      <c r="AD101" s="41">
        <v>0</v>
      </c>
      <c r="AE101" s="41">
        <v>0</v>
      </c>
      <c r="AF101" s="50">
        <v>0</v>
      </c>
      <c r="AG101" s="41">
        <v>0</v>
      </c>
      <c r="AH101" s="41">
        <v>0</v>
      </c>
      <c r="AI101" s="50">
        <v>0</v>
      </c>
      <c r="AJ101" s="41">
        <v>0</v>
      </c>
      <c r="AK101" s="41">
        <v>0</v>
      </c>
      <c r="AL101" s="48">
        <v>0</v>
      </c>
      <c r="AM101" s="41">
        <v>12</v>
      </c>
      <c r="AN101" s="41">
        <v>10</v>
      </c>
      <c r="AO101" s="50">
        <v>15</v>
      </c>
      <c r="AP101" s="41">
        <v>0</v>
      </c>
      <c r="AQ101" s="41">
        <v>0</v>
      </c>
      <c r="AR101" s="50">
        <v>0</v>
      </c>
      <c r="AS101" s="41">
        <v>0</v>
      </c>
      <c r="AT101" s="41">
        <v>0</v>
      </c>
      <c r="AU101" s="50">
        <v>0</v>
      </c>
      <c r="AV101" s="41">
        <v>0</v>
      </c>
      <c r="AW101" s="41">
        <v>0</v>
      </c>
      <c r="AX101" s="48">
        <v>0</v>
      </c>
      <c r="AY101" s="41">
        <f t="shared" si="78"/>
        <v>445.29880663040001</v>
      </c>
      <c r="AZ101" s="41">
        <f t="shared" si="79"/>
        <v>368.91486781439994</v>
      </c>
      <c r="BA101" s="50">
        <f t="shared" si="80"/>
        <v>346.66135055359996</v>
      </c>
      <c r="BB101" s="41">
        <f t="shared" si="81"/>
        <v>288.29880663040001</v>
      </c>
      <c r="BC101" s="41">
        <f t="shared" si="82"/>
        <v>243.91486781439994</v>
      </c>
      <c r="BD101" s="50">
        <f t="shared" si="83"/>
        <v>241.66135055359996</v>
      </c>
      <c r="BE101" s="41">
        <f t="shared" si="84"/>
        <v>258.29880663040001</v>
      </c>
      <c r="BF101" s="41">
        <f t="shared" si="85"/>
        <v>243.91486781439994</v>
      </c>
      <c r="BG101" s="50">
        <f t="shared" si="86"/>
        <v>241.66135055359996</v>
      </c>
      <c r="BH101" s="41">
        <f t="shared" si="87"/>
        <v>258.29880663040001</v>
      </c>
      <c r="BI101" s="41">
        <f t="shared" si="88"/>
        <v>243.91486781439994</v>
      </c>
      <c r="BJ101" s="41">
        <f t="shared" si="89"/>
        <v>241.66135055359996</v>
      </c>
      <c r="BK101" s="56">
        <f t="shared" si="90"/>
        <v>3422.5000999936001</v>
      </c>
      <c r="BL101" s="41">
        <f t="shared" si="91"/>
        <v>1160.8750249984</v>
      </c>
      <c r="BM101" s="41">
        <f t="shared" si="92"/>
        <v>773.87502499839991</v>
      </c>
      <c r="BN101" s="41">
        <f t="shared" si="93"/>
        <v>743.87502499839991</v>
      </c>
      <c r="BO101" s="46">
        <f t="shared" si="94"/>
        <v>743.87502499839991</v>
      </c>
      <c r="BP101" s="95">
        <f t="shared" si="95"/>
        <v>258.29880663040001</v>
      </c>
      <c r="BQ101" s="95">
        <f t="shared" si="96"/>
        <v>243.91486781439994</v>
      </c>
      <c r="BR101" s="96">
        <f t="shared" si="97"/>
        <v>241.66135055359996</v>
      </c>
      <c r="BS101" s="34">
        <v>135</v>
      </c>
      <c r="BT101" s="34">
        <v>126</v>
      </c>
      <c r="BU101" s="52">
        <v>125</v>
      </c>
      <c r="BV101" s="98">
        <f t="shared" si="98"/>
        <v>1741.4940331519999</v>
      </c>
      <c r="BW101" s="98">
        <f t="shared" si="99"/>
        <v>1669.5743390719997</v>
      </c>
      <c r="BX101" s="100">
        <f t="shared" si="100"/>
        <v>1658.3067527679998</v>
      </c>
      <c r="BY101" s="44">
        <v>9.42</v>
      </c>
      <c r="BZ101" s="44">
        <v>8.8699999999999992</v>
      </c>
      <c r="CA101" s="53">
        <v>8.7799999999999994</v>
      </c>
      <c r="CB101" s="98">
        <f t="shared" si="101"/>
        <v>23.439974399999997</v>
      </c>
      <c r="CC101" s="98">
        <f t="shared" si="102"/>
        <v>22.071398399999993</v>
      </c>
      <c r="CD101" s="100">
        <f t="shared" si="103"/>
        <v>21.847449599999994</v>
      </c>
    </row>
    <row r="102" spans="1:82" ht="13.5" customHeight="1" x14ac:dyDescent="0.25">
      <c r="A102" s="36" t="s">
        <v>664</v>
      </c>
      <c r="B102" s="62"/>
      <c r="C102" s="34">
        <v>0</v>
      </c>
      <c r="D102" s="34">
        <v>0</v>
      </c>
      <c r="E102" s="52">
        <v>0</v>
      </c>
      <c r="F102" s="34">
        <v>0</v>
      </c>
      <c r="G102" s="34">
        <v>0</v>
      </c>
      <c r="H102" s="52">
        <v>0</v>
      </c>
      <c r="I102" s="34">
        <v>0</v>
      </c>
      <c r="J102" s="34">
        <v>0</v>
      </c>
      <c r="K102" s="50">
        <v>0</v>
      </c>
      <c r="L102" s="41">
        <v>0</v>
      </c>
      <c r="M102" s="41">
        <v>0</v>
      </c>
      <c r="N102" s="48">
        <v>0</v>
      </c>
      <c r="O102" s="41">
        <v>0</v>
      </c>
      <c r="P102" s="41">
        <v>0</v>
      </c>
      <c r="Q102" s="50">
        <v>0</v>
      </c>
      <c r="R102" s="41">
        <v>0</v>
      </c>
      <c r="S102" s="41">
        <v>0</v>
      </c>
      <c r="T102" s="50">
        <v>0</v>
      </c>
      <c r="U102" s="41">
        <v>0</v>
      </c>
      <c r="V102" s="41">
        <v>0</v>
      </c>
      <c r="W102" s="50">
        <v>0</v>
      </c>
      <c r="X102" s="41">
        <v>0</v>
      </c>
      <c r="Y102" s="41">
        <v>0</v>
      </c>
      <c r="Z102" s="48">
        <v>0</v>
      </c>
      <c r="AA102" s="41">
        <v>0</v>
      </c>
      <c r="AB102" s="41">
        <v>0</v>
      </c>
      <c r="AC102" s="50">
        <v>0</v>
      </c>
      <c r="AD102" s="41">
        <v>0</v>
      </c>
      <c r="AE102" s="41">
        <v>0</v>
      </c>
      <c r="AF102" s="50">
        <v>0</v>
      </c>
      <c r="AG102" s="41">
        <v>0</v>
      </c>
      <c r="AH102" s="41">
        <v>0</v>
      </c>
      <c r="AI102" s="50">
        <v>0</v>
      </c>
      <c r="AJ102" s="41">
        <v>0</v>
      </c>
      <c r="AK102" s="41">
        <v>0</v>
      </c>
      <c r="AL102" s="48">
        <v>0</v>
      </c>
      <c r="AM102" s="41">
        <v>0</v>
      </c>
      <c r="AN102" s="41">
        <v>0</v>
      </c>
      <c r="AO102" s="50">
        <v>0</v>
      </c>
      <c r="AP102" s="41">
        <v>0</v>
      </c>
      <c r="AQ102" s="41">
        <v>0</v>
      </c>
      <c r="AR102" s="50">
        <v>0</v>
      </c>
      <c r="AS102" s="41">
        <v>0</v>
      </c>
      <c r="AT102" s="41">
        <v>0</v>
      </c>
      <c r="AU102" s="50">
        <v>0</v>
      </c>
      <c r="AV102" s="41">
        <v>0</v>
      </c>
      <c r="AW102" s="41">
        <v>0</v>
      </c>
      <c r="AX102" s="48">
        <v>0</v>
      </c>
      <c r="AY102" s="41">
        <f t="shared" si="78"/>
        <v>16</v>
      </c>
      <c r="AZ102" s="41">
        <f t="shared" si="79"/>
        <v>16</v>
      </c>
      <c r="BA102" s="50">
        <f t="shared" si="80"/>
        <v>16</v>
      </c>
      <c r="BB102" s="41">
        <f t="shared" si="81"/>
        <v>16</v>
      </c>
      <c r="BC102" s="41">
        <f t="shared" si="82"/>
        <v>16</v>
      </c>
      <c r="BD102" s="50">
        <f t="shared" si="83"/>
        <v>16</v>
      </c>
      <c r="BE102" s="41">
        <f t="shared" si="84"/>
        <v>16</v>
      </c>
      <c r="BF102" s="41">
        <f t="shared" si="85"/>
        <v>16</v>
      </c>
      <c r="BG102" s="50">
        <f t="shared" si="86"/>
        <v>16</v>
      </c>
      <c r="BH102" s="41">
        <f t="shared" si="87"/>
        <v>16</v>
      </c>
      <c r="BI102" s="41">
        <f t="shared" si="88"/>
        <v>16</v>
      </c>
      <c r="BJ102" s="41">
        <f t="shared" si="89"/>
        <v>16</v>
      </c>
      <c r="BK102" s="56">
        <f t="shared" si="90"/>
        <v>192</v>
      </c>
      <c r="BL102" s="41">
        <f t="shared" si="91"/>
        <v>48</v>
      </c>
      <c r="BM102" s="41">
        <f t="shared" si="92"/>
        <v>48</v>
      </c>
      <c r="BN102" s="41">
        <f t="shared" si="93"/>
        <v>48</v>
      </c>
      <c r="BO102" s="46">
        <f t="shared" si="94"/>
        <v>48</v>
      </c>
      <c r="BP102" s="95">
        <f t="shared" si="95"/>
        <v>16</v>
      </c>
      <c r="BQ102" s="95">
        <f t="shared" si="96"/>
        <v>16</v>
      </c>
      <c r="BR102" s="96">
        <f t="shared" si="97"/>
        <v>16</v>
      </c>
      <c r="BS102" s="34">
        <v>0</v>
      </c>
      <c r="BT102" s="34">
        <v>0</v>
      </c>
      <c r="BU102" s="52">
        <v>0</v>
      </c>
      <c r="BV102" s="98">
        <f t="shared" si="98"/>
        <v>530</v>
      </c>
      <c r="BW102" s="98">
        <f t="shared" si="99"/>
        <v>530</v>
      </c>
      <c r="BX102" s="100">
        <f t="shared" si="100"/>
        <v>530</v>
      </c>
      <c r="BY102" s="44">
        <v>0</v>
      </c>
      <c r="BZ102" s="44">
        <v>0</v>
      </c>
      <c r="CA102" s="53">
        <v>0</v>
      </c>
      <c r="CB102" s="98">
        <f t="shared" si="101"/>
        <v>0</v>
      </c>
      <c r="CC102" s="98">
        <f t="shared" si="102"/>
        <v>0</v>
      </c>
      <c r="CD102" s="100">
        <f t="shared" si="103"/>
        <v>0</v>
      </c>
    </row>
    <row r="103" spans="1:82" ht="13.5" customHeight="1" x14ac:dyDescent="0.25">
      <c r="A103" s="36" t="s">
        <v>1131</v>
      </c>
      <c r="B103" s="62"/>
      <c r="C103" s="34">
        <v>0</v>
      </c>
      <c r="D103" s="34">
        <v>0</v>
      </c>
      <c r="E103" s="52">
        <v>0</v>
      </c>
      <c r="F103" s="34">
        <v>0</v>
      </c>
      <c r="G103" s="34">
        <v>0</v>
      </c>
      <c r="H103" s="52">
        <v>0</v>
      </c>
      <c r="I103" s="34">
        <v>0</v>
      </c>
      <c r="J103" s="34">
        <v>0</v>
      </c>
      <c r="K103" s="50">
        <v>0</v>
      </c>
      <c r="L103" s="41">
        <v>0</v>
      </c>
      <c r="M103" s="41">
        <v>0</v>
      </c>
      <c r="N103" s="48">
        <v>0</v>
      </c>
      <c r="O103" s="41">
        <v>0</v>
      </c>
      <c r="P103" s="41">
        <v>0</v>
      </c>
      <c r="Q103" s="50">
        <v>0</v>
      </c>
      <c r="R103" s="41">
        <v>0</v>
      </c>
      <c r="S103" s="41">
        <v>0</v>
      </c>
      <c r="T103" s="50">
        <v>0</v>
      </c>
      <c r="U103" s="41">
        <v>0</v>
      </c>
      <c r="V103" s="41">
        <v>0</v>
      </c>
      <c r="W103" s="50">
        <v>0</v>
      </c>
      <c r="X103" s="41">
        <v>0</v>
      </c>
      <c r="Y103" s="41">
        <v>0</v>
      </c>
      <c r="Z103" s="48">
        <v>0</v>
      </c>
      <c r="AA103" s="41">
        <v>0</v>
      </c>
      <c r="AB103" s="41">
        <v>0</v>
      </c>
      <c r="AC103" s="50">
        <v>0</v>
      </c>
      <c r="AD103" s="41">
        <v>0</v>
      </c>
      <c r="AE103" s="41">
        <v>0</v>
      </c>
      <c r="AF103" s="50">
        <v>0</v>
      </c>
      <c r="AG103" s="41">
        <v>0</v>
      </c>
      <c r="AH103" s="41">
        <v>0</v>
      </c>
      <c r="AI103" s="50">
        <v>0</v>
      </c>
      <c r="AJ103" s="41">
        <v>0</v>
      </c>
      <c r="AK103" s="41">
        <v>0</v>
      </c>
      <c r="AL103" s="48">
        <v>0</v>
      </c>
      <c r="AM103" s="41">
        <v>0</v>
      </c>
      <c r="AN103" s="41">
        <v>0</v>
      </c>
      <c r="AO103" s="50">
        <v>0</v>
      </c>
      <c r="AP103" s="41">
        <v>0</v>
      </c>
      <c r="AQ103" s="41">
        <v>0</v>
      </c>
      <c r="AR103" s="50">
        <v>0</v>
      </c>
      <c r="AS103" s="41">
        <v>0</v>
      </c>
      <c r="AT103" s="41">
        <v>0</v>
      </c>
      <c r="AU103" s="50">
        <v>0</v>
      </c>
      <c r="AV103" s="41">
        <v>0</v>
      </c>
      <c r="AW103" s="41">
        <v>0</v>
      </c>
      <c r="AX103" s="48">
        <v>0</v>
      </c>
      <c r="AY103" s="41">
        <f t="shared" si="78"/>
        <v>16</v>
      </c>
      <c r="AZ103" s="41">
        <f t="shared" si="79"/>
        <v>16</v>
      </c>
      <c r="BA103" s="50">
        <f t="shared" si="80"/>
        <v>16</v>
      </c>
      <c r="BB103" s="41">
        <f t="shared" si="81"/>
        <v>16</v>
      </c>
      <c r="BC103" s="41">
        <f t="shared" si="82"/>
        <v>16</v>
      </c>
      <c r="BD103" s="50">
        <f t="shared" si="83"/>
        <v>16</v>
      </c>
      <c r="BE103" s="41">
        <f t="shared" si="84"/>
        <v>16</v>
      </c>
      <c r="BF103" s="41">
        <f t="shared" si="85"/>
        <v>16</v>
      </c>
      <c r="BG103" s="50">
        <f t="shared" si="86"/>
        <v>16</v>
      </c>
      <c r="BH103" s="41">
        <f t="shared" si="87"/>
        <v>16</v>
      </c>
      <c r="BI103" s="41">
        <f t="shared" si="88"/>
        <v>16</v>
      </c>
      <c r="BJ103" s="41">
        <f t="shared" si="89"/>
        <v>16</v>
      </c>
      <c r="BK103" s="56">
        <f t="shared" si="90"/>
        <v>192</v>
      </c>
      <c r="BL103" s="41">
        <f t="shared" si="91"/>
        <v>48</v>
      </c>
      <c r="BM103" s="41">
        <f t="shared" si="92"/>
        <v>48</v>
      </c>
      <c r="BN103" s="41">
        <f t="shared" si="93"/>
        <v>48</v>
      </c>
      <c r="BO103" s="46">
        <f t="shared" si="94"/>
        <v>48</v>
      </c>
      <c r="BP103" s="95">
        <f t="shared" si="95"/>
        <v>16</v>
      </c>
      <c r="BQ103" s="95">
        <f t="shared" si="96"/>
        <v>16</v>
      </c>
      <c r="BR103" s="96">
        <f t="shared" si="97"/>
        <v>16</v>
      </c>
      <c r="BS103" s="34">
        <v>0</v>
      </c>
      <c r="BT103" s="34">
        <v>0</v>
      </c>
      <c r="BU103" s="52">
        <v>0</v>
      </c>
      <c r="BV103" s="98">
        <f t="shared" si="98"/>
        <v>530</v>
      </c>
      <c r="BW103" s="98">
        <f t="shared" si="99"/>
        <v>530</v>
      </c>
      <c r="BX103" s="100">
        <f t="shared" si="100"/>
        <v>530</v>
      </c>
      <c r="BY103" s="44">
        <v>0</v>
      </c>
      <c r="BZ103" s="44">
        <v>0</v>
      </c>
      <c r="CA103" s="53">
        <v>0</v>
      </c>
      <c r="CB103" s="98">
        <f t="shared" si="101"/>
        <v>0</v>
      </c>
      <c r="CC103" s="98">
        <f t="shared" si="102"/>
        <v>0</v>
      </c>
      <c r="CD103" s="100">
        <f t="shared" si="103"/>
        <v>0</v>
      </c>
    </row>
    <row r="104" spans="1:82" ht="13.5" customHeight="1" x14ac:dyDescent="0.25">
      <c r="A104" s="36" t="s">
        <v>1132</v>
      </c>
      <c r="B104" s="62"/>
      <c r="C104" s="34">
        <v>0</v>
      </c>
      <c r="D104" s="34">
        <v>0</v>
      </c>
      <c r="E104" s="52">
        <v>0</v>
      </c>
      <c r="F104" s="34">
        <v>0</v>
      </c>
      <c r="G104" s="34">
        <v>0</v>
      </c>
      <c r="H104" s="52">
        <v>0</v>
      </c>
      <c r="I104" s="34">
        <v>0</v>
      </c>
      <c r="J104" s="34">
        <v>0</v>
      </c>
      <c r="K104" s="50">
        <v>0</v>
      </c>
      <c r="L104" s="41">
        <v>0</v>
      </c>
      <c r="M104" s="41">
        <v>0</v>
      </c>
      <c r="N104" s="48">
        <v>0</v>
      </c>
      <c r="O104" s="41">
        <v>0</v>
      </c>
      <c r="P104" s="41">
        <v>0</v>
      </c>
      <c r="Q104" s="50">
        <v>0</v>
      </c>
      <c r="R104" s="41">
        <v>0</v>
      </c>
      <c r="S104" s="41">
        <v>0</v>
      </c>
      <c r="T104" s="50">
        <v>0</v>
      </c>
      <c r="U104" s="41">
        <v>0</v>
      </c>
      <c r="V104" s="41">
        <v>0</v>
      </c>
      <c r="W104" s="50">
        <v>0</v>
      </c>
      <c r="X104" s="41">
        <v>0</v>
      </c>
      <c r="Y104" s="41">
        <v>0</v>
      </c>
      <c r="Z104" s="48">
        <v>0</v>
      </c>
      <c r="AA104" s="41">
        <v>0</v>
      </c>
      <c r="AB104" s="41">
        <v>0</v>
      </c>
      <c r="AC104" s="50">
        <v>0</v>
      </c>
      <c r="AD104" s="41">
        <v>0</v>
      </c>
      <c r="AE104" s="41">
        <v>0</v>
      </c>
      <c r="AF104" s="50">
        <v>0</v>
      </c>
      <c r="AG104" s="41">
        <v>0</v>
      </c>
      <c r="AH104" s="41">
        <v>0</v>
      </c>
      <c r="AI104" s="50">
        <v>0</v>
      </c>
      <c r="AJ104" s="41">
        <v>0</v>
      </c>
      <c r="AK104" s="41">
        <v>0</v>
      </c>
      <c r="AL104" s="48">
        <v>0</v>
      </c>
      <c r="AM104" s="41">
        <v>0</v>
      </c>
      <c r="AN104" s="41">
        <v>0</v>
      </c>
      <c r="AO104" s="50">
        <v>0</v>
      </c>
      <c r="AP104" s="41">
        <v>0</v>
      </c>
      <c r="AQ104" s="41">
        <v>0</v>
      </c>
      <c r="AR104" s="50">
        <v>0</v>
      </c>
      <c r="AS104" s="41">
        <v>0</v>
      </c>
      <c r="AT104" s="41">
        <v>0</v>
      </c>
      <c r="AU104" s="50">
        <v>0</v>
      </c>
      <c r="AV104" s="41">
        <v>0</v>
      </c>
      <c r="AW104" s="41">
        <v>0</v>
      </c>
      <c r="AX104" s="48">
        <v>0</v>
      </c>
      <c r="AY104" s="41">
        <f t="shared" si="78"/>
        <v>16</v>
      </c>
      <c r="AZ104" s="41">
        <f t="shared" si="79"/>
        <v>16</v>
      </c>
      <c r="BA104" s="50">
        <f t="shared" si="80"/>
        <v>16</v>
      </c>
      <c r="BB104" s="41">
        <f t="shared" si="81"/>
        <v>16</v>
      </c>
      <c r="BC104" s="41">
        <f t="shared" si="82"/>
        <v>16</v>
      </c>
      <c r="BD104" s="50">
        <f t="shared" si="83"/>
        <v>16</v>
      </c>
      <c r="BE104" s="41">
        <f t="shared" si="84"/>
        <v>16</v>
      </c>
      <c r="BF104" s="41">
        <f t="shared" si="85"/>
        <v>16</v>
      </c>
      <c r="BG104" s="50">
        <f t="shared" si="86"/>
        <v>16</v>
      </c>
      <c r="BH104" s="41">
        <f t="shared" si="87"/>
        <v>16</v>
      </c>
      <c r="BI104" s="41">
        <f t="shared" si="88"/>
        <v>16</v>
      </c>
      <c r="BJ104" s="41">
        <f t="shared" si="89"/>
        <v>16</v>
      </c>
      <c r="BK104" s="56">
        <f t="shared" si="90"/>
        <v>192</v>
      </c>
      <c r="BL104" s="41">
        <f t="shared" si="91"/>
        <v>48</v>
      </c>
      <c r="BM104" s="41">
        <f t="shared" si="92"/>
        <v>48</v>
      </c>
      <c r="BN104" s="41">
        <f t="shared" si="93"/>
        <v>48</v>
      </c>
      <c r="BO104" s="46">
        <f t="shared" si="94"/>
        <v>48</v>
      </c>
      <c r="BP104" s="95">
        <f t="shared" si="95"/>
        <v>16</v>
      </c>
      <c r="BQ104" s="95">
        <f t="shared" si="96"/>
        <v>16</v>
      </c>
      <c r="BR104" s="96">
        <f t="shared" si="97"/>
        <v>16</v>
      </c>
      <c r="BS104" s="34">
        <v>0</v>
      </c>
      <c r="BT104" s="34">
        <v>0</v>
      </c>
      <c r="BU104" s="52">
        <v>0</v>
      </c>
      <c r="BV104" s="98">
        <f t="shared" si="98"/>
        <v>530</v>
      </c>
      <c r="BW104" s="98">
        <f t="shared" si="99"/>
        <v>530</v>
      </c>
      <c r="BX104" s="100">
        <f t="shared" si="100"/>
        <v>530</v>
      </c>
      <c r="BY104" s="44">
        <v>0</v>
      </c>
      <c r="BZ104" s="44">
        <v>0</v>
      </c>
      <c r="CA104" s="53">
        <v>0</v>
      </c>
      <c r="CB104" s="98">
        <f t="shared" si="101"/>
        <v>0</v>
      </c>
      <c r="CC104" s="98">
        <f t="shared" si="102"/>
        <v>0</v>
      </c>
      <c r="CD104" s="100">
        <f t="shared" si="103"/>
        <v>0</v>
      </c>
    </row>
    <row r="105" spans="1:82" ht="13.5" customHeight="1" x14ac:dyDescent="0.25">
      <c r="A105" s="36" t="s">
        <v>1133</v>
      </c>
      <c r="B105" s="62"/>
      <c r="C105" s="34">
        <v>0</v>
      </c>
      <c r="D105" s="34">
        <v>0</v>
      </c>
      <c r="E105" s="52">
        <v>0</v>
      </c>
      <c r="F105" s="34">
        <v>0</v>
      </c>
      <c r="G105" s="34">
        <v>0</v>
      </c>
      <c r="H105" s="52">
        <v>0</v>
      </c>
      <c r="I105" s="34">
        <v>0</v>
      </c>
      <c r="J105" s="34">
        <v>0</v>
      </c>
      <c r="K105" s="50">
        <v>0</v>
      </c>
      <c r="L105" s="41">
        <v>0</v>
      </c>
      <c r="M105" s="41">
        <v>0</v>
      </c>
      <c r="N105" s="48">
        <v>0</v>
      </c>
      <c r="O105" s="41">
        <v>0</v>
      </c>
      <c r="P105" s="41">
        <v>0</v>
      </c>
      <c r="Q105" s="50">
        <v>0</v>
      </c>
      <c r="R105" s="41">
        <v>0</v>
      </c>
      <c r="S105" s="41">
        <v>0</v>
      </c>
      <c r="T105" s="50">
        <v>0</v>
      </c>
      <c r="U105" s="41">
        <v>0</v>
      </c>
      <c r="V105" s="41">
        <v>0</v>
      </c>
      <c r="W105" s="50">
        <v>0</v>
      </c>
      <c r="X105" s="41">
        <v>0</v>
      </c>
      <c r="Y105" s="41">
        <v>0</v>
      </c>
      <c r="Z105" s="48">
        <v>0</v>
      </c>
      <c r="AA105" s="41">
        <v>0</v>
      </c>
      <c r="AB105" s="41">
        <v>0</v>
      </c>
      <c r="AC105" s="50">
        <v>0</v>
      </c>
      <c r="AD105" s="41">
        <v>0</v>
      </c>
      <c r="AE105" s="41">
        <v>0</v>
      </c>
      <c r="AF105" s="50">
        <v>0</v>
      </c>
      <c r="AG105" s="41">
        <v>0</v>
      </c>
      <c r="AH105" s="41">
        <v>0</v>
      </c>
      <c r="AI105" s="50">
        <v>0</v>
      </c>
      <c r="AJ105" s="41">
        <v>0</v>
      </c>
      <c r="AK105" s="41">
        <v>0</v>
      </c>
      <c r="AL105" s="48">
        <v>0</v>
      </c>
      <c r="AM105" s="41">
        <v>0</v>
      </c>
      <c r="AN105" s="41">
        <v>0</v>
      </c>
      <c r="AO105" s="50">
        <v>0</v>
      </c>
      <c r="AP105" s="41">
        <v>0</v>
      </c>
      <c r="AQ105" s="41">
        <v>0</v>
      </c>
      <c r="AR105" s="50">
        <v>0</v>
      </c>
      <c r="AS105" s="41">
        <v>0</v>
      </c>
      <c r="AT105" s="41">
        <v>0</v>
      </c>
      <c r="AU105" s="50">
        <v>0</v>
      </c>
      <c r="AV105" s="41">
        <v>0</v>
      </c>
      <c r="AW105" s="41">
        <v>0</v>
      </c>
      <c r="AX105" s="48">
        <v>0</v>
      </c>
      <c r="AY105" s="41">
        <f t="shared" si="78"/>
        <v>16</v>
      </c>
      <c r="AZ105" s="41">
        <f t="shared" si="79"/>
        <v>16</v>
      </c>
      <c r="BA105" s="50">
        <f t="shared" si="80"/>
        <v>16</v>
      </c>
      <c r="BB105" s="41">
        <f t="shared" si="81"/>
        <v>16</v>
      </c>
      <c r="BC105" s="41">
        <f t="shared" si="82"/>
        <v>16</v>
      </c>
      <c r="BD105" s="50">
        <f t="shared" si="83"/>
        <v>16</v>
      </c>
      <c r="BE105" s="41">
        <f t="shared" si="84"/>
        <v>16</v>
      </c>
      <c r="BF105" s="41">
        <f t="shared" si="85"/>
        <v>16</v>
      </c>
      <c r="BG105" s="50">
        <f t="shared" si="86"/>
        <v>16</v>
      </c>
      <c r="BH105" s="41">
        <f t="shared" si="87"/>
        <v>16</v>
      </c>
      <c r="BI105" s="41">
        <f t="shared" si="88"/>
        <v>16</v>
      </c>
      <c r="BJ105" s="41">
        <f t="shared" si="89"/>
        <v>16</v>
      </c>
      <c r="BK105" s="56">
        <f t="shared" si="90"/>
        <v>192</v>
      </c>
      <c r="BL105" s="41">
        <f t="shared" si="91"/>
        <v>48</v>
      </c>
      <c r="BM105" s="41">
        <f t="shared" si="92"/>
        <v>48</v>
      </c>
      <c r="BN105" s="41">
        <f t="shared" si="93"/>
        <v>48</v>
      </c>
      <c r="BO105" s="46">
        <f t="shared" si="94"/>
        <v>48</v>
      </c>
      <c r="BP105" s="95">
        <f t="shared" si="95"/>
        <v>16</v>
      </c>
      <c r="BQ105" s="95">
        <f t="shared" si="96"/>
        <v>16</v>
      </c>
      <c r="BR105" s="96">
        <f t="shared" si="97"/>
        <v>16</v>
      </c>
      <c r="BS105" s="34">
        <v>0</v>
      </c>
      <c r="BT105" s="34">
        <v>0</v>
      </c>
      <c r="BU105" s="52">
        <v>0</v>
      </c>
      <c r="BV105" s="98">
        <f t="shared" si="98"/>
        <v>530</v>
      </c>
      <c r="BW105" s="98">
        <f t="shared" si="99"/>
        <v>530</v>
      </c>
      <c r="BX105" s="100">
        <f t="shared" si="100"/>
        <v>530</v>
      </c>
      <c r="BY105" s="44">
        <v>0</v>
      </c>
      <c r="BZ105" s="44">
        <v>0</v>
      </c>
      <c r="CA105" s="53">
        <v>0</v>
      </c>
      <c r="CB105" s="98">
        <f t="shared" si="101"/>
        <v>0</v>
      </c>
      <c r="CC105" s="98">
        <f t="shared" si="102"/>
        <v>0</v>
      </c>
      <c r="CD105" s="100">
        <f t="shared" si="103"/>
        <v>0</v>
      </c>
    </row>
    <row r="106" spans="1:82" ht="13.5" customHeight="1" x14ac:dyDescent="0.25">
      <c r="A106" s="36" t="s">
        <v>1134</v>
      </c>
      <c r="B106" s="62"/>
      <c r="C106" s="34">
        <v>0</v>
      </c>
      <c r="D106" s="34">
        <v>0</v>
      </c>
      <c r="E106" s="52">
        <v>0</v>
      </c>
      <c r="F106" s="34">
        <v>0</v>
      </c>
      <c r="G106" s="34">
        <v>0</v>
      </c>
      <c r="H106" s="52">
        <v>0</v>
      </c>
      <c r="I106" s="34">
        <v>0</v>
      </c>
      <c r="J106" s="34">
        <v>0</v>
      </c>
      <c r="K106" s="50">
        <v>0</v>
      </c>
      <c r="L106" s="41">
        <v>0</v>
      </c>
      <c r="M106" s="41">
        <v>0</v>
      </c>
      <c r="N106" s="48">
        <v>0</v>
      </c>
      <c r="O106" s="41">
        <v>0</v>
      </c>
      <c r="P106" s="41">
        <v>0</v>
      </c>
      <c r="Q106" s="50">
        <v>0</v>
      </c>
      <c r="R106" s="41">
        <v>0</v>
      </c>
      <c r="S106" s="41">
        <v>0</v>
      </c>
      <c r="T106" s="50">
        <v>0</v>
      </c>
      <c r="U106" s="41">
        <v>0</v>
      </c>
      <c r="V106" s="41">
        <v>0</v>
      </c>
      <c r="W106" s="50">
        <v>0</v>
      </c>
      <c r="X106" s="41">
        <v>0</v>
      </c>
      <c r="Y106" s="41">
        <v>0</v>
      </c>
      <c r="Z106" s="48">
        <v>0</v>
      </c>
      <c r="AA106" s="41">
        <v>0</v>
      </c>
      <c r="AB106" s="41">
        <v>0</v>
      </c>
      <c r="AC106" s="50">
        <v>0</v>
      </c>
      <c r="AD106" s="41">
        <v>0</v>
      </c>
      <c r="AE106" s="41">
        <v>0</v>
      </c>
      <c r="AF106" s="50">
        <v>0</v>
      </c>
      <c r="AG106" s="41">
        <v>0</v>
      </c>
      <c r="AH106" s="41">
        <v>0</v>
      </c>
      <c r="AI106" s="50">
        <v>0</v>
      </c>
      <c r="AJ106" s="41">
        <v>0</v>
      </c>
      <c r="AK106" s="41">
        <v>0</v>
      </c>
      <c r="AL106" s="48">
        <v>0</v>
      </c>
      <c r="AM106" s="41">
        <v>0</v>
      </c>
      <c r="AN106" s="41">
        <v>0</v>
      </c>
      <c r="AO106" s="50">
        <v>0</v>
      </c>
      <c r="AP106" s="41">
        <v>0</v>
      </c>
      <c r="AQ106" s="41">
        <v>0</v>
      </c>
      <c r="AR106" s="50">
        <v>0</v>
      </c>
      <c r="AS106" s="41">
        <v>0</v>
      </c>
      <c r="AT106" s="41">
        <v>0</v>
      </c>
      <c r="AU106" s="50">
        <v>0</v>
      </c>
      <c r="AV106" s="41">
        <v>0</v>
      </c>
      <c r="AW106" s="41">
        <v>0</v>
      </c>
      <c r="AX106" s="48">
        <v>0</v>
      </c>
      <c r="AY106" s="41">
        <f t="shared" si="78"/>
        <v>16</v>
      </c>
      <c r="AZ106" s="41">
        <f t="shared" si="79"/>
        <v>16</v>
      </c>
      <c r="BA106" s="50">
        <f t="shared" si="80"/>
        <v>16</v>
      </c>
      <c r="BB106" s="41">
        <f t="shared" si="81"/>
        <v>16</v>
      </c>
      <c r="BC106" s="41">
        <f t="shared" si="82"/>
        <v>16</v>
      </c>
      <c r="BD106" s="50">
        <f t="shared" si="83"/>
        <v>16</v>
      </c>
      <c r="BE106" s="41">
        <f t="shared" si="84"/>
        <v>16</v>
      </c>
      <c r="BF106" s="41">
        <f t="shared" si="85"/>
        <v>16</v>
      </c>
      <c r="BG106" s="50">
        <f t="shared" si="86"/>
        <v>16</v>
      </c>
      <c r="BH106" s="41">
        <f t="shared" si="87"/>
        <v>16</v>
      </c>
      <c r="BI106" s="41">
        <f t="shared" si="88"/>
        <v>16</v>
      </c>
      <c r="BJ106" s="41">
        <f t="shared" si="89"/>
        <v>16</v>
      </c>
      <c r="BK106" s="56">
        <f t="shared" si="90"/>
        <v>192</v>
      </c>
      <c r="BL106" s="41">
        <f t="shared" si="91"/>
        <v>48</v>
      </c>
      <c r="BM106" s="41">
        <f t="shared" si="92"/>
        <v>48</v>
      </c>
      <c r="BN106" s="41">
        <f t="shared" si="93"/>
        <v>48</v>
      </c>
      <c r="BO106" s="46">
        <f t="shared" si="94"/>
        <v>48</v>
      </c>
      <c r="BP106" s="95">
        <f t="shared" si="95"/>
        <v>16</v>
      </c>
      <c r="BQ106" s="95">
        <f t="shared" si="96"/>
        <v>16</v>
      </c>
      <c r="BR106" s="96">
        <f t="shared" si="97"/>
        <v>16</v>
      </c>
      <c r="BS106" s="34">
        <v>0</v>
      </c>
      <c r="BT106" s="34">
        <v>0</v>
      </c>
      <c r="BU106" s="52">
        <v>0</v>
      </c>
      <c r="BV106" s="98">
        <f t="shared" si="98"/>
        <v>530</v>
      </c>
      <c r="BW106" s="98">
        <f t="shared" si="99"/>
        <v>530</v>
      </c>
      <c r="BX106" s="100">
        <f t="shared" si="100"/>
        <v>530</v>
      </c>
      <c r="BY106" s="44">
        <v>0</v>
      </c>
      <c r="BZ106" s="44">
        <v>0</v>
      </c>
      <c r="CA106" s="53">
        <v>0</v>
      </c>
      <c r="CB106" s="98">
        <f t="shared" si="101"/>
        <v>0</v>
      </c>
      <c r="CC106" s="98">
        <f t="shared" si="102"/>
        <v>0</v>
      </c>
      <c r="CD106" s="100">
        <f t="shared" si="103"/>
        <v>0</v>
      </c>
    </row>
    <row r="107" spans="1:82" ht="13.5" customHeight="1" x14ac:dyDescent="0.25">
      <c r="A107" s="36" t="s">
        <v>1135</v>
      </c>
      <c r="B107" s="382"/>
      <c r="C107" s="34">
        <v>0</v>
      </c>
      <c r="D107" s="34">
        <v>0</v>
      </c>
      <c r="E107" s="52">
        <v>0</v>
      </c>
      <c r="F107" s="34">
        <v>0</v>
      </c>
      <c r="G107" s="34">
        <v>0</v>
      </c>
      <c r="H107" s="52">
        <v>0</v>
      </c>
      <c r="I107" s="34">
        <v>0</v>
      </c>
      <c r="J107" s="34">
        <v>0</v>
      </c>
      <c r="K107" s="50">
        <v>0</v>
      </c>
      <c r="L107" s="41">
        <v>0</v>
      </c>
      <c r="M107" s="41">
        <v>0</v>
      </c>
      <c r="N107" s="48">
        <v>0</v>
      </c>
      <c r="O107" s="41">
        <v>0</v>
      </c>
      <c r="P107" s="41">
        <v>0</v>
      </c>
      <c r="Q107" s="50">
        <v>0</v>
      </c>
      <c r="R107" s="41">
        <v>0</v>
      </c>
      <c r="S107" s="41">
        <v>0</v>
      </c>
      <c r="T107" s="50">
        <v>0</v>
      </c>
      <c r="U107" s="41">
        <v>0</v>
      </c>
      <c r="V107" s="41">
        <v>0</v>
      </c>
      <c r="W107" s="50">
        <v>0</v>
      </c>
      <c r="X107" s="41">
        <v>0</v>
      </c>
      <c r="Y107" s="41">
        <v>0</v>
      </c>
      <c r="Z107" s="48">
        <v>0</v>
      </c>
      <c r="AA107" s="41">
        <v>0</v>
      </c>
      <c r="AB107" s="41">
        <v>0</v>
      </c>
      <c r="AC107" s="50">
        <v>0</v>
      </c>
      <c r="AD107" s="41">
        <v>0</v>
      </c>
      <c r="AE107" s="41">
        <v>0</v>
      </c>
      <c r="AF107" s="50">
        <v>0</v>
      </c>
      <c r="AG107" s="41">
        <v>0</v>
      </c>
      <c r="AH107" s="41">
        <v>0</v>
      </c>
      <c r="AI107" s="50">
        <v>0</v>
      </c>
      <c r="AJ107" s="41">
        <v>0</v>
      </c>
      <c r="AK107" s="41">
        <v>0</v>
      </c>
      <c r="AL107" s="48">
        <v>0</v>
      </c>
      <c r="AM107" s="41">
        <v>0</v>
      </c>
      <c r="AN107" s="41">
        <v>0</v>
      </c>
      <c r="AO107" s="50">
        <v>0</v>
      </c>
      <c r="AP107" s="41">
        <v>0</v>
      </c>
      <c r="AQ107" s="41">
        <v>0</v>
      </c>
      <c r="AR107" s="50">
        <v>0</v>
      </c>
      <c r="AS107" s="41">
        <v>0</v>
      </c>
      <c r="AT107" s="41">
        <v>0</v>
      </c>
      <c r="AU107" s="50">
        <v>0</v>
      </c>
      <c r="AV107" s="41">
        <v>0</v>
      </c>
      <c r="AW107" s="41">
        <v>0</v>
      </c>
      <c r="AX107" s="48">
        <v>0</v>
      </c>
      <c r="AY107" s="41">
        <f t="shared" si="78"/>
        <v>16</v>
      </c>
      <c r="AZ107" s="41">
        <f t="shared" si="79"/>
        <v>16</v>
      </c>
      <c r="BA107" s="50">
        <f t="shared" si="80"/>
        <v>16</v>
      </c>
      <c r="BB107" s="41">
        <f t="shared" si="81"/>
        <v>16</v>
      </c>
      <c r="BC107" s="41">
        <f t="shared" si="82"/>
        <v>16</v>
      </c>
      <c r="BD107" s="50">
        <f t="shared" si="83"/>
        <v>16</v>
      </c>
      <c r="BE107" s="41">
        <f t="shared" si="84"/>
        <v>16</v>
      </c>
      <c r="BF107" s="41">
        <f t="shared" si="85"/>
        <v>16</v>
      </c>
      <c r="BG107" s="50">
        <f t="shared" si="86"/>
        <v>16</v>
      </c>
      <c r="BH107" s="41">
        <f t="shared" si="87"/>
        <v>16</v>
      </c>
      <c r="BI107" s="41">
        <f t="shared" si="88"/>
        <v>16</v>
      </c>
      <c r="BJ107" s="41">
        <f t="shared" si="89"/>
        <v>16</v>
      </c>
      <c r="BK107" s="56">
        <f t="shared" si="90"/>
        <v>192</v>
      </c>
      <c r="BL107" s="41">
        <f t="shared" si="91"/>
        <v>48</v>
      </c>
      <c r="BM107" s="41">
        <f t="shared" si="92"/>
        <v>48</v>
      </c>
      <c r="BN107" s="41">
        <f t="shared" si="93"/>
        <v>48</v>
      </c>
      <c r="BO107" s="46">
        <f t="shared" si="94"/>
        <v>48</v>
      </c>
      <c r="BP107" s="95">
        <f t="shared" si="95"/>
        <v>16</v>
      </c>
      <c r="BQ107" s="95">
        <f t="shared" si="96"/>
        <v>16</v>
      </c>
      <c r="BR107" s="96">
        <f t="shared" si="97"/>
        <v>16</v>
      </c>
      <c r="BS107" s="34">
        <v>0</v>
      </c>
      <c r="BT107" s="34">
        <v>0</v>
      </c>
      <c r="BU107" s="52">
        <v>0</v>
      </c>
      <c r="BV107" s="98">
        <f t="shared" si="98"/>
        <v>530</v>
      </c>
      <c r="BW107" s="98">
        <f t="shared" si="99"/>
        <v>530</v>
      </c>
      <c r="BX107" s="100">
        <f t="shared" si="100"/>
        <v>530</v>
      </c>
      <c r="BY107" s="44">
        <v>0</v>
      </c>
      <c r="BZ107" s="44">
        <v>0</v>
      </c>
      <c r="CA107" s="53">
        <v>0</v>
      </c>
      <c r="CB107" s="98">
        <f t="shared" si="101"/>
        <v>0</v>
      </c>
      <c r="CC107" s="98">
        <f t="shared" si="102"/>
        <v>0</v>
      </c>
      <c r="CD107" s="100">
        <f t="shared" si="103"/>
        <v>0</v>
      </c>
    </row>
    <row r="108" spans="1:82" ht="13.5" customHeight="1" x14ac:dyDescent="0.25">
      <c r="A108" s="36" t="s">
        <v>1136</v>
      </c>
      <c r="B108" s="382"/>
      <c r="C108" s="34">
        <v>0</v>
      </c>
      <c r="D108" s="34">
        <v>0</v>
      </c>
      <c r="E108" s="52">
        <v>0</v>
      </c>
      <c r="F108" s="34">
        <v>0</v>
      </c>
      <c r="G108" s="34">
        <v>0</v>
      </c>
      <c r="H108" s="52">
        <v>0</v>
      </c>
      <c r="I108" s="34">
        <v>0</v>
      </c>
      <c r="J108" s="34">
        <v>0</v>
      </c>
      <c r="K108" s="50">
        <v>0</v>
      </c>
      <c r="L108" s="41">
        <v>0</v>
      </c>
      <c r="M108" s="41">
        <v>0</v>
      </c>
      <c r="N108" s="48">
        <v>0</v>
      </c>
      <c r="O108" s="41">
        <v>0</v>
      </c>
      <c r="P108" s="41">
        <v>0</v>
      </c>
      <c r="Q108" s="50">
        <v>0</v>
      </c>
      <c r="R108" s="41">
        <v>0</v>
      </c>
      <c r="S108" s="41">
        <v>0</v>
      </c>
      <c r="T108" s="50">
        <v>0</v>
      </c>
      <c r="U108" s="41">
        <v>0</v>
      </c>
      <c r="V108" s="41">
        <v>0</v>
      </c>
      <c r="W108" s="50">
        <v>0</v>
      </c>
      <c r="X108" s="41">
        <v>0</v>
      </c>
      <c r="Y108" s="41">
        <v>0</v>
      </c>
      <c r="Z108" s="48">
        <v>0</v>
      </c>
      <c r="AA108" s="41">
        <v>0</v>
      </c>
      <c r="AB108" s="41">
        <v>0</v>
      </c>
      <c r="AC108" s="50">
        <v>0</v>
      </c>
      <c r="AD108" s="41">
        <v>0</v>
      </c>
      <c r="AE108" s="41">
        <v>0</v>
      </c>
      <c r="AF108" s="50">
        <v>0</v>
      </c>
      <c r="AG108" s="41">
        <v>0</v>
      </c>
      <c r="AH108" s="41">
        <v>0</v>
      </c>
      <c r="AI108" s="50">
        <v>0</v>
      </c>
      <c r="AJ108" s="41">
        <v>0</v>
      </c>
      <c r="AK108" s="41">
        <v>0</v>
      </c>
      <c r="AL108" s="48">
        <v>0</v>
      </c>
      <c r="AM108" s="41">
        <v>0</v>
      </c>
      <c r="AN108" s="41">
        <v>0</v>
      </c>
      <c r="AO108" s="50">
        <v>0</v>
      </c>
      <c r="AP108" s="41">
        <v>0</v>
      </c>
      <c r="AQ108" s="41">
        <v>0</v>
      </c>
      <c r="AR108" s="50">
        <v>0</v>
      </c>
      <c r="AS108" s="41">
        <v>0</v>
      </c>
      <c r="AT108" s="41">
        <v>0</v>
      </c>
      <c r="AU108" s="50">
        <v>0</v>
      </c>
      <c r="AV108" s="41">
        <v>0</v>
      </c>
      <c r="AW108" s="41">
        <v>0</v>
      </c>
      <c r="AX108" s="48">
        <v>0</v>
      </c>
      <c r="AY108" s="41">
        <f t="shared" si="78"/>
        <v>16</v>
      </c>
      <c r="AZ108" s="41">
        <f t="shared" si="79"/>
        <v>16</v>
      </c>
      <c r="BA108" s="50">
        <f t="shared" si="80"/>
        <v>16</v>
      </c>
      <c r="BB108" s="41">
        <f t="shared" si="81"/>
        <v>16</v>
      </c>
      <c r="BC108" s="41">
        <f t="shared" si="82"/>
        <v>16</v>
      </c>
      <c r="BD108" s="50">
        <f t="shared" si="83"/>
        <v>16</v>
      </c>
      <c r="BE108" s="41">
        <f t="shared" si="84"/>
        <v>16</v>
      </c>
      <c r="BF108" s="41">
        <f t="shared" si="85"/>
        <v>16</v>
      </c>
      <c r="BG108" s="50">
        <f t="shared" si="86"/>
        <v>16</v>
      </c>
      <c r="BH108" s="41">
        <f t="shared" si="87"/>
        <v>16</v>
      </c>
      <c r="BI108" s="41">
        <f t="shared" si="88"/>
        <v>16</v>
      </c>
      <c r="BJ108" s="41">
        <f t="shared" si="89"/>
        <v>16</v>
      </c>
      <c r="BK108" s="56">
        <f t="shared" si="90"/>
        <v>192</v>
      </c>
      <c r="BL108" s="41">
        <f t="shared" si="91"/>
        <v>48</v>
      </c>
      <c r="BM108" s="41">
        <f t="shared" si="92"/>
        <v>48</v>
      </c>
      <c r="BN108" s="41">
        <f t="shared" si="93"/>
        <v>48</v>
      </c>
      <c r="BO108" s="46">
        <f t="shared" si="94"/>
        <v>48</v>
      </c>
      <c r="BP108" s="95">
        <f t="shared" si="95"/>
        <v>16</v>
      </c>
      <c r="BQ108" s="95">
        <f t="shared" si="96"/>
        <v>16</v>
      </c>
      <c r="BR108" s="96">
        <f t="shared" si="97"/>
        <v>16</v>
      </c>
      <c r="BS108" s="34">
        <v>0</v>
      </c>
      <c r="BT108" s="34">
        <v>0</v>
      </c>
      <c r="BU108" s="52">
        <v>0</v>
      </c>
      <c r="BV108" s="98">
        <f t="shared" si="98"/>
        <v>530</v>
      </c>
      <c r="BW108" s="98">
        <f t="shared" si="99"/>
        <v>530</v>
      </c>
      <c r="BX108" s="100">
        <f t="shared" si="100"/>
        <v>530</v>
      </c>
      <c r="BY108" s="44">
        <v>0</v>
      </c>
      <c r="BZ108" s="44">
        <v>0</v>
      </c>
      <c r="CA108" s="53">
        <v>0</v>
      </c>
      <c r="CB108" s="98">
        <f t="shared" si="101"/>
        <v>0</v>
      </c>
      <c r="CC108" s="98">
        <f t="shared" si="102"/>
        <v>0</v>
      </c>
      <c r="CD108" s="100">
        <f t="shared" si="103"/>
        <v>0</v>
      </c>
    </row>
    <row r="109" spans="1:82" ht="13.5" customHeight="1" x14ac:dyDescent="0.25">
      <c r="A109" s="36" t="s">
        <v>1137</v>
      </c>
      <c r="B109" s="382"/>
      <c r="C109" s="34">
        <v>0</v>
      </c>
      <c r="D109" s="34">
        <v>0</v>
      </c>
      <c r="E109" s="52">
        <v>0</v>
      </c>
      <c r="F109" s="34">
        <v>0</v>
      </c>
      <c r="G109" s="34">
        <v>0</v>
      </c>
      <c r="H109" s="52">
        <v>0</v>
      </c>
      <c r="I109" s="34">
        <v>0</v>
      </c>
      <c r="J109" s="34">
        <v>0</v>
      </c>
      <c r="K109" s="50">
        <v>0</v>
      </c>
      <c r="L109" s="41">
        <v>0</v>
      </c>
      <c r="M109" s="41">
        <v>0</v>
      </c>
      <c r="N109" s="48">
        <v>0</v>
      </c>
      <c r="O109" s="41">
        <v>0</v>
      </c>
      <c r="P109" s="41">
        <v>0</v>
      </c>
      <c r="Q109" s="50">
        <v>0</v>
      </c>
      <c r="R109" s="41">
        <v>0</v>
      </c>
      <c r="S109" s="41">
        <v>0</v>
      </c>
      <c r="T109" s="50">
        <v>0</v>
      </c>
      <c r="U109" s="41">
        <v>0</v>
      </c>
      <c r="V109" s="41">
        <v>0</v>
      </c>
      <c r="W109" s="50">
        <v>0</v>
      </c>
      <c r="X109" s="41">
        <v>0</v>
      </c>
      <c r="Y109" s="41">
        <v>0</v>
      </c>
      <c r="Z109" s="48">
        <v>0</v>
      </c>
      <c r="AA109" s="41">
        <v>0</v>
      </c>
      <c r="AB109" s="41">
        <v>0</v>
      </c>
      <c r="AC109" s="50">
        <v>0</v>
      </c>
      <c r="AD109" s="41">
        <v>0</v>
      </c>
      <c r="AE109" s="41">
        <v>0</v>
      </c>
      <c r="AF109" s="50">
        <v>0</v>
      </c>
      <c r="AG109" s="41">
        <v>0</v>
      </c>
      <c r="AH109" s="41">
        <v>0</v>
      </c>
      <c r="AI109" s="50">
        <v>0</v>
      </c>
      <c r="AJ109" s="41">
        <v>0</v>
      </c>
      <c r="AK109" s="41">
        <v>0</v>
      </c>
      <c r="AL109" s="48">
        <v>0</v>
      </c>
      <c r="AM109" s="41">
        <v>0</v>
      </c>
      <c r="AN109" s="41">
        <v>0</v>
      </c>
      <c r="AO109" s="50">
        <v>0</v>
      </c>
      <c r="AP109" s="41">
        <v>0</v>
      </c>
      <c r="AQ109" s="41">
        <v>0</v>
      </c>
      <c r="AR109" s="50">
        <v>0</v>
      </c>
      <c r="AS109" s="41">
        <v>0</v>
      </c>
      <c r="AT109" s="41">
        <v>0</v>
      </c>
      <c r="AU109" s="50">
        <v>0</v>
      </c>
      <c r="AV109" s="41">
        <v>0</v>
      </c>
      <c r="AW109" s="41">
        <v>0</v>
      </c>
      <c r="AX109" s="48">
        <v>0</v>
      </c>
      <c r="AY109" s="41">
        <f t="shared" si="78"/>
        <v>16</v>
      </c>
      <c r="AZ109" s="41">
        <f t="shared" si="79"/>
        <v>16</v>
      </c>
      <c r="BA109" s="50">
        <f t="shared" si="80"/>
        <v>16</v>
      </c>
      <c r="BB109" s="41">
        <f t="shared" si="81"/>
        <v>16</v>
      </c>
      <c r="BC109" s="41">
        <f t="shared" si="82"/>
        <v>16</v>
      </c>
      <c r="BD109" s="50">
        <f t="shared" si="83"/>
        <v>16</v>
      </c>
      <c r="BE109" s="41">
        <f t="shared" si="84"/>
        <v>16</v>
      </c>
      <c r="BF109" s="41">
        <f t="shared" si="85"/>
        <v>16</v>
      </c>
      <c r="BG109" s="50">
        <f t="shared" si="86"/>
        <v>16</v>
      </c>
      <c r="BH109" s="41">
        <f t="shared" si="87"/>
        <v>16</v>
      </c>
      <c r="BI109" s="41">
        <f t="shared" si="88"/>
        <v>16</v>
      </c>
      <c r="BJ109" s="41">
        <f t="shared" si="89"/>
        <v>16</v>
      </c>
      <c r="BK109" s="56">
        <f t="shared" si="90"/>
        <v>192</v>
      </c>
      <c r="BL109" s="41">
        <f t="shared" si="91"/>
        <v>48</v>
      </c>
      <c r="BM109" s="41">
        <f t="shared" si="92"/>
        <v>48</v>
      </c>
      <c r="BN109" s="41">
        <f t="shared" si="93"/>
        <v>48</v>
      </c>
      <c r="BO109" s="46">
        <f t="shared" si="94"/>
        <v>48</v>
      </c>
      <c r="BP109" s="95">
        <f t="shared" si="95"/>
        <v>16</v>
      </c>
      <c r="BQ109" s="95">
        <f t="shared" si="96"/>
        <v>16</v>
      </c>
      <c r="BR109" s="96">
        <f t="shared" si="97"/>
        <v>16</v>
      </c>
      <c r="BS109" s="34">
        <v>0</v>
      </c>
      <c r="BT109" s="34">
        <v>0</v>
      </c>
      <c r="BU109" s="52">
        <v>0</v>
      </c>
      <c r="BV109" s="98">
        <f t="shared" si="98"/>
        <v>530</v>
      </c>
      <c r="BW109" s="98">
        <f t="shared" si="99"/>
        <v>530</v>
      </c>
      <c r="BX109" s="100">
        <f t="shared" si="100"/>
        <v>530</v>
      </c>
      <c r="BY109" s="44">
        <v>0</v>
      </c>
      <c r="BZ109" s="44">
        <v>0</v>
      </c>
      <c r="CA109" s="53">
        <v>0</v>
      </c>
      <c r="CB109" s="98">
        <f t="shared" si="101"/>
        <v>0</v>
      </c>
      <c r="CC109" s="98">
        <f t="shared" si="102"/>
        <v>0</v>
      </c>
      <c r="CD109" s="100">
        <f t="shared" si="103"/>
        <v>0</v>
      </c>
    </row>
    <row r="110" spans="1:82" ht="13.5" customHeight="1" x14ac:dyDescent="0.25">
      <c r="A110" s="36" t="s">
        <v>1138</v>
      </c>
      <c r="B110" s="382"/>
      <c r="C110" s="34">
        <v>0</v>
      </c>
      <c r="D110" s="34">
        <v>0</v>
      </c>
      <c r="E110" s="52">
        <v>0</v>
      </c>
      <c r="F110" s="34">
        <v>0</v>
      </c>
      <c r="G110" s="34">
        <v>0</v>
      </c>
      <c r="H110" s="52">
        <v>0</v>
      </c>
      <c r="I110" s="34">
        <v>0</v>
      </c>
      <c r="J110" s="34">
        <v>0</v>
      </c>
      <c r="K110" s="50">
        <v>0</v>
      </c>
      <c r="L110" s="41">
        <v>0</v>
      </c>
      <c r="M110" s="41">
        <v>0</v>
      </c>
      <c r="N110" s="48">
        <v>0</v>
      </c>
      <c r="O110" s="41">
        <v>0</v>
      </c>
      <c r="P110" s="41">
        <v>0</v>
      </c>
      <c r="Q110" s="50">
        <v>0</v>
      </c>
      <c r="R110" s="41">
        <v>0</v>
      </c>
      <c r="S110" s="41">
        <v>0</v>
      </c>
      <c r="T110" s="50">
        <v>0</v>
      </c>
      <c r="U110" s="41">
        <v>0</v>
      </c>
      <c r="V110" s="41">
        <v>0</v>
      </c>
      <c r="W110" s="50">
        <v>0</v>
      </c>
      <c r="X110" s="41">
        <v>0</v>
      </c>
      <c r="Y110" s="41">
        <v>0</v>
      </c>
      <c r="Z110" s="48">
        <v>0</v>
      </c>
      <c r="AA110" s="41">
        <v>0</v>
      </c>
      <c r="AB110" s="41">
        <v>0</v>
      </c>
      <c r="AC110" s="50">
        <v>0</v>
      </c>
      <c r="AD110" s="41">
        <v>0</v>
      </c>
      <c r="AE110" s="41">
        <v>0</v>
      </c>
      <c r="AF110" s="50">
        <v>0</v>
      </c>
      <c r="AG110" s="41">
        <v>0</v>
      </c>
      <c r="AH110" s="41">
        <v>0</v>
      </c>
      <c r="AI110" s="50">
        <v>0</v>
      </c>
      <c r="AJ110" s="41">
        <v>0</v>
      </c>
      <c r="AK110" s="41">
        <v>0</v>
      </c>
      <c r="AL110" s="48">
        <v>0</v>
      </c>
      <c r="AM110" s="41">
        <v>0</v>
      </c>
      <c r="AN110" s="41">
        <v>0</v>
      </c>
      <c r="AO110" s="50">
        <v>0</v>
      </c>
      <c r="AP110" s="41">
        <v>0</v>
      </c>
      <c r="AQ110" s="41">
        <v>0</v>
      </c>
      <c r="AR110" s="50">
        <v>0</v>
      </c>
      <c r="AS110" s="41">
        <v>0</v>
      </c>
      <c r="AT110" s="41">
        <v>0</v>
      </c>
      <c r="AU110" s="50">
        <v>0</v>
      </c>
      <c r="AV110" s="41">
        <v>0</v>
      </c>
      <c r="AW110" s="41">
        <v>0</v>
      </c>
      <c r="AX110" s="48">
        <v>0</v>
      </c>
      <c r="AY110" s="41">
        <f t="shared" si="78"/>
        <v>16</v>
      </c>
      <c r="AZ110" s="41">
        <f t="shared" si="79"/>
        <v>16</v>
      </c>
      <c r="BA110" s="50">
        <f t="shared" si="80"/>
        <v>16</v>
      </c>
      <c r="BB110" s="41">
        <f t="shared" si="81"/>
        <v>16</v>
      </c>
      <c r="BC110" s="41">
        <f t="shared" si="82"/>
        <v>16</v>
      </c>
      <c r="BD110" s="50">
        <f t="shared" si="83"/>
        <v>16</v>
      </c>
      <c r="BE110" s="41">
        <f t="shared" si="84"/>
        <v>16</v>
      </c>
      <c r="BF110" s="41">
        <f t="shared" si="85"/>
        <v>16</v>
      </c>
      <c r="BG110" s="50">
        <f t="shared" si="86"/>
        <v>16</v>
      </c>
      <c r="BH110" s="41">
        <f t="shared" si="87"/>
        <v>16</v>
      </c>
      <c r="BI110" s="41">
        <f t="shared" si="88"/>
        <v>16</v>
      </c>
      <c r="BJ110" s="41">
        <f t="shared" si="89"/>
        <v>16</v>
      </c>
      <c r="BK110" s="56">
        <f t="shared" si="90"/>
        <v>192</v>
      </c>
      <c r="BL110" s="41">
        <f t="shared" si="91"/>
        <v>48</v>
      </c>
      <c r="BM110" s="41">
        <f t="shared" si="92"/>
        <v>48</v>
      </c>
      <c r="BN110" s="41">
        <f t="shared" si="93"/>
        <v>48</v>
      </c>
      <c r="BO110" s="46">
        <f t="shared" si="94"/>
        <v>48</v>
      </c>
      <c r="BP110" s="95">
        <f t="shared" si="95"/>
        <v>16</v>
      </c>
      <c r="BQ110" s="95">
        <f t="shared" si="96"/>
        <v>16</v>
      </c>
      <c r="BR110" s="96">
        <f t="shared" si="97"/>
        <v>16</v>
      </c>
      <c r="BS110" s="34">
        <v>0</v>
      </c>
      <c r="BT110" s="34">
        <v>0</v>
      </c>
      <c r="BU110" s="52">
        <v>0</v>
      </c>
      <c r="BV110" s="98">
        <f t="shared" si="98"/>
        <v>530</v>
      </c>
      <c r="BW110" s="98">
        <f t="shared" si="99"/>
        <v>530</v>
      </c>
      <c r="BX110" s="100">
        <f t="shared" si="100"/>
        <v>530</v>
      </c>
      <c r="BY110" s="44">
        <v>0</v>
      </c>
      <c r="BZ110" s="44">
        <v>0</v>
      </c>
      <c r="CA110" s="53">
        <v>0</v>
      </c>
      <c r="CB110" s="98">
        <f t="shared" si="101"/>
        <v>0</v>
      </c>
      <c r="CC110" s="98">
        <f t="shared" si="102"/>
        <v>0</v>
      </c>
      <c r="CD110" s="100">
        <f t="shared" si="103"/>
        <v>0</v>
      </c>
    </row>
    <row r="111" spans="1:82" ht="13.5" customHeight="1" x14ac:dyDescent="0.25">
      <c r="A111" s="36" t="s">
        <v>1139</v>
      </c>
      <c r="B111" s="382"/>
      <c r="C111" s="34">
        <v>0</v>
      </c>
      <c r="D111" s="34">
        <v>0</v>
      </c>
      <c r="E111" s="52">
        <v>0</v>
      </c>
      <c r="F111" s="34">
        <v>0</v>
      </c>
      <c r="G111" s="34">
        <v>0</v>
      </c>
      <c r="H111" s="52">
        <v>0</v>
      </c>
      <c r="I111" s="34">
        <v>0</v>
      </c>
      <c r="J111" s="34">
        <v>0</v>
      </c>
      <c r="K111" s="50">
        <v>0</v>
      </c>
      <c r="L111" s="41">
        <v>0</v>
      </c>
      <c r="M111" s="41">
        <v>0</v>
      </c>
      <c r="N111" s="48">
        <v>0</v>
      </c>
      <c r="O111" s="41">
        <v>0</v>
      </c>
      <c r="P111" s="41">
        <v>0</v>
      </c>
      <c r="Q111" s="50">
        <v>0</v>
      </c>
      <c r="R111" s="41">
        <v>0</v>
      </c>
      <c r="S111" s="41">
        <v>0</v>
      </c>
      <c r="T111" s="50">
        <v>0</v>
      </c>
      <c r="U111" s="41">
        <v>0</v>
      </c>
      <c r="V111" s="41">
        <v>0</v>
      </c>
      <c r="W111" s="50">
        <v>0</v>
      </c>
      <c r="X111" s="41">
        <v>0</v>
      </c>
      <c r="Y111" s="41">
        <v>0</v>
      </c>
      <c r="Z111" s="48">
        <v>0</v>
      </c>
      <c r="AA111" s="41">
        <v>0</v>
      </c>
      <c r="AB111" s="41">
        <v>0</v>
      </c>
      <c r="AC111" s="50">
        <v>0</v>
      </c>
      <c r="AD111" s="41">
        <v>0</v>
      </c>
      <c r="AE111" s="41">
        <v>0</v>
      </c>
      <c r="AF111" s="50">
        <v>0</v>
      </c>
      <c r="AG111" s="41">
        <v>0</v>
      </c>
      <c r="AH111" s="41">
        <v>0</v>
      </c>
      <c r="AI111" s="50">
        <v>0</v>
      </c>
      <c r="AJ111" s="41">
        <v>0</v>
      </c>
      <c r="AK111" s="41">
        <v>0</v>
      </c>
      <c r="AL111" s="48">
        <v>0</v>
      </c>
      <c r="AM111" s="41">
        <v>0</v>
      </c>
      <c r="AN111" s="41">
        <v>0</v>
      </c>
      <c r="AO111" s="50">
        <v>0</v>
      </c>
      <c r="AP111" s="41">
        <v>0</v>
      </c>
      <c r="AQ111" s="41">
        <v>0</v>
      </c>
      <c r="AR111" s="50">
        <v>0</v>
      </c>
      <c r="AS111" s="41">
        <v>0</v>
      </c>
      <c r="AT111" s="41">
        <v>0</v>
      </c>
      <c r="AU111" s="50">
        <v>0</v>
      </c>
      <c r="AV111" s="41">
        <v>0</v>
      </c>
      <c r="AW111" s="41">
        <v>0</v>
      </c>
      <c r="AX111" s="48">
        <v>0</v>
      </c>
      <c r="AY111" s="41">
        <f t="shared" si="78"/>
        <v>16</v>
      </c>
      <c r="AZ111" s="41">
        <f t="shared" si="79"/>
        <v>16</v>
      </c>
      <c r="BA111" s="50">
        <f t="shared" si="80"/>
        <v>16</v>
      </c>
      <c r="BB111" s="41">
        <f t="shared" si="81"/>
        <v>16</v>
      </c>
      <c r="BC111" s="41">
        <f t="shared" si="82"/>
        <v>16</v>
      </c>
      <c r="BD111" s="50">
        <f t="shared" si="83"/>
        <v>16</v>
      </c>
      <c r="BE111" s="41">
        <f t="shared" si="84"/>
        <v>16</v>
      </c>
      <c r="BF111" s="41">
        <f t="shared" si="85"/>
        <v>16</v>
      </c>
      <c r="BG111" s="50">
        <f t="shared" si="86"/>
        <v>16</v>
      </c>
      <c r="BH111" s="41">
        <f t="shared" si="87"/>
        <v>16</v>
      </c>
      <c r="BI111" s="41">
        <f t="shared" si="88"/>
        <v>16</v>
      </c>
      <c r="BJ111" s="41">
        <f t="shared" si="89"/>
        <v>16</v>
      </c>
      <c r="BK111" s="56">
        <f t="shared" si="90"/>
        <v>192</v>
      </c>
      <c r="BL111" s="41">
        <f t="shared" si="91"/>
        <v>48</v>
      </c>
      <c r="BM111" s="41">
        <f t="shared" si="92"/>
        <v>48</v>
      </c>
      <c r="BN111" s="41">
        <f t="shared" si="93"/>
        <v>48</v>
      </c>
      <c r="BO111" s="46">
        <f t="shared" si="94"/>
        <v>48</v>
      </c>
      <c r="BP111" s="95">
        <f t="shared" si="95"/>
        <v>16</v>
      </c>
      <c r="BQ111" s="95">
        <f t="shared" si="96"/>
        <v>16</v>
      </c>
      <c r="BR111" s="96">
        <f t="shared" si="97"/>
        <v>16</v>
      </c>
      <c r="BS111" s="34">
        <v>0</v>
      </c>
      <c r="BT111" s="34">
        <v>0</v>
      </c>
      <c r="BU111" s="52">
        <v>0</v>
      </c>
      <c r="BV111" s="98">
        <f t="shared" si="98"/>
        <v>530</v>
      </c>
      <c r="BW111" s="98">
        <f t="shared" si="99"/>
        <v>530</v>
      </c>
      <c r="BX111" s="100">
        <f t="shared" si="100"/>
        <v>530</v>
      </c>
      <c r="BY111" s="44">
        <v>0</v>
      </c>
      <c r="BZ111" s="44">
        <v>0</v>
      </c>
      <c r="CA111" s="53">
        <v>0</v>
      </c>
      <c r="CB111" s="98">
        <f t="shared" si="101"/>
        <v>0</v>
      </c>
      <c r="CC111" s="98">
        <f t="shared" si="102"/>
        <v>0</v>
      </c>
      <c r="CD111" s="100">
        <f t="shared" si="103"/>
        <v>0</v>
      </c>
    </row>
    <row r="112" spans="1:82" ht="13.5" customHeight="1" x14ac:dyDescent="0.25">
      <c r="A112" s="36" t="s">
        <v>1140</v>
      </c>
      <c r="B112" s="382"/>
      <c r="C112" s="34">
        <v>0</v>
      </c>
      <c r="D112" s="34">
        <v>0</v>
      </c>
      <c r="E112" s="52">
        <v>0</v>
      </c>
      <c r="F112" s="34">
        <v>0</v>
      </c>
      <c r="G112" s="34">
        <v>0</v>
      </c>
      <c r="H112" s="52">
        <v>0</v>
      </c>
      <c r="I112" s="34">
        <v>0</v>
      </c>
      <c r="J112" s="34">
        <v>0</v>
      </c>
      <c r="K112" s="50">
        <v>0</v>
      </c>
      <c r="L112" s="41">
        <v>0</v>
      </c>
      <c r="M112" s="41">
        <v>0</v>
      </c>
      <c r="N112" s="48">
        <v>0</v>
      </c>
      <c r="O112" s="41">
        <v>0</v>
      </c>
      <c r="P112" s="41">
        <v>0</v>
      </c>
      <c r="Q112" s="50">
        <v>0</v>
      </c>
      <c r="R112" s="41">
        <v>0</v>
      </c>
      <c r="S112" s="41">
        <v>0</v>
      </c>
      <c r="T112" s="50">
        <v>0</v>
      </c>
      <c r="U112" s="41">
        <v>0</v>
      </c>
      <c r="V112" s="41">
        <v>0</v>
      </c>
      <c r="W112" s="50">
        <v>0</v>
      </c>
      <c r="X112" s="41">
        <v>0</v>
      </c>
      <c r="Y112" s="41">
        <v>0</v>
      </c>
      <c r="Z112" s="48">
        <v>0</v>
      </c>
      <c r="AA112" s="41">
        <v>0</v>
      </c>
      <c r="AB112" s="41">
        <v>0</v>
      </c>
      <c r="AC112" s="50">
        <v>0</v>
      </c>
      <c r="AD112" s="41">
        <v>0</v>
      </c>
      <c r="AE112" s="41">
        <v>0</v>
      </c>
      <c r="AF112" s="50">
        <v>0</v>
      </c>
      <c r="AG112" s="41">
        <v>0</v>
      </c>
      <c r="AH112" s="41">
        <v>0</v>
      </c>
      <c r="AI112" s="50">
        <v>0</v>
      </c>
      <c r="AJ112" s="41">
        <v>0</v>
      </c>
      <c r="AK112" s="41">
        <v>0</v>
      </c>
      <c r="AL112" s="48">
        <v>0</v>
      </c>
      <c r="AM112" s="41">
        <v>0</v>
      </c>
      <c r="AN112" s="41">
        <v>0</v>
      </c>
      <c r="AO112" s="50">
        <v>0</v>
      </c>
      <c r="AP112" s="41">
        <v>0</v>
      </c>
      <c r="AQ112" s="41">
        <v>0</v>
      </c>
      <c r="AR112" s="50">
        <v>0</v>
      </c>
      <c r="AS112" s="41">
        <v>0</v>
      </c>
      <c r="AT112" s="41">
        <v>0</v>
      </c>
      <c r="AU112" s="50">
        <v>0</v>
      </c>
      <c r="AV112" s="41">
        <v>0</v>
      </c>
      <c r="AW112" s="41">
        <v>0</v>
      </c>
      <c r="AX112" s="48">
        <v>0</v>
      </c>
      <c r="AY112" s="41">
        <f t="shared" si="78"/>
        <v>16</v>
      </c>
      <c r="AZ112" s="41">
        <f t="shared" si="79"/>
        <v>16</v>
      </c>
      <c r="BA112" s="50">
        <f t="shared" si="80"/>
        <v>16</v>
      </c>
      <c r="BB112" s="41">
        <f t="shared" si="81"/>
        <v>16</v>
      </c>
      <c r="BC112" s="41">
        <f t="shared" si="82"/>
        <v>16</v>
      </c>
      <c r="BD112" s="50">
        <f t="shared" si="83"/>
        <v>16</v>
      </c>
      <c r="BE112" s="41">
        <f t="shared" si="84"/>
        <v>16</v>
      </c>
      <c r="BF112" s="41">
        <f t="shared" si="85"/>
        <v>16</v>
      </c>
      <c r="BG112" s="50">
        <f t="shared" si="86"/>
        <v>16</v>
      </c>
      <c r="BH112" s="41">
        <f t="shared" si="87"/>
        <v>16</v>
      </c>
      <c r="BI112" s="41">
        <f t="shared" si="88"/>
        <v>16</v>
      </c>
      <c r="BJ112" s="41">
        <f t="shared" si="89"/>
        <v>16</v>
      </c>
      <c r="BK112" s="56">
        <f t="shared" si="90"/>
        <v>192</v>
      </c>
      <c r="BL112" s="41">
        <f t="shared" si="91"/>
        <v>48</v>
      </c>
      <c r="BM112" s="41">
        <f t="shared" si="92"/>
        <v>48</v>
      </c>
      <c r="BN112" s="41">
        <f t="shared" si="93"/>
        <v>48</v>
      </c>
      <c r="BO112" s="46">
        <f t="shared" si="94"/>
        <v>48</v>
      </c>
      <c r="BP112" s="95">
        <f t="shared" si="95"/>
        <v>16</v>
      </c>
      <c r="BQ112" s="95">
        <f t="shared" si="96"/>
        <v>16</v>
      </c>
      <c r="BR112" s="96">
        <f t="shared" si="97"/>
        <v>16</v>
      </c>
      <c r="BS112" s="34">
        <v>0</v>
      </c>
      <c r="BT112" s="34">
        <v>0</v>
      </c>
      <c r="BU112" s="52">
        <v>0</v>
      </c>
      <c r="BV112" s="98">
        <f t="shared" si="98"/>
        <v>530</v>
      </c>
      <c r="BW112" s="98">
        <f t="shared" si="99"/>
        <v>530</v>
      </c>
      <c r="BX112" s="100">
        <f t="shared" si="100"/>
        <v>530</v>
      </c>
      <c r="BY112" s="44">
        <v>0</v>
      </c>
      <c r="BZ112" s="44">
        <v>0</v>
      </c>
      <c r="CA112" s="53">
        <v>0</v>
      </c>
      <c r="CB112" s="98">
        <f t="shared" si="101"/>
        <v>0</v>
      </c>
      <c r="CC112" s="98">
        <f t="shared" si="102"/>
        <v>0</v>
      </c>
      <c r="CD112" s="100">
        <f t="shared" si="103"/>
        <v>0</v>
      </c>
    </row>
    <row r="113" spans="1:83" ht="13.5" customHeight="1" x14ac:dyDescent="0.25">
      <c r="A113" s="36" t="s">
        <v>1141</v>
      </c>
      <c r="B113" s="62"/>
      <c r="C113" s="34">
        <v>0</v>
      </c>
      <c r="D113" s="34">
        <v>0</v>
      </c>
      <c r="E113" s="52">
        <v>0</v>
      </c>
      <c r="F113" s="34">
        <v>0</v>
      </c>
      <c r="G113" s="34">
        <v>0</v>
      </c>
      <c r="H113" s="52">
        <v>0</v>
      </c>
      <c r="I113" s="34">
        <v>0</v>
      </c>
      <c r="J113" s="34">
        <v>0</v>
      </c>
      <c r="K113" s="50">
        <v>0</v>
      </c>
      <c r="L113" s="41">
        <v>0</v>
      </c>
      <c r="M113" s="41">
        <v>0</v>
      </c>
      <c r="N113" s="48">
        <v>0</v>
      </c>
      <c r="O113" s="41">
        <v>0</v>
      </c>
      <c r="P113" s="41">
        <v>0</v>
      </c>
      <c r="Q113" s="50">
        <v>0</v>
      </c>
      <c r="R113" s="41">
        <v>0</v>
      </c>
      <c r="S113" s="41">
        <v>0</v>
      </c>
      <c r="T113" s="50">
        <v>0</v>
      </c>
      <c r="U113" s="41">
        <v>0</v>
      </c>
      <c r="V113" s="41">
        <v>0</v>
      </c>
      <c r="W113" s="50">
        <v>0</v>
      </c>
      <c r="X113" s="41">
        <v>0</v>
      </c>
      <c r="Y113" s="41">
        <v>0</v>
      </c>
      <c r="Z113" s="48">
        <v>0</v>
      </c>
      <c r="AA113" s="41">
        <v>0</v>
      </c>
      <c r="AB113" s="41">
        <v>0</v>
      </c>
      <c r="AC113" s="50">
        <v>0</v>
      </c>
      <c r="AD113" s="41">
        <v>0</v>
      </c>
      <c r="AE113" s="41">
        <v>0</v>
      </c>
      <c r="AF113" s="50">
        <v>0</v>
      </c>
      <c r="AG113" s="41">
        <v>0</v>
      </c>
      <c r="AH113" s="41">
        <v>0</v>
      </c>
      <c r="AI113" s="50">
        <v>0</v>
      </c>
      <c r="AJ113" s="41">
        <v>0</v>
      </c>
      <c r="AK113" s="41">
        <v>0</v>
      </c>
      <c r="AL113" s="48">
        <v>0</v>
      </c>
      <c r="AM113" s="41">
        <v>0</v>
      </c>
      <c r="AN113" s="41">
        <v>0</v>
      </c>
      <c r="AO113" s="50">
        <v>0</v>
      </c>
      <c r="AP113" s="41">
        <v>0</v>
      </c>
      <c r="AQ113" s="41">
        <v>0</v>
      </c>
      <c r="AR113" s="50">
        <v>0</v>
      </c>
      <c r="AS113" s="41">
        <v>0</v>
      </c>
      <c r="AT113" s="41">
        <v>0</v>
      </c>
      <c r="AU113" s="50">
        <v>0</v>
      </c>
      <c r="AV113" s="41">
        <v>0</v>
      </c>
      <c r="AW113" s="41">
        <v>0</v>
      </c>
      <c r="AX113" s="48">
        <v>0</v>
      </c>
      <c r="AY113" s="41">
        <f t="shared" si="78"/>
        <v>16</v>
      </c>
      <c r="AZ113" s="41">
        <f t="shared" si="79"/>
        <v>16</v>
      </c>
      <c r="BA113" s="50">
        <f t="shared" si="80"/>
        <v>16</v>
      </c>
      <c r="BB113" s="41">
        <f t="shared" si="81"/>
        <v>16</v>
      </c>
      <c r="BC113" s="41">
        <f t="shared" si="82"/>
        <v>16</v>
      </c>
      <c r="BD113" s="50">
        <f t="shared" si="83"/>
        <v>16</v>
      </c>
      <c r="BE113" s="41">
        <f t="shared" si="84"/>
        <v>16</v>
      </c>
      <c r="BF113" s="41">
        <f t="shared" si="85"/>
        <v>16</v>
      </c>
      <c r="BG113" s="50">
        <f t="shared" si="86"/>
        <v>16</v>
      </c>
      <c r="BH113" s="41">
        <f t="shared" si="87"/>
        <v>16</v>
      </c>
      <c r="BI113" s="41">
        <f t="shared" si="88"/>
        <v>16</v>
      </c>
      <c r="BJ113" s="41">
        <f t="shared" si="89"/>
        <v>16</v>
      </c>
      <c r="BK113" s="56">
        <f t="shared" si="90"/>
        <v>192</v>
      </c>
      <c r="BL113" s="41">
        <f t="shared" si="91"/>
        <v>48</v>
      </c>
      <c r="BM113" s="41">
        <f t="shared" si="92"/>
        <v>48</v>
      </c>
      <c r="BN113" s="41">
        <f t="shared" si="93"/>
        <v>48</v>
      </c>
      <c r="BO113" s="46">
        <f t="shared" si="94"/>
        <v>48</v>
      </c>
      <c r="BP113" s="95">
        <f t="shared" si="95"/>
        <v>16</v>
      </c>
      <c r="BQ113" s="95">
        <f t="shared" si="96"/>
        <v>16</v>
      </c>
      <c r="BR113" s="96">
        <f t="shared" si="97"/>
        <v>16</v>
      </c>
      <c r="BS113" s="34">
        <v>0</v>
      </c>
      <c r="BT113" s="34">
        <v>0</v>
      </c>
      <c r="BU113" s="52">
        <v>0</v>
      </c>
      <c r="BV113" s="98">
        <f t="shared" si="98"/>
        <v>530</v>
      </c>
      <c r="BW113" s="98">
        <f t="shared" si="99"/>
        <v>530</v>
      </c>
      <c r="BX113" s="100">
        <f t="shared" si="100"/>
        <v>530</v>
      </c>
      <c r="BY113" s="44">
        <v>0</v>
      </c>
      <c r="BZ113" s="44">
        <v>0</v>
      </c>
      <c r="CA113" s="53">
        <v>0</v>
      </c>
      <c r="CB113" s="98">
        <f t="shared" si="101"/>
        <v>0</v>
      </c>
      <c r="CC113" s="98">
        <f t="shared" si="102"/>
        <v>0</v>
      </c>
      <c r="CD113" s="100">
        <f t="shared" si="103"/>
        <v>0</v>
      </c>
    </row>
    <row r="114" spans="1:83" s="60" customFormat="1" ht="18" customHeight="1" x14ac:dyDescent="0.25">
      <c r="A114" s="528" t="s">
        <v>335</v>
      </c>
      <c r="B114" s="529"/>
      <c r="C114" s="584" t="s">
        <v>1</v>
      </c>
      <c r="D114" s="584"/>
      <c r="E114" s="605"/>
      <c r="F114" s="584" t="s">
        <v>2</v>
      </c>
      <c r="G114" s="584"/>
      <c r="H114" s="605"/>
      <c r="I114" s="584" t="s">
        <v>3</v>
      </c>
      <c r="J114" s="584"/>
      <c r="K114" s="605"/>
      <c r="L114" s="584" t="s">
        <v>4</v>
      </c>
      <c r="M114" s="584"/>
      <c r="N114" s="585"/>
      <c r="O114" s="586" t="s">
        <v>1</v>
      </c>
      <c r="P114" s="586"/>
      <c r="Q114" s="602"/>
      <c r="R114" s="586" t="s">
        <v>2</v>
      </c>
      <c r="S114" s="586"/>
      <c r="T114" s="602"/>
      <c r="U114" s="586" t="s">
        <v>3</v>
      </c>
      <c r="V114" s="586"/>
      <c r="W114" s="602"/>
      <c r="X114" s="586" t="s">
        <v>4</v>
      </c>
      <c r="Y114" s="586"/>
      <c r="Z114" s="587"/>
      <c r="AA114" s="579" t="s">
        <v>1</v>
      </c>
      <c r="AB114" s="579"/>
      <c r="AC114" s="603"/>
      <c r="AD114" s="579" t="s">
        <v>2</v>
      </c>
      <c r="AE114" s="579"/>
      <c r="AF114" s="603"/>
      <c r="AG114" s="579" t="s">
        <v>3</v>
      </c>
      <c r="AH114" s="579"/>
      <c r="AI114" s="603"/>
      <c r="AJ114" s="579" t="s">
        <v>4</v>
      </c>
      <c r="AK114" s="579"/>
      <c r="AL114" s="580"/>
      <c r="AM114" s="600" t="s">
        <v>1</v>
      </c>
      <c r="AN114" s="600"/>
      <c r="AO114" s="604"/>
      <c r="AP114" s="600" t="s">
        <v>2</v>
      </c>
      <c r="AQ114" s="600"/>
      <c r="AR114" s="604"/>
      <c r="AS114" s="600" t="s">
        <v>3</v>
      </c>
      <c r="AT114" s="600"/>
      <c r="AU114" s="604"/>
      <c r="AV114" s="600" t="s">
        <v>4</v>
      </c>
      <c r="AW114" s="600"/>
      <c r="AX114" s="601"/>
      <c r="AY114" s="581" t="s">
        <v>44</v>
      </c>
      <c r="AZ114" s="581"/>
      <c r="BA114" s="597"/>
      <c r="BB114" s="581" t="s">
        <v>45</v>
      </c>
      <c r="BC114" s="581"/>
      <c r="BD114" s="597"/>
      <c r="BE114" s="581" t="s">
        <v>46</v>
      </c>
      <c r="BF114" s="581"/>
      <c r="BG114" s="597"/>
      <c r="BH114" s="581" t="s">
        <v>47</v>
      </c>
      <c r="BI114" s="581"/>
      <c r="BJ114" s="582"/>
      <c r="BK114" s="598" t="s">
        <v>43</v>
      </c>
      <c r="BL114" s="599"/>
      <c r="BM114" s="599"/>
      <c r="BN114" s="599"/>
      <c r="BO114" s="599"/>
    </row>
    <row r="115" spans="1:83" s="23" customFormat="1" ht="13.5" customHeight="1" x14ac:dyDescent="0.25">
      <c r="A115" s="38" t="s">
        <v>48</v>
      </c>
      <c r="B115" s="49" t="s">
        <v>0</v>
      </c>
      <c r="C115" s="37" t="s">
        <v>270</v>
      </c>
      <c r="D115" s="37" t="s">
        <v>271</v>
      </c>
      <c r="E115" s="51" t="s">
        <v>272</v>
      </c>
      <c r="F115" s="37" t="s">
        <v>336</v>
      </c>
      <c r="G115" s="37" t="s">
        <v>337</v>
      </c>
      <c r="H115" s="51" t="s">
        <v>338</v>
      </c>
      <c r="I115" s="37" t="s">
        <v>363</v>
      </c>
      <c r="J115" s="37" t="s">
        <v>364</v>
      </c>
      <c r="K115" s="51" t="s">
        <v>365</v>
      </c>
      <c r="L115" s="37" t="s">
        <v>366</v>
      </c>
      <c r="M115" s="37" t="s">
        <v>367</v>
      </c>
      <c r="N115" s="45" t="s">
        <v>368</v>
      </c>
      <c r="O115" s="37" t="s">
        <v>369</v>
      </c>
      <c r="P115" s="37" t="s">
        <v>370</v>
      </c>
      <c r="Q115" s="51" t="s">
        <v>371</v>
      </c>
      <c r="R115" s="37" t="s">
        <v>348</v>
      </c>
      <c r="S115" s="37" t="s">
        <v>349</v>
      </c>
      <c r="T115" s="51" t="s">
        <v>350</v>
      </c>
      <c r="U115" s="37" t="s">
        <v>351</v>
      </c>
      <c r="V115" s="37" t="s">
        <v>352</v>
      </c>
      <c r="W115" s="51" t="s">
        <v>353</v>
      </c>
      <c r="X115" s="37" t="s">
        <v>372</v>
      </c>
      <c r="Y115" s="37" t="s">
        <v>373</v>
      </c>
      <c r="Z115" s="45" t="s">
        <v>374</v>
      </c>
      <c r="AA115" s="37" t="s">
        <v>375</v>
      </c>
      <c r="AB115" s="37" t="s">
        <v>376</v>
      </c>
      <c r="AC115" s="51" t="s">
        <v>377</v>
      </c>
      <c r="AD115" s="37" t="s">
        <v>378</v>
      </c>
      <c r="AE115" s="37" t="s">
        <v>379</v>
      </c>
      <c r="AF115" s="51" t="s">
        <v>380</v>
      </c>
      <c r="AG115" s="37" t="s">
        <v>381</v>
      </c>
      <c r="AH115" s="37" t="s">
        <v>382</v>
      </c>
      <c r="AI115" s="51" t="s">
        <v>383</v>
      </c>
      <c r="AJ115" s="37" t="s">
        <v>384</v>
      </c>
      <c r="AK115" s="37" t="s">
        <v>385</v>
      </c>
      <c r="AL115" s="45" t="s">
        <v>386</v>
      </c>
      <c r="AM115" s="37" t="s">
        <v>419</v>
      </c>
      <c r="AN115" s="37" t="s">
        <v>420</v>
      </c>
      <c r="AO115" s="51" t="s">
        <v>421</v>
      </c>
      <c r="AP115" s="37" t="s">
        <v>422</v>
      </c>
      <c r="AQ115" s="37" t="s">
        <v>423</v>
      </c>
      <c r="AR115" s="51" t="s">
        <v>424</v>
      </c>
      <c r="AS115" s="37" t="s">
        <v>425</v>
      </c>
      <c r="AT115" s="37" t="s">
        <v>426</v>
      </c>
      <c r="AU115" s="51" t="s">
        <v>427</v>
      </c>
      <c r="AV115" s="37" t="s">
        <v>428</v>
      </c>
      <c r="AW115" s="37" t="s">
        <v>429</v>
      </c>
      <c r="AX115" s="45" t="s">
        <v>430</v>
      </c>
      <c r="AY115" s="37" t="s">
        <v>387</v>
      </c>
      <c r="AZ115" s="37" t="s">
        <v>388</v>
      </c>
      <c r="BA115" s="51" t="s">
        <v>389</v>
      </c>
      <c r="BB115" s="37" t="s">
        <v>390</v>
      </c>
      <c r="BC115" s="37" t="s">
        <v>391</v>
      </c>
      <c r="BD115" s="51" t="s">
        <v>392</v>
      </c>
      <c r="BE115" s="37" t="s">
        <v>393</v>
      </c>
      <c r="BF115" s="37" t="s">
        <v>394</v>
      </c>
      <c r="BG115" s="51" t="s">
        <v>395</v>
      </c>
      <c r="BH115" s="37" t="s">
        <v>396</v>
      </c>
      <c r="BI115" s="37" t="s">
        <v>397</v>
      </c>
      <c r="BJ115" s="45" t="s">
        <v>398</v>
      </c>
      <c r="BK115" s="54" t="s">
        <v>5</v>
      </c>
      <c r="BL115" s="37" t="s">
        <v>1</v>
      </c>
      <c r="BM115" s="37" t="s">
        <v>2</v>
      </c>
      <c r="BN115" s="37" t="s">
        <v>3</v>
      </c>
      <c r="BO115" s="37" t="s">
        <v>4</v>
      </c>
      <c r="CD115" s="10"/>
      <c r="CE115" s="10"/>
    </row>
    <row r="116" spans="1:83" ht="13.5" customHeight="1" x14ac:dyDescent="0.25">
      <c r="A116" s="36" t="s">
        <v>49</v>
      </c>
      <c r="B116" s="62" t="s">
        <v>675</v>
      </c>
      <c r="C116" s="41">
        <v>0</v>
      </c>
      <c r="D116" s="41">
        <v>20</v>
      </c>
      <c r="E116" s="50">
        <v>20</v>
      </c>
      <c r="F116" s="41">
        <v>0</v>
      </c>
      <c r="G116" s="41">
        <v>20</v>
      </c>
      <c r="H116" s="50">
        <v>20</v>
      </c>
      <c r="I116" s="41">
        <v>40</v>
      </c>
      <c r="J116" s="41">
        <v>0</v>
      </c>
      <c r="K116" s="50">
        <v>0</v>
      </c>
      <c r="L116" s="41">
        <v>40</v>
      </c>
      <c r="M116" s="41">
        <v>0</v>
      </c>
      <c r="N116" s="46">
        <v>0</v>
      </c>
      <c r="O116" s="41">
        <v>0</v>
      </c>
      <c r="P116" s="41">
        <v>0</v>
      </c>
      <c r="Q116" s="50">
        <v>0</v>
      </c>
      <c r="R116" s="41">
        <v>0</v>
      </c>
      <c r="S116" s="41">
        <v>0</v>
      </c>
      <c r="T116" s="50">
        <v>0</v>
      </c>
      <c r="U116" s="41">
        <v>0</v>
      </c>
      <c r="V116" s="41">
        <v>0</v>
      </c>
      <c r="W116" s="52">
        <v>0</v>
      </c>
      <c r="X116" s="41">
        <v>0</v>
      </c>
      <c r="Y116" s="41">
        <v>0</v>
      </c>
      <c r="Z116" s="48">
        <v>0</v>
      </c>
      <c r="AA116" s="41">
        <v>37</v>
      </c>
      <c r="AB116" s="41">
        <v>0</v>
      </c>
      <c r="AC116" s="50">
        <v>0</v>
      </c>
      <c r="AD116" s="41">
        <v>37</v>
      </c>
      <c r="AE116" s="41">
        <v>0</v>
      </c>
      <c r="AF116" s="50">
        <v>0</v>
      </c>
      <c r="AG116" s="41">
        <v>37</v>
      </c>
      <c r="AH116" s="41">
        <v>25</v>
      </c>
      <c r="AI116" s="50">
        <v>25</v>
      </c>
      <c r="AJ116" s="41">
        <v>47</v>
      </c>
      <c r="AK116" s="41">
        <v>25</v>
      </c>
      <c r="AL116" s="48">
        <v>35</v>
      </c>
      <c r="AM116" s="41">
        <v>10</v>
      </c>
      <c r="AN116" s="41">
        <v>10</v>
      </c>
      <c r="AO116" s="50">
        <v>20</v>
      </c>
      <c r="AP116" s="41">
        <v>10</v>
      </c>
      <c r="AQ116" s="41">
        <v>10</v>
      </c>
      <c r="AR116" s="50">
        <v>20</v>
      </c>
      <c r="AS116" s="41">
        <v>10</v>
      </c>
      <c r="AT116" s="41">
        <v>10</v>
      </c>
      <c r="AU116" s="50">
        <v>20</v>
      </c>
      <c r="AV116" s="41">
        <v>10</v>
      </c>
      <c r="AW116" s="41">
        <v>10</v>
      </c>
      <c r="AX116" s="48">
        <v>20</v>
      </c>
      <c r="AY116" s="41">
        <f t="shared" ref="AY116:AY147" si="104">C116+AA116+AM116</f>
        <v>47</v>
      </c>
      <c r="AZ116" s="41">
        <f t="shared" ref="AZ116:AZ147" si="105">D116+AB116+AN116</f>
        <v>30</v>
      </c>
      <c r="BA116" s="50">
        <f t="shared" ref="BA116:BA147" si="106">E116+AC116+AO116</f>
        <v>40</v>
      </c>
      <c r="BB116" s="41">
        <f t="shared" ref="BB116:BB147" si="107">F116+AD116+AP116</f>
        <v>47</v>
      </c>
      <c r="BC116" s="41">
        <f t="shared" ref="BC116:BC147" si="108">G116+AE116+AQ116</f>
        <v>30</v>
      </c>
      <c r="BD116" s="50">
        <f t="shared" ref="BD116:BD147" si="109">H116+AF116+AR116</f>
        <v>40</v>
      </c>
      <c r="BE116" s="41">
        <f t="shared" ref="BE116:BE147" si="110">I116+AG116+AS116</f>
        <v>87</v>
      </c>
      <c r="BF116" s="41">
        <f t="shared" ref="BF116:BF147" si="111">J116+AH116+AT116</f>
        <v>35</v>
      </c>
      <c r="BG116" s="50">
        <f t="shared" ref="BG116:BG147" si="112">K116+AI116+AU116</f>
        <v>45</v>
      </c>
      <c r="BH116" s="41">
        <f t="shared" ref="BH116:BH147" si="113">L116+AJ116+AV116</f>
        <v>97</v>
      </c>
      <c r="BI116" s="41">
        <f t="shared" ref="BI116:BI147" si="114">M116+AK116+AW116</f>
        <v>35</v>
      </c>
      <c r="BJ116" s="48">
        <f t="shared" ref="BJ116:BJ147" si="115">N116+AL116+AX116</f>
        <v>55</v>
      </c>
      <c r="BK116" s="56">
        <f t="shared" ref="BK116:BK147" si="116">BL116+BM116+BN116+BO116</f>
        <v>588</v>
      </c>
      <c r="BL116" s="41">
        <f t="shared" ref="BL116:BL147" si="117">AY116+AZ116+BA116</f>
        <v>117</v>
      </c>
      <c r="BM116" s="41">
        <f t="shared" ref="BM116:BM147" si="118">BB116+BC116+BD116</f>
        <v>117</v>
      </c>
      <c r="BN116" s="41">
        <f t="shared" ref="BN116:BN147" si="119">BE116+BF116+BG116</f>
        <v>167</v>
      </c>
      <c r="BO116" s="41">
        <f t="shared" ref="BO116:BO147" si="120">BH116+BI116+BJ116</f>
        <v>187</v>
      </c>
    </row>
    <row r="117" spans="1:83" ht="13.5" customHeight="1" x14ac:dyDescent="0.25">
      <c r="A117" s="36" t="s">
        <v>50</v>
      </c>
      <c r="B117" s="62" t="s">
        <v>502</v>
      </c>
      <c r="C117" s="41">
        <v>0</v>
      </c>
      <c r="D117" s="41">
        <v>0</v>
      </c>
      <c r="E117" s="50">
        <v>0</v>
      </c>
      <c r="F117" s="41">
        <v>0</v>
      </c>
      <c r="G117" s="41">
        <v>0</v>
      </c>
      <c r="H117" s="50">
        <v>0</v>
      </c>
      <c r="I117" s="41">
        <v>0</v>
      </c>
      <c r="J117" s="41">
        <v>0</v>
      </c>
      <c r="K117" s="50">
        <v>0</v>
      </c>
      <c r="L117" s="41">
        <v>55</v>
      </c>
      <c r="M117" s="41">
        <v>55</v>
      </c>
      <c r="N117" s="46">
        <v>40</v>
      </c>
      <c r="O117" s="41">
        <v>0</v>
      </c>
      <c r="P117" s="41">
        <v>0</v>
      </c>
      <c r="Q117" s="50">
        <v>0</v>
      </c>
      <c r="R117" s="41">
        <v>0</v>
      </c>
      <c r="S117" s="41">
        <v>0</v>
      </c>
      <c r="T117" s="50">
        <v>0</v>
      </c>
      <c r="U117" s="41">
        <v>0</v>
      </c>
      <c r="V117" s="41">
        <v>0</v>
      </c>
      <c r="W117" s="52">
        <v>0</v>
      </c>
      <c r="X117" s="41">
        <v>0</v>
      </c>
      <c r="Y117" s="41">
        <v>0</v>
      </c>
      <c r="Z117" s="48">
        <v>0</v>
      </c>
      <c r="AA117" s="41">
        <v>0</v>
      </c>
      <c r="AB117" s="41">
        <v>0</v>
      </c>
      <c r="AC117" s="50">
        <v>0</v>
      </c>
      <c r="AD117" s="41">
        <v>0</v>
      </c>
      <c r="AE117" s="41">
        <v>0</v>
      </c>
      <c r="AF117" s="50">
        <v>0</v>
      </c>
      <c r="AG117" s="41">
        <v>0</v>
      </c>
      <c r="AH117" s="41">
        <v>30</v>
      </c>
      <c r="AI117" s="50">
        <v>30</v>
      </c>
      <c r="AJ117" s="41">
        <v>70</v>
      </c>
      <c r="AK117" s="41">
        <v>50</v>
      </c>
      <c r="AL117" s="48">
        <v>40</v>
      </c>
      <c r="AM117" s="41">
        <v>0</v>
      </c>
      <c r="AN117" s="41">
        <v>0</v>
      </c>
      <c r="AO117" s="50">
        <v>0</v>
      </c>
      <c r="AP117" s="41">
        <v>0</v>
      </c>
      <c r="AQ117" s="41">
        <v>0</v>
      </c>
      <c r="AR117" s="50">
        <v>0</v>
      </c>
      <c r="AS117" s="41">
        <v>15</v>
      </c>
      <c r="AT117" s="41">
        <v>16</v>
      </c>
      <c r="AU117" s="50">
        <v>0</v>
      </c>
      <c r="AV117" s="41">
        <v>38</v>
      </c>
      <c r="AW117" s="41">
        <v>21</v>
      </c>
      <c r="AX117" s="48">
        <v>10</v>
      </c>
      <c r="AY117" s="41">
        <f t="shared" si="104"/>
        <v>0</v>
      </c>
      <c r="AZ117" s="41">
        <f t="shared" si="105"/>
        <v>0</v>
      </c>
      <c r="BA117" s="50">
        <f t="shared" si="106"/>
        <v>0</v>
      </c>
      <c r="BB117" s="41">
        <f t="shared" si="107"/>
        <v>0</v>
      </c>
      <c r="BC117" s="41">
        <f t="shared" si="108"/>
        <v>0</v>
      </c>
      <c r="BD117" s="50">
        <f t="shared" si="109"/>
        <v>0</v>
      </c>
      <c r="BE117" s="41">
        <f t="shared" si="110"/>
        <v>15</v>
      </c>
      <c r="BF117" s="41">
        <f t="shared" si="111"/>
        <v>46</v>
      </c>
      <c r="BG117" s="50">
        <f t="shared" si="112"/>
        <v>30</v>
      </c>
      <c r="BH117" s="41">
        <f t="shared" si="113"/>
        <v>163</v>
      </c>
      <c r="BI117" s="41">
        <f t="shared" si="114"/>
        <v>126</v>
      </c>
      <c r="BJ117" s="48">
        <f t="shared" si="115"/>
        <v>90</v>
      </c>
      <c r="BK117" s="56">
        <f t="shared" si="116"/>
        <v>470</v>
      </c>
      <c r="BL117" s="41">
        <f t="shared" si="117"/>
        <v>0</v>
      </c>
      <c r="BM117" s="41">
        <f t="shared" si="118"/>
        <v>0</v>
      </c>
      <c r="BN117" s="41">
        <f t="shared" si="119"/>
        <v>91</v>
      </c>
      <c r="BO117" s="41">
        <f t="shared" si="120"/>
        <v>379</v>
      </c>
    </row>
    <row r="118" spans="1:83" ht="13.5" customHeight="1" x14ac:dyDescent="0.25">
      <c r="A118" s="36" t="s">
        <v>51</v>
      </c>
      <c r="B118" s="378" t="s">
        <v>1142</v>
      </c>
      <c r="C118" s="41">
        <v>0</v>
      </c>
      <c r="D118" s="41">
        <v>0</v>
      </c>
      <c r="E118" s="50">
        <v>0</v>
      </c>
      <c r="F118" s="41">
        <v>60</v>
      </c>
      <c r="G118" s="41">
        <v>60</v>
      </c>
      <c r="H118" s="50">
        <v>45</v>
      </c>
      <c r="I118" s="41">
        <v>0</v>
      </c>
      <c r="J118" s="41">
        <v>0</v>
      </c>
      <c r="K118" s="50">
        <v>0</v>
      </c>
      <c r="L118" s="41">
        <v>0</v>
      </c>
      <c r="M118" s="41">
        <v>0</v>
      </c>
      <c r="N118" s="46">
        <v>0</v>
      </c>
      <c r="O118" s="41">
        <v>0</v>
      </c>
      <c r="P118" s="41">
        <v>0</v>
      </c>
      <c r="Q118" s="50">
        <v>0</v>
      </c>
      <c r="R118" s="41">
        <v>0</v>
      </c>
      <c r="S118" s="41">
        <v>0</v>
      </c>
      <c r="T118" s="50">
        <v>0</v>
      </c>
      <c r="U118" s="41">
        <v>0</v>
      </c>
      <c r="V118" s="41">
        <v>0</v>
      </c>
      <c r="W118" s="52">
        <v>0</v>
      </c>
      <c r="X118" s="41">
        <v>0</v>
      </c>
      <c r="Y118" s="41">
        <v>0</v>
      </c>
      <c r="Z118" s="48">
        <v>0</v>
      </c>
      <c r="AA118" s="41">
        <v>10</v>
      </c>
      <c r="AB118" s="41">
        <v>35</v>
      </c>
      <c r="AC118" s="50">
        <v>35</v>
      </c>
      <c r="AD118" s="41">
        <v>75</v>
      </c>
      <c r="AE118" s="41">
        <v>55</v>
      </c>
      <c r="AF118" s="50">
        <v>55</v>
      </c>
      <c r="AG118" s="41">
        <v>0</v>
      </c>
      <c r="AH118" s="41">
        <v>0</v>
      </c>
      <c r="AI118" s="50">
        <v>0</v>
      </c>
      <c r="AJ118" s="41">
        <v>0</v>
      </c>
      <c r="AK118" s="41">
        <v>0</v>
      </c>
      <c r="AL118" s="48">
        <v>0</v>
      </c>
      <c r="AM118" s="41">
        <v>0</v>
      </c>
      <c r="AN118" s="41">
        <v>0</v>
      </c>
      <c r="AO118" s="50">
        <v>0</v>
      </c>
      <c r="AP118" s="41">
        <v>10</v>
      </c>
      <c r="AQ118" s="41">
        <v>10</v>
      </c>
      <c r="AR118" s="50">
        <v>10</v>
      </c>
      <c r="AS118" s="41">
        <v>0</v>
      </c>
      <c r="AT118" s="41">
        <v>0</v>
      </c>
      <c r="AU118" s="50">
        <v>0</v>
      </c>
      <c r="AV118" s="41">
        <v>0</v>
      </c>
      <c r="AW118" s="41">
        <v>0</v>
      </c>
      <c r="AX118" s="48">
        <v>0</v>
      </c>
      <c r="AY118" s="41">
        <f t="shared" si="104"/>
        <v>10</v>
      </c>
      <c r="AZ118" s="41">
        <f t="shared" si="105"/>
        <v>35</v>
      </c>
      <c r="BA118" s="50">
        <f t="shared" si="106"/>
        <v>35</v>
      </c>
      <c r="BB118" s="41">
        <f t="shared" si="107"/>
        <v>145</v>
      </c>
      <c r="BC118" s="41">
        <f t="shared" si="108"/>
        <v>125</v>
      </c>
      <c r="BD118" s="50">
        <f t="shared" si="109"/>
        <v>110</v>
      </c>
      <c r="BE118" s="41">
        <f t="shared" si="110"/>
        <v>0</v>
      </c>
      <c r="BF118" s="41">
        <f t="shared" si="111"/>
        <v>0</v>
      </c>
      <c r="BG118" s="50">
        <f t="shared" si="112"/>
        <v>0</v>
      </c>
      <c r="BH118" s="41">
        <f t="shared" si="113"/>
        <v>0</v>
      </c>
      <c r="BI118" s="41">
        <f t="shared" si="114"/>
        <v>0</v>
      </c>
      <c r="BJ118" s="48">
        <f t="shared" si="115"/>
        <v>0</v>
      </c>
      <c r="BK118" s="56">
        <f t="shared" si="116"/>
        <v>460</v>
      </c>
      <c r="BL118" s="41">
        <f t="shared" si="117"/>
        <v>80</v>
      </c>
      <c r="BM118" s="41">
        <f t="shared" si="118"/>
        <v>380</v>
      </c>
      <c r="BN118" s="41">
        <f t="shared" si="119"/>
        <v>0</v>
      </c>
      <c r="BO118" s="41">
        <f t="shared" si="120"/>
        <v>0</v>
      </c>
    </row>
    <row r="119" spans="1:83" ht="13.5" customHeight="1" x14ac:dyDescent="0.25">
      <c r="A119" s="36" t="s">
        <v>52</v>
      </c>
      <c r="B119" s="193" t="s">
        <v>677</v>
      </c>
      <c r="C119" s="34">
        <v>30</v>
      </c>
      <c r="D119" s="34">
        <v>0</v>
      </c>
      <c r="E119" s="52">
        <v>30</v>
      </c>
      <c r="F119" s="34">
        <v>50</v>
      </c>
      <c r="G119" s="34">
        <v>20</v>
      </c>
      <c r="H119" s="52">
        <v>30</v>
      </c>
      <c r="I119" s="34">
        <v>0</v>
      </c>
      <c r="J119" s="34">
        <v>0</v>
      </c>
      <c r="K119" s="52">
        <v>0</v>
      </c>
      <c r="L119" s="34">
        <v>0</v>
      </c>
      <c r="M119" s="34">
        <v>0</v>
      </c>
      <c r="N119" s="46">
        <v>0</v>
      </c>
      <c r="O119" s="34">
        <v>0</v>
      </c>
      <c r="P119" s="34">
        <v>0</v>
      </c>
      <c r="Q119" s="52">
        <v>0</v>
      </c>
      <c r="R119" s="34">
        <v>0</v>
      </c>
      <c r="S119" s="34">
        <v>0</v>
      </c>
      <c r="T119" s="52">
        <v>0</v>
      </c>
      <c r="U119" s="34">
        <v>0</v>
      </c>
      <c r="V119" s="34">
        <v>0</v>
      </c>
      <c r="W119" s="52">
        <v>0</v>
      </c>
      <c r="X119" s="34">
        <v>0</v>
      </c>
      <c r="Y119" s="34">
        <v>0</v>
      </c>
      <c r="Z119" s="46">
        <v>0</v>
      </c>
      <c r="AA119" s="34">
        <v>6</v>
      </c>
      <c r="AB119" s="34">
        <v>0</v>
      </c>
      <c r="AC119" s="52">
        <v>10</v>
      </c>
      <c r="AD119" s="34">
        <v>56</v>
      </c>
      <c r="AE119" s="34">
        <v>35</v>
      </c>
      <c r="AF119" s="52">
        <v>30</v>
      </c>
      <c r="AG119" s="34">
        <v>6</v>
      </c>
      <c r="AH119" s="34">
        <v>0</v>
      </c>
      <c r="AI119" s="52">
        <v>10</v>
      </c>
      <c r="AJ119" s="34">
        <v>6</v>
      </c>
      <c r="AK119" s="34">
        <v>0</v>
      </c>
      <c r="AL119" s="46">
        <v>10</v>
      </c>
      <c r="AM119" s="34">
        <v>5</v>
      </c>
      <c r="AN119" s="34">
        <v>10</v>
      </c>
      <c r="AO119" s="52">
        <v>10</v>
      </c>
      <c r="AP119" s="34">
        <v>35</v>
      </c>
      <c r="AQ119" s="34">
        <v>20</v>
      </c>
      <c r="AR119" s="52">
        <v>20</v>
      </c>
      <c r="AS119" s="34">
        <v>5</v>
      </c>
      <c r="AT119" s="34">
        <v>5</v>
      </c>
      <c r="AU119" s="52">
        <v>5</v>
      </c>
      <c r="AV119" s="34">
        <v>5</v>
      </c>
      <c r="AW119" s="34">
        <v>5</v>
      </c>
      <c r="AX119" s="46">
        <v>5</v>
      </c>
      <c r="AY119" s="34">
        <f t="shared" si="104"/>
        <v>41</v>
      </c>
      <c r="AZ119" s="34">
        <f t="shared" si="105"/>
        <v>10</v>
      </c>
      <c r="BA119" s="52">
        <f t="shared" si="106"/>
        <v>50</v>
      </c>
      <c r="BB119" s="34">
        <f t="shared" si="107"/>
        <v>141</v>
      </c>
      <c r="BC119" s="34">
        <f t="shared" si="108"/>
        <v>75</v>
      </c>
      <c r="BD119" s="52">
        <f t="shared" si="109"/>
        <v>80</v>
      </c>
      <c r="BE119" s="34">
        <f t="shared" si="110"/>
        <v>11</v>
      </c>
      <c r="BF119" s="34">
        <f t="shared" si="111"/>
        <v>5</v>
      </c>
      <c r="BG119" s="52">
        <f t="shared" si="112"/>
        <v>15</v>
      </c>
      <c r="BH119" s="34">
        <f t="shared" si="113"/>
        <v>11</v>
      </c>
      <c r="BI119" s="34">
        <f t="shared" si="114"/>
        <v>5</v>
      </c>
      <c r="BJ119" s="46">
        <f t="shared" si="115"/>
        <v>15</v>
      </c>
      <c r="BK119" s="57">
        <f t="shared" si="116"/>
        <v>459</v>
      </c>
      <c r="BL119" s="34">
        <f t="shared" si="117"/>
        <v>101</v>
      </c>
      <c r="BM119" s="34">
        <f t="shared" si="118"/>
        <v>296</v>
      </c>
      <c r="BN119" s="34">
        <f t="shared" si="119"/>
        <v>31</v>
      </c>
      <c r="BO119" s="34">
        <f t="shared" si="120"/>
        <v>31</v>
      </c>
    </row>
    <row r="120" spans="1:83" ht="13.5" customHeight="1" x14ac:dyDescent="0.25">
      <c r="A120" s="36" t="s">
        <v>53</v>
      </c>
      <c r="B120" s="67" t="s">
        <v>84</v>
      </c>
      <c r="C120" s="34">
        <v>0</v>
      </c>
      <c r="D120" s="34">
        <v>40</v>
      </c>
      <c r="E120" s="52">
        <v>0</v>
      </c>
      <c r="F120" s="34">
        <v>50</v>
      </c>
      <c r="G120" s="34">
        <v>40</v>
      </c>
      <c r="H120" s="52">
        <v>50</v>
      </c>
      <c r="I120" s="34">
        <v>0</v>
      </c>
      <c r="J120" s="34">
        <v>0</v>
      </c>
      <c r="K120" s="52">
        <v>0</v>
      </c>
      <c r="L120" s="34">
        <v>0</v>
      </c>
      <c r="M120" s="34">
        <v>0</v>
      </c>
      <c r="N120" s="46">
        <v>0</v>
      </c>
      <c r="O120" s="34">
        <v>0</v>
      </c>
      <c r="P120" s="34">
        <v>0</v>
      </c>
      <c r="Q120" s="52">
        <v>0</v>
      </c>
      <c r="R120" s="34">
        <v>0</v>
      </c>
      <c r="S120" s="34">
        <v>0</v>
      </c>
      <c r="T120" s="52">
        <v>0</v>
      </c>
      <c r="U120" s="34">
        <v>0</v>
      </c>
      <c r="V120" s="34">
        <v>0</v>
      </c>
      <c r="W120" s="52">
        <v>0</v>
      </c>
      <c r="X120" s="34">
        <v>0</v>
      </c>
      <c r="Y120" s="34">
        <v>0</v>
      </c>
      <c r="Z120" s="46">
        <v>0</v>
      </c>
      <c r="AA120" s="34">
        <v>16</v>
      </c>
      <c r="AB120" s="34">
        <v>35</v>
      </c>
      <c r="AC120" s="52">
        <v>35</v>
      </c>
      <c r="AD120" s="34">
        <v>66</v>
      </c>
      <c r="AE120" s="34">
        <v>45</v>
      </c>
      <c r="AF120" s="52">
        <v>35</v>
      </c>
      <c r="AG120" s="34">
        <v>6</v>
      </c>
      <c r="AH120" s="34">
        <v>0</v>
      </c>
      <c r="AI120" s="52">
        <v>0</v>
      </c>
      <c r="AJ120" s="34">
        <v>6</v>
      </c>
      <c r="AK120" s="34">
        <v>0</v>
      </c>
      <c r="AL120" s="46">
        <v>0</v>
      </c>
      <c r="AM120" s="34">
        <v>0</v>
      </c>
      <c r="AN120" s="34">
        <v>0</v>
      </c>
      <c r="AO120" s="52">
        <v>0</v>
      </c>
      <c r="AP120" s="34">
        <v>10</v>
      </c>
      <c r="AQ120" s="34">
        <v>10</v>
      </c>
      <c r="AR120" s="52">
        <v>15</v>
      </c>
      <c r="AS120" s="34">
        <v>0</v>
      </c>
      <c r="AT120" s="34">
        <v>0</v>
      </c>
      <c r="AU120" s="52">
        <v>0</v>
      </c>
      <c r="AV120" s="34">
        <v>0</v>
      </c>
      <c r="AW120" s="34">
        <v>0</v>
      </c>
      <c r="AX120" s="46">
        <v>0</v>
      </c>
      <c r="AY120" s="34">
        <f t="shared" si="104"/>
        <v>16</v>
      </c>
      <c r="AZ120" s="34">
        <f t="shared" si="105"/>
        <v>75</v>
      </c>
      <c r="BA120" s="52">
        <f t="shared" si="106"/>
        <v>35</v>
      </c>
      <c r="BB120" s="34">
        <f t="shared" si="107"/>
        <v>126</v>
      </c>
      <c r="BC120" s="34">
        <f t="shared" si="108"/>
        <v>95</v>
      </c>
      <c r="BD120" s="52">
        <f t="shared" si="109"/>
        <v>100</v>
      </c>
      <c r="BE120" s="34">
        <f t="shared" si="110"/>
        <v>6</v>
      </c>
      <c r="BF120" s="34">
        <f t="shared" si="111"/>
        <v>0</v>
      </c>
      <c r="BG120" s="52">
        <f t="shared" si="112"/>
        <v>0</v>
      </c>
      <c r="BH120" s="34">
        <f t="shared" si="113"/>
        <v>6</v>
      </c>
      <c r="BI120" s="34">
        <f t="shared" si="114"/>
        <v>0</v>
      </c>
      <c r="BJ120" s="46">
        <f t="shared" si="115"/>
        <v>0</v>
      </c>
      <c r="BK120" s="57">
        <f t="shared" si="116"/>
        <v>459</v>
      </c>
      <c r="BL120" s="34">
        <f t="shared" si="117"/>
        <v>126</v>
      </c>
      <c r="BM120" s="34">
        <f t="shared" si="118"/>
        <v>321</v>
      </c>
      <c r="BN120" s="34">
        <f t="shared" si="119"/>
        <v>6</v>
      </c>
      <c r="BO120" s="34">
        <f t="shared" si="120"/>
        <v>6</v>
      </c>
    </row>
    <row r="121" spans="1:83" ht="13.5" customHeight="1" x14ac:dyDescent="0.25">
      <c r="A121" s="36" t="s">
        <v>54</v>
      </c>
      <c r="B121" s="71" t="s">
        <v>153</v>
      </c>
      <c r="C121" s="34">
        <v>0</v>
      </c>
      <c r="D121" s="34">
        <v>0</v>
      </c>
      <c r="E121" s="52">
        <v>0</v>
      </c>
      <c r="F121" s="34">
        <v>0</v>
      </c>
      <c r="G121" s="34">
        <v>0</v>
      </c>
      <c r="H121" s="52">
        <v>0</v>
      </c>
      <c r="I121" s="34">
        <v>45</v>
      </c>
      <c r="J121" s="34">
        <v>35</v>
      </c>
      <c r="K121" s="52">
        <v>35</v>
      </c>
      <c r="L121" s="34">
        <v>0</v>
      </c>
      <c r="M121" s="34">
        <v>35</v>
      </c>
      <c r="N121" s="46">
        <v>35</v>
      </c>
      <c r="O121" s="34">
        <v>0</v>
      </c>
      <c r="P121" s="34">
        <v>0</v>
      </c>
      <c r="Q121" s="52">
        <v>0</v>
      </c>
      <c r="R121" s="34">
        <v>0</v>
      </c>
      <c r="S121" s="34">
        <v>0</v>
      </c>
      <c r="T121" s="52">
        <v>0</v>
      </c>
      <c r="U121" s="34">
        <v>0</v>
      </c>
      <c r="V121" s="34">
        <v>0</v>
      </c>
      <c r="W121" s="52">
        <v>0</v>
      </c>
      <c r="X121" s="34">
        <v>0</v>
      </c>
      <c r="Y121" s="34">
        <v>0</v>
      </c>
      <c r="Z121" s="46">
        <v>0</v>
      </c>
      <c r="AA121" s="34">
        <v>0</v>
      </c>
      <c r="AB121" s="34">
        <v>0</v>
      </c>
      <c r="AC121" s="52">
        <v>0</v>
      </c>
      <c r="AD121" s="34">
        <v>0</v>
      </c>
      <c r="AE121" s="34">
        <v>0</v>
      </c>
      <c r="AF121" s="52">
        <v>0</v>
      </c>
      <c r="AG121" s="34">
        <v>55</v>
      </c>
      <c r="AH121" s="34">
        <v>50</v>
      </c>
      <c r="AI121" s="52">
        <v>50</v>
      </c>
      <c r="AJ121" s="34">
        <v>10</v>
      </c>
      <c r="AK121" s="34">
        <v>30</v>
      </c>
      <c r="AL121" s="46">
        <v>30</v>
      </c>
      <c r="AM121" s="34">
        <v>0</v>
      </c>
      <c r="AN121" s="34">
        <v>0</v>
      </c>
      <c r="AO121" s="52">
        <v>0</v>
      </c>
      <c r="AP121" s="34">
        <v>0</v>
      </c>
      <c r="AQ121" s="34">
        <v>0</v>
      </c>
      <c r="AR121" s="52">
        <v>0</v>
      </c>
      <c r="AS121" s="34">
        <v>5</v>
      </c>
      <c r="AT121" s="34">
        <v>10</v>
      </c>
      <c r="AU121" s="52">
        <v>10</v>
      </c>
      <c r="AV121" s="34">
        <v>0</v>
      </c>
      <c r="AW121" s="34">
        <v>0</v>
      </c>
      <c r="AX121" s="46">
        <v>0</v>
      </c>
      <c r="AY121" s="41">
        <f t="shared" si="104"/>
        <v>0</v>
      </c>
      <c r="AZ121" s="41">
        <f t="shared" si="105"/>
        <v>0</v>
      </c>
      <c r="BA121" s="50">
        <f t="shared" si="106"/>
        <v>0</v>
      </c>
      <c r="BB121" s="41">
        <f t="shared" si="107"/>
        <v>0</v>
      </c>
      <c r="BC121" s="41">
        <f t="shared" si="108"/>
        <v>0</v>
      </c>
      <c r="BD121" s="50">
        <f t="shared" si="109"/>
        <v>0</v>
      </c>
      <c r="BE121" s="41">
        <f t="shared" si="110"/>
        <v>105</v>
      </c>
      <c r="BF121" s="41">
        <f t="shared" si="111"/>
        <v>95</v>
      </c>
      <c r="BG121" s="50">
        <f t="shared" si="112"/>
        <v>95</v>
      </c>
      <c r="BH121" s="41">
        <f t="shared" si="113"/>
        <v>10</v>
      </c>
      <c r="BI121" s="41">
        <f t="shared" si="114"/>
        <v>65</v>
      </c>
      <c r="BJ121" s="48">
        <f t="shared" si="115"/>
        <v>65</v>
      </c>
      <c r="BK121" s="56">
        <f t="shared" si="116"/>
        <v>435</v>
      </c>
      <c r="BL121" s="41">
        <f t="shared" si="117"/>
        <v>0</v>
      </c>
      <c r="BM121" s="41">
        <f t="shared" si="118"/>
        <v>0</v>
      </c>
      <c r="BN121" s="41">
        <f t="shared" si="119"/>
        <v>295</v>
      </c>
      <c r="BO121" s="41">
        <f t="shared" si="120"/>
        <v>140</v>
      </c>
    </row>
    <row r="122" spans="1:83" ht="13.5" customHeight="1" x14ac:dyDescent="0.25">
      <c r="A122" s="36" t="s">
        <v>55</v>
      </c>
      <c r="B122" s="62" t="s">
        <v>746</v>
      </c>
      <c r="C122" s="41">
        <v>55</v>
      </c>
      <c r="D122" s="41">
        <v>40</v>
      </c>
      <c r="E122" s="50">
        <v>55</v>
      </c>
      <c r="F122" s="41">
        <v>0</v>
      </c>
      <c r="G122" s="41">
        <v>40</v>
      </c>
      <c r="H122" s="50">
        <v>0</v>
      </c>
      <c r="I122" s="41">
        <v>0</v>
      </c>
      <c r="J122" s="41">
        <v>0</v>
      </c>
      <c r="K122" s="50">
        <v>0</v>
      </c>
      <c r="L122" s="41">
        <v>0</v>
      </c>
      <c r="M122" s="41">
        <v>0</v>
      </c>
      <c r="N122" s="46">
        <v>0</v>
      </c>
      <c r="O122" s="41">
        <v>0</v>
      </c>
      <c r="P122" s="41">
        <v>0</v>
      </c>
      <c r="Q122" s="50">
        <v>0</v>
      </c>
      <c r="R122" s="41">
        <v>0</v>
      </c>
      <c r="S122" s="41">
        <v>0</v>
      </c>
      <c r="T122" s="50">
        <v>0</v>
      </c>
      <c r="U122" s="41">
        <v>0</v>
      </c>
      <c r="V122" s="41">
        <v>0</v>
      </c>
      <c r="W122" s="52">
        <v>0</v>
      </c>
      <c r="X122" s="41">
        <v>0</v>
      </c>
      <c r="Y122" s="41">
        <v>0</v>
      </c>
      <c r="Z122" s="48">
        <v>0</v>
      </c>
      <c r="AA122" s="41">
        <v>75</v>
      </c>
      <c r="AB122" s="41">
        <v>65</v>
      </c>
      <c r="AC122" s="50">
        <v>65</v>
      </c>
      <c r="AD122" s="41">
        <v>10</v>
      </c>
      <c r="AE122" s="41">
        <v>0</v>
      </c>
      <c r="AF122" s="50">
        <v>0</v>
      </c>
      <c r="AG122" s="41">
        <v>0</v>
      </c>
      <c r="AH122" s="41">
        <v>0</v>
      </c>
      <c r="AI122" s="50">
        <v>0</v>
      </c>
      <c r="AJ122" s="41">
        <v>0</v>
      </c>
      <c r="AK122" s="41">
        <v>0</v>
      </c>
      <c r="AL122" s="48">
        <v>0</v>
      </c>
      <c r="AM122" s="41">
        <v>10</v>
      </c>
      <c r="AN122" s="41">
        <v>10</v>
      </c>
      <c r="AO122" s="50">
        <v>10</v>
      </c>
      <c r="AP122" s="41">
        <v>0</v>
      </c>
      <c r="AQ122" s="41">
        <v>0</v>
      </c>
      <c r="AR122" s="50">
        <v>0</v>
      </c>
      <c r="AS122" s="41">
        <v>0</v>
      </c>
      <c r="AT122" s="41">
        <v>0</v>
      </c>
      <c r="AU122" s="50">
        <v>0</v>
      </c>
      <c r="AV122" s="41">
        <v>0</v>
      </c>
      <c r="AW122" s="41">
        <v>0</v>
      </c>
      <c r="AX122" s="48">
        <v>0</v>
      </c>
      <c r="AY122" s="41">
        <f t="shared" si="104"/>
        <v>140</v>
      </c>
      <c r="AZ122" s="41">
        <f t="shared" si="105"/>
        <v>115</v>
      </c>
      <c r="BA122" s="50">
        <f t="shared" si="106"/>
        <v>130</v>
      </c>
      <c r="BB122" s="41">
        <f t="shared" si="107"/>
        <v>10</v>
      </c>
      <c r="BC122" s="41">
        <f t="shared" si="108"/>
        <v>40</v>
      </c>
      <c r="BD122" s="50">
        <f t="shared" si="109"/>
        <v>0</v>
      </c>
      <c r="BE122" s="41">
        <f t="shared" si="110"/>
        <v>0</v>
      </c>
      <c r="BF122" s="41">
        <f t="shared" si="111"/>
        <v>0</v>
      </c>
      <c r="BG122" s="50">
        <f t="shared" si="112"/>
        <v>0</v>
      </c>
      <c r="BH122" s="41">
        <f t="shared" si="113"/>
        <v>0</v>
      </c>
      <c r="BI122" s="41">
        <f t="shared" si="114"/>
        <v>0</v>
      </c>
      <c r="BJ122" s="48">
        <f t="shared" si="115"/>
        <v>0</v>
      </c>
      <c r="BK122" s="56">
        <f t="shared" si="116"/>
        <v>435</v>
      </c>
      <c r="BL122" s="41">
        <f t="shared" si="117"/>
        <v>385</v>
      </c>
      <c r="BM122" s="41">
        <f t="shared" si="118"/>
        <v>50</v>
      </c>
      <c r="BN122" s="41">
        <f t="shared" si="119"/>
        <v>0</v>
      </c>
      <c r="BO122" s="41">
        <f t="shared" si="120"/>
        <v>0</v>
      </c>
    </row>
    <row r="123" spans="1:83" ht="13.5" customHeight="1" x14ac:dyDescent="0.25">
      <c r="A123" s="36" t="s">
        <v>56</v>
      </c>
      <c r="B123" s="62" t="s">
        <v>1124</v>
      </c>
      <c r="C123" s="41">
        <v>0</v>
      </c>
      <c r="D123" s="41">
        <v>0</v>
      </c>
      <c r="E123" s="50">
        <v>0</v>
      </c>
      <c r="F123" s="41">
        <v>0</v>
      </c>
      <c r="G123" s="41">
        <v>0</v>
      </c>
      <c r="H123" s="50">
        <v>0</v>
      </c>
      <c r="I123" s="41">
        <v>60</v>
      </c>
      <c r="J123" s="41">
        <v>60</v>
      </c>
      <c r="K123" s="50">
        <v>45</v>
      </c>
      <c r="L123" s="41">
        <v>0</v>
      </c>
      <c r="M123" s="41">
        <v>0</v>
      </c>
      <c r="N123" s="46">
        <v>0</v>
      </c>
      <c r="O123" s="41">
        <v>0</v>
      </c>
      <c r="P123" s="41">
        <v>0</v>
      </c>
      <c r="Q123" s="50">
        <v>0</v>
      </c>
      <c r="R123" s="41">
        <v>0</v>
      </c>
      <c r="S123" s="41">
        <v>0</v>
      </c>
      <c r="T123" s="50">
        <v>0</v>
      </c>
      <c r="U123" s="41">
        <v>0</v>
      </c>
      <c r="V123" s="41">
        <v>0</v>
      </c>
      <c r="W123" s="52">
        <v>0</v>
      </c>
      <c r="X123" s="41">
        <v>0</v>
      </c>
      <c r="Y123" s="41">
        <v>0</v>
      </c>
      <c r="Z123" s="48">
        <v>0</v>
      </c>
      <c r="AA123" s="41">
        <v>0</v>
      </c>
      <c r="AB123" s="41">
        <v>0</v>
      </c>
      <c r="AC123" s="50">
        <v>0</v>
      </c>
      <c r="AD123" s="41">
        <v>0</v>
      </c>
      <c r="AE123" s="41">
        <v>0</v>
      </c>
      <c r="AF123" s="50">
        <v>0</v>
      </c>
      <c r="AG123" s="41">
        <v>85</v>
      </c>
      <c r="AH123" s="41">
        <v>65</v>
      </c>
      <c r="AI123" s="50">
        <v>65</v>
      </c>
      <c r="AJ123" s="41">
        <v>10</v>
      </c>
      <c r="AK123" s="41">
        <v>0</v>
      </c>
      <c r="AL123" s="48">
        <v>0</v>
      </c>
      <c r="AM123" s="41">
        <v>0</v>
      </c>
      <c r="AN123" s="41">
        <v>0</v>
      </c>
      <c r="AO123" s="50">
        <v>0</v>
      </c>
      <c r="AP123" s="41">
        <v>0</v>
      </c>
      <c r="AQ123" s="41">
        <v>0</v>
      </c>
      <c r="AR123" s="50">
        <v>0</v>
      </c>
      <c r="AS123" s="41">
        <v>5</v>
      </c>
      <c r="AT123" s="41">
        <v>15</v>
      </c>
      <c r="AU123" s="50">
        <v>10</v>
      </c>
      <c r="AV123" s="41">
        <v>0</v>
      </c>
      <c r="AW123" s="41">
        <v>0</v>
      </c>
      <c r="AX123" s="48">
        <v>0</v>
      </c>
      <c r="AY123" s="41">
        <f t="shared" si="104"/>
        <v>0</v>
      </c>
      <c r="AZ123" s="41">
        <f t="shared" si="105"/>
        <v>0</v>
      </c>
      <c r="BA123" s="50">
        <f t="shared" si="106"/>
        <v>0</v>
      </c>
      <c r="BB123" s="41">
        <f t="shared" si="107"/>
        <v>0</v>
      </c>
      <c r="BC123" s="41">
        <f t="shared" si="108"/>
        <v>0</v>
      </c>
      <c r="BD123" s="50">
        <f t="shared" si="109"/>
        <v>0</v>
      </c>
      <c r="BE123" s="41">
        <f t="shared" si="110"/>
        <v>150</v>
      </c>
      <c r="BF123" s="41">
        <f t="shared" si="111"/>
        <v>140</v>
      </c>
      <c r="BG123" s="50">
        <f t="shared" si="112"/>
        <v>120</v>
      </c>
      <c r="BH123" s="41">
        <f t="shared" si="113"/>
        <v>10</v>
      </c>
      <c r="BI123" s="41">
        <f t="shared" si="114"/>
        <v>0</v>
      </c>
      <c r="BJ123" s="48">
        <f t="shared" si="115"/>
        <v>0</v>
      </c>
      <c r="BK123" s="56">
        <f t="shared" si="116"/>
        <v>420</v>
      </c>
      <c r="BL123" s="41">
        <f t="shared" si="117"/>
        <v>0</v>
      </c>
      <c r="BM123" s="41">
        <f t="shared" si="118"/>
        <v>0</v>
      </c>
      <c r="BN123" s="41">
        <f t="shared" si="119"/>
        <v>410</v>
      </c>
      <c r="BO123" s="41">
        <f t="shared" si="120"/>
        <v>10</v>
      </c>
    </row>
    <row r="124" spans="1:83" ht="13.5" customHeight="1" x14ac:dyDescent="0.25">
      <c r="A124" s="36" t="s">
        <v>57</v>
      </c>
      <c r="B124" s="62" t="s">
        <v>492</v>
      </c>
      <c r="C124" s="41">
        <v>0</v>
      </c>
      <c r="D124" s="41">
        <v>0</v>
      </c>
      <c r="E124" s="50">
        <v>0</v>
      </c>
      <c r="F124" s="41">
        <v>0</v>
      </c>
      <c r="G124" s="41">
        <v>0</v>
      </c>
      <c r="H124" s="50">
        <v>0</v>
      </c>
      <c r="I124" s="41">
        <v>50</v>
      </c>
      <c r="J124" s="41">
        <v>40</v>
      </c>
      <c r="K124" s="50">
        <v>40</v>
      </c>
      <c r="L124" s="41">
        <v>0</v>
      </c>
      <c r="M124" s="41">
        <v>40</v>
      </c>
      <c r="N124" s="46">
        <v>40</v>
      </c>
      <c r="O124" s="41">
        <v>0</v>
      </c>
      <c r="P124" s="41">
        <v>0</v>
      </c>
      <c r="Q124" s="50">
        <v>0</v>
      </c>
      <c r="R124" s="41">
        <v>0</v>
      </c>
      <c r="S124" s="41">
        <v>0</v>
      </c>
      <c r="T124" s="50">
        <v>0</v>
      </c>
      <c r="U124" s="41">
        <v>0</v>
      </c>
      <c r="V124" s="41">
        <v>0</v>
      </c>
      <c r="W124" s="52">
        <v>0</v>
      </c>
      <c r="X124" s="41">
        <v>0</v>
      </c>
      <c r="Y124" s="41">
        <v>0</v>
      </c>
      <c r="Z124" s="48">
        <v>0</v>
      </c>
      <c r="AA124" s="41">
        <v>0</v>
      </c>
      <c r="AB124" s="41">
        <v>0</v>
      </c>
      <c r="AC124" s="50">
        <v>0</v>
      </c>
      <c r="AD124" s="41">
        <v>0</v>
      </c>
      <c r="AE124" s="41">
        <v>0</v>
      </c>
      <c r="AF124" s="50">
        <v>0</v>
      </c>
      <c r="AG124" s="41">
        <v>75</v>
      </c>
      <c r="AH124" s="41">
        <v>20</v>
      </c>
      <c r="AI124" s="50">
        <v>40</v>
      </c>
      <c r="AJ124" s="41">
        <v>10</v>
      </c>
      <c r="AK124" s="41">
        <v>0</v>
      </c>
      <c r="AL124" s="48">
        <v>0</v>
      </c>
      <c r="AM124" s="41">
        <v>0</v>
      </c>
      <c r="AN124" s="41">
        <v>0</v>
      </c>
      <c r="AO124" s="50">
        <v>0</v>
      </c>
      <c r="AP124" s="41">
        <v>0</v>
      </c>
      <c r="AQ124" s="41">
        <v>0</v>
      </c>
      <c r="AR124" s="50">
        <v>0</v>
      </c>
      <c r="AS124" s="41">
        <v>15</v>
      </c>
      <c r="AT124" s="41">
        <v>5</v>
      </c>
      <c r="AU124" s="50">
        <v>15</v>
      </c>
      <c r="AV124" s="41">
        <v>0</v>
      </c>
      <c r="AW124" s="41">
        <v>0</v>
      </c>
      <c r="AX124" s="48">
        <v>5</v>
      </c>
      <c r="AY124" s="41">
        <f t="shared" si="104"/>
        <v>0</v>
      </c>
      <c r="AZ124" s="41">
        <f t="shared" si="105"/>
        <v>0</v>
      </c>
      <c r="BA124" s="50">
        <f t="shared" si="106"/>
        <v>0</v>
      </c>
      <c r="BB124" s="41">
        <f t="shared" si="107"/>
        <v>0</v>
      </c>
      <c r="BC124" s="41">
        <f t="shared" si="108"/>
        <v>0</v>
      </c>
      <c r="BD124" s="50">
        <f t="shared" si="109"/>
        <v>0</v>
      </c>
      <c r="BE124" s="41">
        <f t="shared" si="110"/>
        <v>140</v>
      </c>
      <c r="BF124" s="41">
        <f t="shared" si="111"/>
        <v>65</v>
      </c>
      <c r="BG124" s="50">
        <f t="shared" si="112"/>
        <v>95</v>
      </c>
      <c r="BH124" s="41">
        <f t="shared" si="113"/>
        <v>10</v>
      </c>
      <c r="BI124" s="41">
        <f t="shared" si="114"/>
        <v>40</v>
      </c>
      <c r="BJ124" s="48">
        <f t="shared" si="115"/>
        <v>45</v>
      </c>
      <c r="BK124" s="56">
        <f t="shared" si="116"/>
        <v>395</v>
      </c>
      <c r="BL124" s="41">
        <f t="shared" si="117"/>
        <v>0</v>
      </c>
      <c r="BM124" s="41">
        <f t="shared" si="118"/>
        <v>0</v>
      </c>
      <c r="BN124" s="41">
        <f t="shared" si="119"/>
        <v>300</v>
      </c>
      <c r="BO124" s="41">
        <f t="shared" si="120"/>
        <v>95</v>
      </c>
    </row>
    <row r="125" spans="1:83" ht="13.5" customHeight="1" x14ac:dyDescent="0.25">
      <c r="A125" s="36" t="s">
        <v>58</v>
      </c>
      <c r="B125" s="62" t="s">
        <v>653</v>
      </c>
      <c r="C125" s="41">
        <v>0</v>
      </c>
      <c r="D125" s="41">
        <v>0</v>
      </c>
      <c r="E125" s="50">
        <v>0</v>
      </c>
      <c r="F125" s="41">
        <v>0</v>
      </c>
      <c r="G125" s="41">
        <v>0</v>
      </c>
      <c r="H125" s="50">
        <v>0</v>
      </c>
      <c r="I125" s="41">
        <v>55</v>
      </c>
      <c r="J125" s="41">
        <v>55</v>
      </c>
      <c r="K125" s="50">
        <v>40</v>
      </c>
      <c r="L125" s="41">
        <v>0</v>
      </c>
      <c r="M125" s="41">
        <v>0</v>
      </c>
      <c r="N125" s="46">
        <v>0</v>
      </c>
      <c r="O125" s="41">
        <v>0</v>
      </c>
      <c r="P125" s="41">
        <v>0</v>
      </c>
      <c r="Q125" s="50">
        <v>0</v>
      </c>
      <c r="R125" s="41">
        <v>0</v>
      </c>
      <c r="S125" s="41">
        <v>0</v>
      </c>
      <c r="T125" s="50">
        <v>0</v>
      </c>
      <c r="U125" s="41">
        <v>0</v>
      </c>
      <c r="V125" s="41">
        <v>0</v>
      </c>
      <c r="W125" s="52">
        <v>0</v>
      </c>
      <c r="X125" s="41">
        <v>0</v>
      </c>
      <c r="Y125" s="41">
        <v>0</v>
      </c>
      <c r="Z125" s="48">
        <v>0</v>
      </c>
      <c r="AA125" s="41">
        <v>0</v>
      </c>
      <c r="AB125" s="41">
        <v>0</v>
      </c>
      <c r="AC125" s="50">
        <v>0</v>
      </c>
      <c r="AD125" s="41">
        <v>0</v>
      </c>
      <c r="AE125" s="41">
        <v>0</v>
      </c>
      <c r="AF125" s="50">
        <v>0</v>
      </c>
      <c r="AG125" s="41">
        <v>85</v>
      </c>
      <c r="AH125" s="41">
        <v>10</v>
      </c>
      <c r="AI125" s="50">
        <v>55</v>
      </c>
      <c r="AJ125" s="41">
        <v>10</v>
      </c>
      <c r="AK125" s="41">
        <v>0</v>
      </c>
      <c r="AL125" s="48">
        <v>35</v>
      </c>
      <c r="AM125" s="41">
        <v>0</v>
      </c>
      <c r="AN125" s="41">
        <v>0</v>
      </c>
      <c r="AO125" s="50">
        <v>0</v>
      </c>
      <c r="AP125" s="41">
        <v>0</v>
      </c>
      <c r="AQ125" s="41">
        <v>0</v>
      </c>
      <c r="AR125" s="50">
        <v>0</v>
      </c>
      <c r="AS125" s="41">
        <v>23</v>
      </c>
      <c r="AT125" s="41">
        <v>15</v>
      </c>
      <c r="AU125" s="50">
        <v>10</v>
      </c>
      <c r="AV125" s="41">
        <v>0</v>
      </c>
      <c r="AW125" s="41">
        <v>0</v>
      </c>
      <c r="AX125" s="48">
        <v>0</v>
      </c>
      <c r="AY125" s="41">
        <f t="shared" si="104"/>
        <v>0</v>
      </c>
      <c r="AZ125" s="41">
        <f t="shared" si="105"/>
        <v>0</v>
      </c>
      <c r="BA125" s="50">
        <f t="shared" si="106"/>
        <v>0</v>
      </c>
      <c r="BB125" s="41">
        <f t="shared" si="107"/>
        <v>0</v>
      </c>
      <c r="BC125" s="41">
        <f t="shared" si="108"/>
        <v>0</v>
      </c>
      <c r="BD125" s="50">
        <f t="shared" si="109"/>
        <v>0</v>
      </c>
      <c r="BE125" s="41">
        <f t="shared" si="110"/>
        <v>163</v>
      </c>
      <c r="BF125" s="41">
        <f t="shared" si="111"/>
        <v>80</v>
      </c>
      <c r="BG125" s="50">
        <f t="shared" si="112"/>
        <v>105</v>
      </c>
      <c r="BH125" s="41">
        <f t="shared" si="113"/>
        <v>10</v>
      </c>
      <c r="BI125" s="41">
        <f t="shared" si="114"/>
        <v>0</v>
      </c>
      <c r="BJ125" s="48">
        <f t="shared" si="115"/>
        <v>35</v>
      </c>
      <c r="BK125" s="56">
        <f t="shared" si="116"/>
        <v>393</v>
      </c>
      <c r="BL125" s="41">
        <f t="shared" si="117"/>
        <v>0</v>
      </c>
      <c r="BM125" s="41">
        <f t="shared" si="118"/>
        <v>0</v>
      </c>
      <c r="BN125" s="41">
        <f t="shared" si="119"/>
        <v>348</v>
      </c>
      <c r="BO125" s="41">
        <f t="shared" si="120"/>
        <v>45</v>
      </c>
    </row>
    <row r="126" spans="1:83" ht="13.5" customHeight="1" x14ac:dyDescent="0.25">
      <c r="A126" s="36" t="s">
        <v>59</v>
      </c>
      <c r="B126" s="414" t="s">
        <v>171</v>
      </c>
      <c r="C126" s="34">
        <v>0</v>
      </c>
      <c r="D126" s="34">
        <v>0</v>
      </c>
      <c r="E126" s="52">
        <v>0</v>
      </c>
      <c r="F126" s="34">
        <v>0</v>
      </c>
      <c r="G126" s="34">
        <v>0</v>
      </c>
      <c r="H126" s="52">
        <v>0</v>
      </c>
      <c r="I126" s="34">
        <v>0</v>
      </c>
      <c r="J126" s="34">
        <v>0</v>
      </c>
      <c r="K126" s="52">
        <v>0</v>
      </c>
      <c r="L126" s="34">
        <v>50</v>
      </c>
      <c r="M126" s="34">
        <v>40</v>
      </c>
      <c r="N126" s="46">
        <v>40</v>
      </c>
      <c r="O126" s="34">
        <v>0</v>
      </c>
      <c r="P126" s="34">
        <v>0</v>
      </c>
      <c r="Q126" s="52">
        <v>0</v>
      </c>
      <c r="R126" s="34">
        <v>0</v>
      </c>
      <c r="S126" s="34">
        <v>0</v>
      </c>
      <c r="T126" s="52">
        <v>0</v>
      </c>
      <c r="U126" s="34">
        <v>0</v>
      </c>
      <c r="V126" s="34">
        <v>0</v>
      </c>
      <c r="W126" s="52">
        <v>0</v>
      </c>
      <c r="X126" s="34">
        <v>0</v>
      </c>
      <c r="Y126" s="34">
        <v>0</v>
      </c>
      <c r="Z126" s="46">
        <v>0</v>
      </c>
      <c r="AA126" s="34">
        <v>0</v>
      </c>
      <c r="AB126" s="34">
        <v>0</v>
      </c>
      <c r="AC126" s="52">
        <v>0</v>
      </c>
      <c r="AD126" s="34">
        <v>0</v>
      </c>
      <c r="AE126" s="34">
        <v>0</v>
      </c>
      <c r="AF126" s="52">
        <v>0</v>
      </c>
      <c r="AG126" s="34">
        <v>10</v>
      </c>
      <c r="AH126" s="34">
        <v>30</v>
      </c>
      <c r="AI126" s="52">
        <v>30</v>
      </c>
      <c r="AJ126" s="34">
        <v>75</v>
      </c>
      <c r="AK126" s="34">
        <v>40</v>
      </c>
      <c r="AL126" s="46">
        <v>50</v>
      </c>
      <c r="AM126" s="34">
        <v>0</v>
      </c>
      <c r="AN126" s="34">
        <v>0</v>
      </c>
      <c r="AO126" s="52">
        <v>0</v>
      </c>
      <c r="AP126" s="34">
        <v>0</v>
      </c>
      <c r="AQ126" s="34">
        <v>0</v>
      </c>
      <c r="AR126" s="52">
        <v>0</v>
      </c>
      <c r="AS126" s="34">
        <v>0</v>
      </c>
      <c r="AT126" s="34">
        <v>0</v>
      </c>
      <c r="AU126" s="52">
        <v>0</v>
      </c>
      <c r="AV126" s="34">
        <v>10</v>
      </c>
      <c r="AW126" s="34">
        <v>5</v>
      </c>
      <c r="AX126" s="46">
        <v>10</v>
      </c>
      <c r="AY126" s="41">
        <f t="shared" si="104"/>
        <v>0</v>
      </c>
      <c r="AZ126" s="41">
        <f t="shared" si="105"/>
        <v>0</v>
      </c>
      <c r="BA126" s="50">
        <f t="shared" si="106"/>
        <v>0</v>
      </c>
      <c r="BB126" s="41">
        <f t="shared" si="107"/>
        <v>0</v>
      </c>
      <c r="BC126" s="41">
        <f t="shared" si="108"/>
        <v>0</v>
      </c>
      <c r="BD126" s="50">
        <f t="shared" si="109"/>
        <v>0</v>
      </c>
      <c r="BE126" s="41">
        <f t="shared" si="110"/>
        <v>10</v>
      </c>
      <c r="BF126" s="41">
        <f t="shared" si="111"/>
        <v>30</v>
      </c>
      <c r="BG126" s="50">
        <f t="shared" si="112"/>
        <v>30</v>
      </c>
      <c r="BH126" s="41">
        <f t="shared" si="113"/>
        <v>135</v>
      </c>
      <c r="BI126" s="41">
        <f t="shared" si="114"/>
        <v>85</v>
      </c>
      <c r="BJ126" s="48">
        <f t="shared" si="115"/>
        <v>100</v>
      </c>
      <c r="BK126" s="56">
        <f t="shared" si="116"/>
        <v>390</v>
      </c>
      <c r="BL126" s="41">
        <f t="shared" si="117"/>
        <v>0</v>
      </c>
      <c r="BM126" s="41">
        <f t="shared" si="118"/>
        <v>0</v>
      </c>
      <c r="BN126" s="41">
        <f t="shared" si="119"/>
        <v>70</v>
      </c>
      <c r="BO126" s="41">
        <f t="shared" si="120"/>
        <v>320</v>
      </c>
    </row>
    <row r="127" spans="1:83" ht="13.5" customHeight="1" x14ac:dyDescent="0.25">
      <c r="A127" s="36" t="s">
        <v>60</v>
      </c>
      <c r="B127" s="62" t="s">
        <v>815</v>
      </c>
      <c r="C127" s="41">
        <v>0</v>
      </c>
      <c r="D127" s="41">
        <v>45</v>
      </c>
      <c r="E127" s="50">
        <v>0</v>
      </c>
      <c r="F127" s="41">
        <v>60</v>
      </c>
      <c r="G127" s="41">
        <v>45</v>
      </c>
      <c r="H127" s="50">
        <v>60</v>
      </c>
      <c r="I127" s="41">
        <v>0</v>
      </c>
      <c r="J127" s="41">
        <v>0</v>
      </c>
      <c r="K127" s="50">
        <v>0</v>
      </c>
      <c r="L127" s="41">
        <v>0</v>
      </c>
      <c r="M127" s="41">
        <v>0</v>
      </c>
      <c r="N127" s="46">
        <v>0</v>
      </c>
      <c r="O127" s="41">
        <v>0</v>
      </c>
      <c r="P127" s="41">
        <v>0</v>
      </c>
      <c r="Q127" s="50">
        <v>0</v>
      </c>
      <c r="R127" s="41">
        <v>0</v>
      </c>
      <c r="S127" s="41">
        <v>0</v>
      </c>
      <c r="T127" s="50">
        <v>0</v>
      </c>
      <c r="U127" s="41">
        <v>0</v>
      </c>
      <c r="V127" s="41">
        <v>0</v>
      </c>
      <c r="W127" s="52">
        <v>0</v>
      </c>
      <c r="X127" s="41">
        <v>0</v>
      </c>
      <c r="Y127" s="41">
        <v>0</v>
      </c>
      <c r="Z127" s="48">
        <v>0</v>
      </c>
      <c r="AA127" s="41">
        <v>10</v>
      </c>
      <c r="AB127" s="41">
        <v>0</v>
      </c>
      <c r="AC127" s="50">
        <v>0</v>
      </c>
      <c r="AD127" s="41">
        <v>80</v>
      </c>
      <c r="AE127" s="41">
        <v>20</v>
      </c>
      <c r="AF127" s="50">
        <v>45</v>
      </c>
      <c r="AG127" s="41">
        <v>0</v>
      </c>
      <c r="AH127" s="41">
        <v>0</v>
      </c>
      <c r="AI127" s="50">
        <v>0</v>
      </c>
      <c r="AJ127" s="41">
        <v>0</v>
      </c>
      <c r="AK127" s="41">
        <v>0</v>
      </c>
      <c r="AL127" s="48">
        <v>0</v>
      </c>
      <c r="AM127" s="41">
        <v>0</v>
      </c>
      <c r="AN127" s="41">
        <v>0</v>
      </c>
      <c r="AO127" s="50">
        <v>0</v>
      </c>
      <c r="AP127" s="41">
        <v>5</v>
      </c>
      <c r="AQ127" s="41">
        <v>10</v>
      </c>
      <c r="AR127" s="50">
        <v>10</v>
      </c>
      <c r="AS127" s="41">
        <v>0</v>
      </c>
      <c r="AT127" s="41">
        <v>0</v>
      </c>
      <c r="AU127" s="50">
        <v>0</v>
      </c>
      <c r="AV127" s="41">
        <v>0</v>
      </c>
      <c r="AW127" s="41">
        <v>0</v>
      </c>
      <c r="AX127" s="48">
        <v>0</v>
      </c>
      <c r="AY127" s="41">
        <f t="shared" si="104"/>
        <v>10</v>
      </c>
      <c r="AZ127" s="41">
        <f t="shared" si="105"/>
        <v>45</v>
      </c>
      <c r="BA127" s="50">
        <f t="shared" si="106"/>
        <v>0</v>
      </c>
      <c r="BB127" s="41">
        <f t="shared" si="107"/>
        <v>145</v>
      </c>
      <c r="BC127" s="41">
        <f t="shared" si="108"/>
        <v>75</v>
      </c>
      <c r="BD127" s="50">
        <f t="shared" si="109"/>
        <v>115</v>
      </c>
      <c r="BE127" s="41">
        <f t="shared" si="110"/>
        <v>0</v>
      </c>
      <c r="BF127" s="41">
        <f t="shared" si="111"/>
        <v>0</v>
      </c>
      <c r="BG127" s="50">
        <f t="shared" si="112"/>
        <v>0</v>
      </c>
      <c r="BH127" s="41">
        <f t="shared" si="113"/>
        <v>0</v>
      </c>
      <c r="BI127" s="41">
        <f t="shared" si="114"/>
        <v>0</v>
      </c>
      <c r="BJ127" s="48">
        <f t="shared" si="115"/>
        <v>0</v>
      </c>
      <c r="BK127" s="56">
        <f t="shared" si="116"/>
        <v>390</v>
      </c>
      <c r="BL127" s="41">
        <f t="shared" si="117"/>
        <v>55</v>
      </c>
      <c r="BM127" s="41">
        <f t="shared" si="118"/>
        <v>335</v>
      </c>
      <c r="BN127" s="41">
        <f t="shared" si="119"/>
        <v>0</v>
      </c>
      <c r="BO127" s="41">
        <f t="shared" si="120"/>
        <v>0</v>
      </c>
    </row>
    <row r="128" spans="1:83" ht="13.5" customHeight="1" x14ac:dyDescent="0.25">
      <c r="A128" s="36" t="s">
        <v>61</v>
      </c>
      <c r="B128" s="71" t="s">
        <v>140</v>
      </c>
      <c r="C128" s="34">
        <v>0</v>
      </c>
      <c r="D128" s="34">
        <v>0</v>
      </c>
      <c r="E128" s="52">
        <v>0</v>
      </c>
      <c r="F128" s="34">
        <v>0</v>
      </c>
      <c r="G128" s="34">
        <v>0</v>
      </c>
      <c r="H128" s="52">
        <v>0</v>
      </c>
      <c r="I128" s="34">
        <v>50</v>
      </c>
      <c r="J128" s="34">
        <v>40</v>
      </c>
      <c r="K128" s="52">
        <v>40</v>
      </c>
      <c r="L128" s="34">
        <v>0</v>
      </c>
      <c r="M128" s="34">
        <v>40</v>
      </c>
      <c r="N128" s="46">
        <v>40</v>
      </c>
      <c r="O128" s="34">
        <v>0</v>
      </c>
      <c r="P128" s="34">
        <v>0</v>
      </c>
      <c r="Q128" s="52">
        <v>0</v>
      </c>
      <c r="R128" s="34">
        <v>0</v>
      </c>
      <c r="S128" s="34">
        <v>0</v>
      </c>
      <c r="T128" s="52">
        <v>0</v>
      </c>
      <c r="U128" s="34">
        <v>0</v>
      </c>
      <c r="V128" s="34">
        <v>0</v>
      </c>
      <c r="W128" s="52">
        <v>0</v>
      </c>
      <c r="X128" s="34">
        <v>0</v>
      </c>
      <c r="Y128" s="34">
        <v>0</v>
      </c>
      <c r="Z128" s="46">
        <v>0</v>
      </c>
      <c r="AA128" s="34">
        <v>0</v>
      </c>
      <c r="AB128" s="34">
        <v>0</v>
      </c>
      <c r="AC128" s="52">
        <v>0</v>
      </c>
      <c r="AD128" s="34">
        <v>0</v>
      </c>
      <c r="AE128" s="34">
        <v>0</v>
      </c>
      <c r="AF128" s="52">
        <v>0</v>
      </c>
      <c r="AG128" s="34">
        <v>60</v>
      </c>
      <c r="AH128" s="34">
        <v>50</v>
      </c>
      <c r="AI128" s="52">
        <v>40</v>
      </c>
      <c r="AJ128" s="34">
        <v>0</v>
      </c>
      <c r="AK128" s="34">
        <v>0</v>
      </c>
      <c r="AL128" s="46">
        <v>0</v>
      </c>
      <c r="AM128" s="34">
        <v>0</v>
      </c>
      <c r="AN128" s="34">
        <v>0</v>
      </c>
      <c r="AO128" s="52">
        <v>0</v>
      </c>
      <c r="AP128" s="34">
        <v>0</v>
      </c>
      <c r="AQ128" s="34">
        <v>0</v>
      </c>
      <c r="AR128" s="52">
        <v>0</v>
      </c>
      <c r="AS128" s="34">
        <v>5</v>
      </c>
      <c r="AT128" s="34">
        <v>10</v>
      </c>
      <c r="AU128" s="52">
        <v>10</v>
      </c>
      <c r="AV128" s="34">
        <v>0</v>
      </c>
      <c r="AW128" s="34">
        <v>0</v>
      </c>
      <c r="AX128" s="46">
        <v>0</v>
      </c>
      <c r="AY128" s="41">
        <f t="shared" si="104"/>
        <v>0</v>
      </c>
      <c r="AZ128" s="41">
        <f t="shared" si="105"/>
        <v>0</v>
      </c>
      <c r="BA128" s="50">
        <f t="shared" si="106"/>
        <v>0</v>
      </c>
      <c r="BB128" s="41">
        <f t="shared" si="107"/>
        <v>0</v>
      </c>
      <c r="BC128" s="41">
        <f t="shared" si="108"/>
        <v>0</v>
      </c>
      <c r="BD128" s="50">
        <f t="shared" si="109"/>
        <v>0</v>
      </c>
      <c r="BE128" s="41">
        <f t="shared" si="110"/>
        <v>115</v>
      </c>
      <c r="BF128" s="41">
        <f t="shared" si="111"/>
        <v>100</v>
      </c>
      <c r="BG128" s="50">
        <f t="shared" si="112"/>
        <v>90</v>
      </c>
      <c r="BH128" s="41">
        <f t="shared" si="113"/>
        <v>0</v>
      </c>
      <c r="BI128" s="41">
        <f t="shared" si="114"/>
        <v>40</v>
      </c>
      <c r="BJ128" s="48">
        <f t="shared" si="115"/>
        <v>40</v>
      </c>
      <c r="BK128" s="56">
        <f t="shared" si="116"/>
        <v>385</v>
      </c>
      <c r="BL128" s="41">
        <f t="shared" si="117"/>
        <v>0</v>
      </c>
      <c r="BM128" s="41">
        <f t="shared" si="118"/>
        <v>0</v>
      </c>
      <c r="BN128" s="41">
        <f t="shared" si="119"/>
        <v>305</v>
      </c>
      <c r="BO128" s="41">
        <f t="shared" si="120"/>
        <v>80</v>
      </c>
    </row>
    <row r="129" spans="1:67" ht="13.5" customHeight="1" x14ac:dyDescent="0.25">
      <c r="A129" s="36" t="s">
        <v>62</v>
      </c>
      <c r="B129" s="67" t="s">
        <v>85</v>
      </c>
      <c r="C129" s="34">
        <v>50</v>
      </c>
      <c r="D129" s="34">
        <v>0</v>
      </c>
      <c r="E129" s="52">
        <v>0</v>
      </c>
      <c r="F129" s="34">
        <v>50</v>
      </c>
      <c r="G129" s="34">
        <v>40</v>
      </c>
      <c r="H129" s="52">
        <v>40</v>
      </c>
      <c r="I129" s="34">
        <v>0</v>
      </c>
      <c r="J129" s="34">
        <v>0</v>
      </c>
      <c r="K129" s="52">
        <v>0</v>
      </c>
      <c r="L129" s="34">
        <v>0</v>
      </c>
      <c r="M129" s="34">
        <v>0</v>
      </c>
      <c r="N129" s="46">
        <v>0</v>
      </c>
      <c r="O129" s="34">
        <v>0</v>
      </c>
      <c r="P129" s="34">
        <v>0</v>
      </c>
      <c r="Q129" s="52">
        <v>0</v>
      </c>
      <c r="R129" s="34">
        <v>0</v>
      </c>
      <c r="S129" s="34">
        <v>0</v>
      </c>
      <c r="T129" s="52">
        <v>0</v>
      </c>
      <c r="U129" s="34">
        <v>0</v>
      </c>
      <c r="V129" s="34">
        <v>0</v>
      </c>
      <c r="W129" s="52">
        <v>0</v>
      </c>
      <c r="X129" s="34">
        <v>0</v>
      </c>
      <c r="Y129" s="34">
        <v>0</v>
      </c>
      <c r="Z129" s="46">
        <v>0</v>
      </c>
      <c r="AA129" s="34">
        <v>6</v>
      </c>
      <c r="AB129" s="34">
        <v>0</v>
      </c>
      <c r="AC129" s="52">
        <v>0</v>
      </c>
      <c r="AD129" s="34">
        <v>51</v>
      </c>
      <c r="AE129" s="34">
        <v>35</v>
      </c>
      <c r="AF129" s="52">
        <v>45</v>
      </c>
      <c r="AG129" s="34">
        <v>6</v>
      </c>
      <c r="AH129" s="34">
        <v>0</v>
      </c>
      <c r="AI129" s="52">
        <v>0</v>
      </c>
      <c r="AJ129" s="34">
        <v>6</v>
      </c>
      <c r="AK129" s="34">
        <v>0</v>
      </c>
      <c r="AL129" s="46">
        <v>0</v>
      </c>
      <c r="AM129" s="34">
        <v>0</v>
      </c>
      <c r="AN129" s="34">
        <v>0</v>
      </c>
      <c r="AO129" s="52">
        <v>0</v>
      </c>
      <c r="AP129" s="34">
        <v>30</v>
      </c>
      <c r="AQ129" s="34">
        <v>10</v>
      </c>
      <c r="AR129" s="52">
        <v>10</v>
      </c>
      <c r="AS129" s="34">
        <v>0</v>
      </c>
      <c r="AT129" s="34">
        <v>0</v>
      </c>
      <c r="AU129" s="52">
        <v>0</v>
      </c>
      <c r="AV129" s="34">
        <v>0</v>
      </c>
      <c r="AW129" s="34">
        <v>0</v>
      </c>
      <c r="AX129" s="46">
        <v>0</v>
      </c>
      <c r="AY129" s="34">
        <f t="shared" si="104"/>
        <v>56</v>
      </c>
      <c r="AZ129" s="34">
        <f t="shared" si="105"/>
        <v>0</v>
      </c>
      <c r="BA129" s="52">
        <f t="shared" si="106"/>
        <v>0</v>
      </c>
      <c r="BB129" s="34">
        <f t="shared" si="107"/>
        <v>131</v>
      </c>
      <c r="BC129" s="34">
        <f t="shared" si="108"/>
        <v>85</v>
      </c>
      <c r="BD129" s="52">
        <f t="shared" si="109"/>
        <v>95</v>
      </c>
      <c r="BE129" s="34">
        <f t="shared" si="110"/>
        <v>6</v>
      </c>
      <c r="BF129" s="34">
        <f t="shared" si="111"/>
        <v>0</v>
      </c>
      <c r="BG129" s="52">
        <f t="shared" si="112"/>
        <v>0</v>
      </c>
      <c r="BH129" s="34">
        <f t="shared" si="113"/>
        <v>6</v>
      </c>
      <c r="BI129" s="34">
        <f t="shared" si="114"/>
        <v>0</v>
      </c>
      <c r="BJ129" s="46">
        <f t="shared" si="115"/>
        <v>0</v>
      </c>
      <c r="BK129" s="57">
        <f t="shared" si="116"/>
        <v>379</v>
      </c>
      <c r="BL129" s="34">
        <f t="shared" si="117"/>
        <v>56</v>
      </c>
      <c r="BM129" s="34">
        <f t="shared" si="118"/>
        <v>311</v>
      </c>
      <c r="BN129" s="34">
        <f t="shared" si="119"/>
        <v>6</v>
      </c>
      <c r="BO129" s="34">
        <f t="shared" si="120"/>
        <v>6</v>
      </c>
    </row>
    <row r="130" spans="1:67" ht="13.5" customHeight="1" x14ac:dyDescent="0.25">
      <c r="A130" s="36" t="s">
        <v>63</v>
      </c>
      <c r="B130" s="70" t="s">
        <v>326</v>
      </c>
      <c r="C130" s="34">
        <v>0</v>
      </c>
      <c r="D130" s="34">
        <v>0</v>
      </c>
      <c r="E130" s="52">
        <v>0</v>
      </c>
      <c r="F130" s="34">
        <v>0</v>
      </c>
      <c r="G130" s="34">
        <v>0</v>
      </c>
      <c r="H130" s="52">
        <v>0</v>
      </c>
      <c r="I130" s="34">
        <v>0</v>
      </c>
      <c r="J130" s="34">
        <v>40</v>
      </c>
      <c r="K130" s="52">
        <v>0</v>
      </c>
      <c r="L130" s="34">
        <v>50</v>
      </c>
      <c r="M130" s="34">
        <v>40</v>
      </c>
      <c r="N130" s="46">
        <v>50</v>
      </c>
      <c r="O130" s="34">
        <v>0</v>
      </c>
      <c r="P130" s="34">
        <v>0</v>
      </c>
      <c r="Q130" s="52">
        <v>0</v>
      </c>
      <c r="R130" s="34">
        <v>0</v>
      </c>
      <c r="S130" s="34">
        <v>0</v>
      </c>
      <c r="T130" s="52">
        <v>0</v>
      </c>
      <c r="U130" s="34">
        <v>0</v>
      </c>
      <c r="V130" s="34">
        <v>0</v>
      </c>
      <c r="W130" s="52">
        <v>0</v>
      </c>
      <c r="X130" s="34">
        <v>0</v>
      </c>
      <c r="Y130" s="34">
        <v>0</v>
      </c>
      <c r="Z130" s="46">
        <v>0</v>
      </c>
      <c r="AA130" s="34">
        <v>0</v>
      </c>
      <c r="AB130" s="34">
        <v>0</v>
      </c>
      <c r="AC130" s="52">
        <v>0</v>
      </c>
      <c r="AD130" s="34">
        <v>0</v>
      </c>
      <c r="AE130" s="34">
        <v>0</v>
      </c>
      <c r="AF130" s="52">
        <v>0</v>
      </c>
      <c r="AG130" s="34">
        <v>0</v>
      </c>
      <c r="AH130" s="34">
        <v>0</v>
      </c>
      <c r="AI130" s="52">
        <v>0</v>
      </c>
      <c r="AJ130" s="34">
        <v>65</v>
      </c>
      <c r="AK130" s="34">
        <v>55</v>
      </c>
      <c r="AL130" s="46">
        <v>45</v>
      </c>
      <c r="AM130" s="34">
        <v>0</v>
      </c>
      <c r="AN130" s="34">
        <v>0</v>
      </c>
      <c r="AO130" s="52">
        <v>0</v>
      </c>
      <c r="AP130" s="34">
        <v>0</v>
      </c>
      <c r="AQ130" s="34">
        <v>0</v>
      </c>
      <c r="AR130" s="52">
        <v>0</v>
      </c>
      <c r="AS130" s="34">
        <v>0</v>
      </c>
      <c r="AT130" s="34">
        <v>0</v>
      </c>
      <c r="AU130" s="52">
        <v>0</v>
      </c>
      <c r="AV130" s="34">
        <v>10</v>
      </c>
      <c r="AW130" s="34">
        <v>10</v>
      </c>
      <c r="AX130" s="46">
        <v>10</v>
      </c>
      <c r="AY130" s="41">
        <f t="shared" si="104"/>
        <v>0</v>
      </c>
      <c r="AZ130" s="41">
        <f t="shared" si="105"/>
        <v>0</v>
      </c>
      <c r="BA130" s="50">
        <f t="shared" si="106"/>
        <v>0</v>
      </c>
      <c r="BB130" s="41">
        <f t="shared" si="107"/>
        <v>0</v>
      </c>
      <c r="BC130" s="41">
        <f t="shared" si="108"/>
        <v>0</v>
      </c>
      <c r="BD130" s="50">
        <f t="shared" si="109"/>
        <v>0</v>
      </c>
      <c r="BE130" s="41">
        <f t="shared" si="110"/>
        <v>0</v>
      </c>
      <c r="BF130" s="41">
        <f t="shared" si="111"/>
        <v>40</v>
      </c>
      <c r="BG130" s="50">
        <f t="shared" si="112"/>
        <v>0</v>
      </c>
      <c r="BH130" s="41">
        <f t="shared" si="113"/>
        <v>125</v>
      </c>
      <c r="BI130" s="41">
        <f t="shared" si="114"/>
        <v>105</v>
      </c>
      <c r="BJ130" s="48">
        <f t="shared" si="115"/>
        <v>105</v>
      </c>
      <c r="BK130" s="56">
        <f t="shared" si="116"/>
        <v>375</v>
      </c>
      <c r="BL130" s="41">
        <f t="shared" si="117"/>
        <v>0</v>
      </c>
      <c r="BM130" s="41">
        <f t="shared" si="118"/>
        <v>0</v>
      </c>
      <c r="BN130" s="41">
        <f t="shared" si="119"/>
        <v>40</v>
      </c>
      <c r="BO130" s="41">
        <f t="shared" si="120"/>
        <v>335</v>
      </c>
    </row>
    <row r="131" spans="1:67" ht="13.5" customHeight="1" x14ac:dyDescent="0.25">
      <c r="A131" s="36" t="s">
        <v>64</v>
      </c>
      <c r="B131" s="193" t="s">
        <v>665</v>
      </c>
      <c r="C131" s="41">
        <v>0</v>
      </c>
      <c r="D131" s="41">
        <v>0</v>
      </c>
      <c r="E131" s="50">
        <v>0</v>
      </c>
      <c r="F131" s="41">
        <v>0</v>
      </c>
      <c r="G131" s="41">
        <v>0</v>
      </c>
      <c r="H131" s="50">
        <v>0</v>
      </c>
      <c r="I131" s="41">
        <v>0</v>
      </c>
      <c r="J131" s="41">
        <v>0</v>
      </c>
      <c r="K131" s="50">
        <v>0</v>
      </c>
      <c r="L131" s="41">
        <v>55</v>
      </c>
      <c r="M131" s="41">
        <v>40</v>
      </c>
      <c r="N131" s="46">
        <v>55</v>
      </c>
      <c r="O131" s="41">
        <v>0</v>
      </c>
      <c r="P131" s="41">
        <v>0</v>
      </c>
      <c r="Q131" s="50">
        <v>0</v>
      </c>
      <c r="R131" s="41">
        <v>0</v>
      </c>
      <c r="S131" s="41">
        <v>0</v>
      </c>
      <c r="T131" s="50">
        <v>0</v>
      </c>
      <c r="U131" s="41">
        <v>0</v>
      </c>
      <c r="V131" s="41">
        <v>0</v>
      </c>
      <c r="W131" s="52">
        <v>0</v>
      </c>
      <c r="X131" s="41">
        <v>0</v>
      </c>
      <c r="Y131" s="41">
        <v>0</v>
      </c>
      <c r="Z131" s="48">
        <v>0</v>
      </c>
      <c r="AA131" s="41">
        <v>0</v>
      </c>
      <c r="AB131" s="41">
        <v>0</v>
      </c>
      <c r="AC131" s="50">
        <v>0</v>
      </c>
      <c r="AD131" s="41">
        <v>0</v>
      </c>
      <c r="AE131" s="41">
        <v>0</v>
      </c>
      <c r="AF131" s="50">
        <v>0</v>
      </c>
      <c r="AG131" s="41">
        <v>10</v>
      </c>
      <c r="AH131" s="41">
        <v>0</v>
      </c>
      <c r="AI131" s="50">
        <v>0</v>
      </c>
      <c r="AJ131" s="41">
        <v>75</v>
      </c>
      <c r="AK131" s="41">
        <v>60</v>
      </c>
      <c r="AL131" s="48">
        <v>60</v>
      </c>
      <c r="AM131" s="41">
        <v>0</v>
      </c>
      <c r="AN131" s="41">
        <v>0</v>
      </c>
      <c r="AO131" s="50">
        <v>0</v>
      </c>
      <c r="AP131" s="41">
        <v>0</v>
      </c>
      <c r="AQ131" s="41">
        <v>0</v>
      </c>
      <c r="AR131" s="50">
        <v>0</v>
      </c>
      <c r="AS131" s="41">
        <v>0</v>
      </c>
      <c r="AT131" s="41">
        <v>0</v>
      </c>
      <c r="AU131" s="50">
        <v>0</v>
      </c>
      <c r="AV131" s="41">
        <v>5</v>
      </c>
      <c r="AW131" s="41">
        <v>10</v>
      </c>
      <c r="AX131" s="48">
        <v>5</v>
      </c>
      <c r="AY131" s="41">
        <f t="shared" si="104"/>
        <v>0</v>
      </c>
      <c r="AZ131" s="41">
        <f t="shared" si="105"/>
        <v>0</v>
      </c>
      <c r="BA131" s="50">
        <f t="shared" si="106"/>
        <v>0</v>
      </c>
      <c r="BB131" s="41">
        <f t="shared" si="107"/>
        <v>0</v>
      </c>
      <c r="BC131" s="41">
        <f t="shared" si="108"/>
        <v>0</v>
      </c>
      <c r="BD131" s="50">
        <f t="shared" si="109"/>
        <v>0</v>
      </c>
      <c r="BE131" s="41">
        <f t="shared" si="110"/>
        <v>10</v>
      </c>
      <c r="BF131" s="41">
        <f t="shared" si="111"/>
        <v>0</v>
      </c>
      <c r="BG131" s="50">
        <f t="shared" si="112"/>
        <v>0</v>
      </c>
      <c r="BH131" s="41">
        <f t="shared" si="113"/>
        <v>135</v>
      </c>
      <c r="BI131" s="41">
        <f t="shared" si="114"/>
        <v>110</v>
      </c>
      <c r="BJ131" s="48">
        <f t="shared" si="115"/>
        <v>120</v>
      </c>
      <c r="BK131" s="56">
        <f t="shared" si="116"/>
        <v>375</v>
      </c>
      <c r="BL131" s="41">
        <f t="shared" si="117"/>
        <v>0</v>
      </c>
      <c r="BM131" s="41">
        <f t="shared" si="118"/>
        <v>0</v>
      </c>
      <c r="BN131" s="41">
        <f t="shared" si="119"/>
        <v>10</v>
      </c>
      <c r="BO131" s="41">
        <f t="shared" si="120"/>
        <v>365</v>
      </c>
    </row>
    <row r="132" spans="1:67" ht="13.5" customHeight="1" x14ac:dyDescent="0.25">
      <c r="A132" s="36" t="s">
        <v>65</v>
      </c>
      <c r="B132" s="62" t="s">
        <v>648</v>
      </c>
      <c r="C132" s="41">
        <v>0</v>
      </c>
      <c r="D132" s="41">
        <v>0</v>
      </c>
      <c r="E132" s="50">
        <v>0</v>
      </c>
      <c r="F132" s="41">
        <v>55</v>
      </c>
      <c r="G132" s="41">
        <v>55</v>
      </c>
      <c r="H132" s="50">
        <v>40</v>
      </c>
      <c r="I132" s="41">
        <v>0</v>
      </c>
      <c r="J132" s="41">
        <v>0</v>
      </c>
      <c r="K132" s="50">
        <v>0</v>
      </c>
      <c r="L132" s="41">
        <v>0</v>
      </c>
      <c r="M132" s="41">
        <v>0</v>
      </c>
      <c r="N132" s="46">
        <v>0</v>
      </c>
      <c r="O132" s="41">
        <v>0</v>
      </c>
      <c r="P132" s="41">
        <v>0</v>
      </c>
      <c r="Q132" s="50">
        <v>0</v>
      </c>
      <c r="R132" s="41">
        <v>0</v>
      </c>
      <c r="S132" s="41">
        <v>0</v>
      </c>
      <c r="T132" s="50">
        <v>0</v>
      </c>
      <c r="U132" s="41">
        <v>0</v>
      </c>
      <c r="V132" s="41">
        <v>0</v>
      </c>
      <c r="W132" s="52">
        <v>0</v>
      </c>
      <c r="X132" s="41">
        <v>0</v>
      </c>
      <c r="Y132" s="41">
        <v>0</v>
      </c>
      <c r="Z132" s="48">
        <v>0</v>
      </c>
      <c r="AA132" s="41">
        <v>55</v>
      </c>
      <c r="AB132" s="41">
        <v>0</v>
      </c>
      <c r="AC132" s="50">
        <v>0</v>
      </c>
      <c r="AD132" s="41">
        <v>75</v>
      </c>
      <c r="AE132" s="41">
        <v>55</v>
      </c>
      <c r="AF132" s="50">
        <v>20</v>
      </c>
      <c r="AG132" s="41">
        <v>0</v>
      </c>
      <c r="AH132" s="41">
        <v>0</v>
      </c>
      <c r="AI132" s="50">
        <v>0</v>
      </c>
      <c r="AJ132" s="41">
        <v>0</v>
      </c>
      <c r="AK132" s="41">
        <v>0</v>
      </c>
      <c r="AL132" s="48">
        <v>0</v>
      </c>
      <c r="AM132" s="41">
        <v>0</v>
      </c>
      <c r="AN132" s="41">
        <v>0</v>
      </c>
      <c r="AO132" s="50">
        <v>0</v>
      </c>
      <c r="AP132" s="41">
        <v>5</v>
      </c>
      <c r="AQ132" s="41">
        <v>10</v>
      </c>
      <c r="AR132" s="50">
        <v>5</v>
      </c>
      <c r="AS132" s="41">
        <v>0</v>
      </c>
      <c r="AT132" s="41">
        <v>0</v>
      </c>
      <c r="AU132" s="50">
        <v>0</v>
      </c>
      <c r="AV132" s="41">
        <v>0</v>
      </c>
      <c r="AW132" s="41">
        <v>0</v>
      </c>
      <c r="AX132" s="48">
        <v>0</v>
      </c>
      <c r="AY132" s="41">
        <f t="shared" si="104"/>
        <v>55</v>
      </c>
      <c r="AZ132" s="41">
        <f t="shared" si="105"/>
        <v>0</v>
      </c>
      <c r="BA132" s="50">
        <f t="shared" si="106"/>
        <v>0</v>
      </c>
      <c r="BB132" s="41">
        <f t="shared" si="107"/>
        <v>135</v>
      </c>
      <c r="BC132" s="41">
        <f t="shared" si="108"/>
        <v>120</v>
      </c>
      <c r="BD132" s="50">
        <f t="shared" si="109"/>
        <v>65</v>
      </c>
      <c r="BE132" s="41">
        <f t="shared" si="110"/>
        <v>0</v>
      </c>
      <c r="BF132" s="41">
        <f t="shared" si="111"/>
        <v>0</v>
      </c>
      <c r="BG132" s="50">
        <f t="shared" si="112"/>
        <v>0</v>
      </c>
      <c r="BH132" s="41">
        <f t="shared" si="113"/>
        <v>0</v>
      </c>
      <c r="BI132" s="41">
        <f t="shared" si="114"/>
        <v>0</v>
      </c>
      <c r="BJ132" s="48">
        <f t="shared" si="115"/>
        <v>0</v>
      </c>
      <c r="BK132" s="56">
        <f t="shared" si="116"/>
        <v>375</v>
      </c>
      <c r="BL132" s="41">
        <f t="shared" si="117"/>
        <v>55</v>
      </c>
      <c r="BM132" s="41">
        <f t="shared" si="118"/>
        <v>320</v>
      </c>
      <c r="BN132" s="41">
        <f t="shared" si="119"/>
        <v>0</v>
      </c>
      <c r="BO132" s="41">
        <f t="shared" si="120"/>
        <v>0</v>
      </c>
    </row>
    <row r="133" spans="1:67" ht="13.5" customHeight="1" x14ac:dyDescent="0.25">
      <c r="A133" s="36" t="s">
        <v>66</v>
      </c>
      <c r="B133" s="62" t="s">
        <v>500</v>
      </c>
      <c r="C133" s="41">
        <v>0</v>
      </c>
      <c r="D133" s="41">
        <v>0</v>
      </c>
      <c r="E133" s="50">
        <v>0</v>
      </c>
      <c r="F133" s="41">
        <v>50</v>
      </c>
      <c r="G133" s="41">
        <v>40</v>
      </c>
      <c r="H133" s="50">
        <v>50</v>
      </c>
      <c r="I133" s="41">
        <v>0</v>
      </c>
      <c r="J133" s="41">
        <v>0</v>
      </c>
      <c r="K133" s="50">
        <v>0</v>
      </c>
      <c r="L133" s="41">
        <v>0</v>
      </c>
      <c r="M133" s="41">
        <v>0</v>
      </c>
      <c r="N133" s="46">
        <v>0</v>
      </c>
      <c r="O133" s="41">
        <v>0</v>
      </c>
      <c r="P133" s="41">
        <v>0</v>
      </c>
      <c r="Q133" s="50">
        <v>0</v>
      </c>
      <c r="R133" s="41">
        <v>0</v>
      </c>
      <c r="S133" s="41">
        <v>0</v>
      </c>
      <c r="T133" s="50">
        <v>0</v>
      </c>
      <c r="U133" s="41">
        <v>0</v>
      </c>
      <c r="V133" s="41">
        <v>0</v>
      </c>
      <c r="W133" s="52">
        <v>0</v>
      </c>
      <c r="X133" s="41">
        <v>0</v>
      </c>
      <c r="Y133" s="41">
        <v>0</v>
      </c>
      <c r="Z133" s="48">
        <v>0</v>
      </c>
      <c r="AA133" s="41">
        <v>50</v>
      </c>
      <c r="AB133" s="41">
        <v>0</v>
      </c>
      <c r="AC133" s="50">
        <v>0</v>
      </c>
      <c r="AD133" s="41">
        <v>60</v>
      </c>
      <c r="AE133" s="41">
        <v>20</v>
      </c>
      <c r="AF133" s="50">
        <v>60</v>
      </c>
      <c r="AG133" s="41">
        <v>0</v>
      </c>
      <c r="AH133" s="41">
        <v>0</v>
      </c>
      <c r="AI133" s="50">
        <v>0</v>
      </c>
      <c r="AJ133" s="41">
        <v>0</v>
      </c>
      <c r="AK133" s="41">
        <v>0</v>
      </c>
      <c r="AL133" s="48">
        <v>0</v>
      </c>
      <c r="AM133" s="41">
        <v>10</v>
      </c>
      <c r="AN133" s="41">
        <v>0</v>
      </c>
      <c r="AO133" s="50">
        <v>0</v>
      </c>
      <c r="AP133" s="41">
        <v>20</v>
      </c>
      <c r="AQ133" s="41">
        <v>5</v>
      </c>
      <c r="AR133" s="50">
        <v>10</v>
      </c>
      <c r="AS133" s="41">
        <v>0</v>
      </c>
      <c r="AT133" s="41">
        <v>0</v>
      </c>
      <c r="AU133" s="50">
        <v>0</v>
      </c>
      <c r="AV133" s="41">
        <v>0</v>
      </c>
      <c r="AW133" s="41">
        <v>0</v>
      </c>
      <c r="AX133" s="48">
        <v>0</v>
      </c>
      <c r="AY133" s="41">
        <f t="shared" si="104"/>
        <v>60</v>
      </c>
      <c r="AZ133" s="41">
        <f t="shared" si="105"/>
        <v>0</v>
      </c>
      <c r="BA133" s="50">
        <f t="shared" si="106"/>
        <v>0</v>
      </c>
      <c r="BB133" s="41">
        <f t="shared" si="107"/>
        <v>130</v>
      </c>
      <c r="BC133" s="41">
        <f t="shared" si="108"/>
        <v>65</v>
      </c>
      <c r="BD133" s="50">
        <f t="shared" si="109"/>
        <v>120</v>
      </c>
      <c r="BE133" s="41">
        <f t="shared" si="110"/>
        <v>0</v>
      </c>
      <c r="BF133" s="41">
        <f t="shared" si="111"/>
        <v>0</v>
      </c>
      <c r="BG133" s="50">
        <f t="shared" si="112"/>
        <v>0</v>
      </c>
      <c r="BH133" s="41">
        <f t="shared" si="113"/>
        <v>0</v>
      </c>
      <c r="BI133" s="41">
        <f t="shared" si="114"/>
        <v>0</v>
      </c>
      <c r="BJ133" s="48">
        <f t="shared" si="115"/>
        <v>0</v>
      </c>
      <c r="BK133" s="56">
        <f t="shared" si="116"/>
        <v>375</v>
      </c>
      <c r="BL133" s="41">
        <f t="shared" si="117"/>
        <v>60</v>
      </c>
      <c r="BM133" s="41">
        <f t="shared" si="118"/>
        <v>315</v>
      </c>
      <c r="BN133" s="41">
        <f t="shared" si="119"/>
        <v>0</v>
      </c>
      <c r="BO133" s="41">
        <f t="shared" si="120"/>
        <v>0</v>
      </c>
    </row>
    <row r="134" spans="1:67" ht="13.5" customHeight="1" x14ac:dyDescent="0.25">
      <c r="A134" s="36" t="s">
        <v>67</v>
      </c>
      <c r="B134" s="62" t="s">
        <v>634</v>
      </c>
      <c r="C134" s="41">
        <v>55</v>
      </c>
      <c r="D134" s="41">
        <v>55</v>
      </c>
      <c r="E134" s="50">
        <v>35</v>
      </c>
      <c r="F134" s="41">
        <v>0</v>
      </c>
      <c r="G134" s="41">
        <v>0</v>
      </c>
      <c r="H134" s="50">
        <v>35</v>
      </c>
      <c r="I134" s="41">
        <v>0</v>
      </c>
      <c r="J134" s="41">
        <v>0</v>
      </c>
      <c r="K134" s="50">
        <v>0</v>
      </c>
      <c r="L134" s="41">
        <v>0</v>
      </c>
      <c r="M134" s="41">
        <v>0</v>
      </c>
      <c r="N134" s="46">
        <v>0</v>
      </c>
      <c r="O134" s="41">
        <v>0</v>
      </c>
      <c r="P134" s="41">
        <v>0</v>
      </c>
      <c r="Q134" s="50">
        <v>0</v>
      </c>
      <c r="R134" s="41">
        <v>0</v>
      </c>
      <c r="S134" s="41">
        <v>0</v>
      </c>
      <c r="T134" s="50">
        <v>0</v>
      </c>
      <c r="U134" s="41">
        <v>0</v>
      </c>
      <c r="V134" s="41">
        <v>0</v>
      </c>
      <c r="W134" s="52">
        <v>0</v>
      </c>
      <c r="X134" s="41">
        <v>0</v>
      </c>
      <c r="Y134" s="41">
        <v>0</v>
      </c>
      <c r="Z134" s="48">
        <v>0</v>
      </c>
      <c r="AA134" s="41">
        <v>75</v>
      </c>
      <c r="AB134" s="41">
        <v>55</v>
      </c>
      <c r="AC134" s="50">
        <v>20</v>
      </c>
      <c r="AD134" s="41">
        <v>10</v>
      </c>
      <c r="AE134" s="41">
        <v>0</v>
      </c>
      <c r="AF134" s="50">
        <v>0</v>
      </c>
      <c r="AG134" s="41">
        <v>0</v>
      </c>
      <c r="AH134" s="41">
        <v>0</v>
      </c>
      <c r="AI134" s="50">
        <v>0</v>
      </c>
      <c r="AJ134" s="41">
        <v>0</v>
      </c>
      <c r="AK134" s="41">
        <v>0</v>
      </c>
      <c r="AL134" s="48">
        <v>0</v>
      </c>
      <c r="AM134" s="41">
        <v>5</v>
      </c>
      <c r="AN134" s="41">
        <v>15</v>
      </c>
      <c r="AO134" s="50">
        <v>5</v>
      </c>
      <c r="AP134" s="41">
        <v>0</v>
      </c>
      <c r="AQ134" s="41">
        <v>10</v>
      </c>
      <c r="AR134" s="50">
        <v>0</v>
      </c>
      <c r="AS134" s="41">
        <v>0</v>
      </c>
      <c r="AT134" s="41">
        <v>0</v>
      </c>
      <c r="AU134" s="50">
        <v>0</v>
      </c>
      <c r="AV134" s="41">
        <v>0</v>
      </c>
      <c r="AW134" s="41">
        <v>0</v>
      </c>
      <c r="AX134" s="48">
        <v>0</v>
      </c>
      <c r="AY134" s="41">
        <f t="shared" si="104"/>
        <v>135</v>
      </c>
      <c r="AZ134" s="41">
        <f t="shared" si="105"/>
        <v>125</v>
      </c>
      <c r="BA134" s="50">
        <f t="shared" si="106"/>
        <v>60</v>
      </c>
      <c r="BB134" s="41">
        <f t="shared" si="107"/>
        <v>10</v>
      </c>
      <c r="BC134" s="41">
        <f t="shared" si="108"/>
        <v>10</v>
      </c>
      <c r="BD134" s="50">
        <f t="shared" si="109"/>
        <v>35</v>
      </c>
      <c r="BE134" s="41">
        <f t="shared" si="110"/>
        <v>0</v>
      </c>
      <c r="BF134" s="41">
        <f t="shared" si="111"/>
        <v>0</v>
      </c>
      <c r="BG134" s="50">
        <f t="shared" si="112"/>
        <v>0</v>
      </c>
      <c r="BH134" s="41">
        <f t="shared" si="113"/>
        <v>0</v>
      </c>
      <c r="BI134" s="41">
        <f t="shared" si="114"/>
        <v>0</v>
      </c>
      <c r="BJ134" s="48">
        <f t="shared" si="115"/>
        <v>0</v>
      </c>
      <c r="BK134" s="56">
        <f t="shared" si="116"/>
        <v>375</v>
      </c>
      <c r="BL134" s="41">
        <f t="shared" si="117"/>
        <v>320</v>
      </c>
      <c r="BM134" s="41">
        <f t="shared" si="118"/>
        <v>55</v>
      </c>
      <c r="BN134" s="41">
        <f t="shared" si="119"/>
        <v>0</v>
      </c>
      <c r="BO134" s="41">
        <f t="shared" si="120"/>
        <v>0</v>
      </c>
    </row>
    <row r="135" spans="1:67" ht="13.5" customHeight="1" x14ac:dyDescent="0.25">
      <c r="A135" s="36" t="s">
        <v>68</v>
      </c>
      <c r="B135" s="70" t="s">
        <v>299</v>
      </c>
      <c r="C135" s="34">
        <v>0</v>
      </c>
      <c r="D135" s="34">
        <v>0</v>
      </c>
      <c r="E135" s="52">
        <v>0</v>
      </c>
      <c r="F135" s="34">
        <v>0</v>
      </c>
      <c r="G135" s="34">
        <v>0</v>
      </c>
      <c r="H135" s="52">
        <v>0</v>
      </c>
      <c r="I135" s="34">
        <v>0</v>
      </c>
      <c r="J135" s="34">
        <v>45</v>
      </c>
      <c r="K135" s="52">
        <v>0</v>
      </c>
      <c r="L135" s="34">
        <v>40</v>
      </c>
      <c r="M135" s="34">
        <v>45</v>
      </c>
      <c r="N135" s="46">
        <v>40</v>
      </c>
      <c r="O135" s="34">
        <v>0</v>
      </c>
      <c r="P135" s="34">
        <v>0</v>
      </c>
      <c r="Q135" s="52">
        <v>0</v>
      </c>
      <c r="R135" s="34">
        <v>0</v>
      </c>
      <c r="S135" s="34">
        <v>0</v>
      </c>
      <c r="T135" s="52">
        <v>0</v>
      </c>
      <c r="U135" s="34">
        <v>0</v>
      </c>
      <c r="V135" s="34">
        <v>0</v>
      </c>
      <c r="W135" s="52">
        <v>0</v>
      </c>
      <c r="X135" s="34">
        <v>0</v>
      </c>
      <c r="Y135" s="34">
        <v>0</v>
      </c>
      <c r="Z135" s="46">
        <v>0</v>
      </c>
      <c r="AA135" s="34">
        <v>0</v>
      </c>
      <c r="AB135" s="34">
        <v>0</v>
      </c>
      <c r="AC135" s="52">
        <v>0</v>
      </c>
      <c r="AD135" s="34">
        <v>0</v>
      </c>
      <c r="AE135" s="34">
        <v>0</v>
      </c>
      <c r="AF135" s="52">
        <v>0</v>
      </c>
      <c r="AG135" s="34">
        <v>45</v>
      </c>
      <c r="AH135" s="34">
        <v>0</v>
      </c>
      <c r="AI135" s="52">
        <v>0</v>
      </c>
      <c r="AJ135" s="34">
        <v>65</v>
      </c>
      <c r="AK135" s="34">
        <v>50</v>
      </c>
      <c r="AL135" s="46">
        <v>40</v>
      </c>
      <c r="AM135" s="34">
        <v>0</v>
      </c>
      <c r="AN135" s="34">
        <v>0</v>
      </c>
      <c r="AO135" s="52">
        <v>0</v>
      </c>
      <c r="AP135" s="34">
        <v>0</v>
      </c>
      <c r="AQ135" s="34">
        <v>0</v>
      </c>
      <c r="AR135" s="52">
        <v>0</v>
      </c>
      <c r="AS135" s="34">
        <v>0</v>
      </c>
      <c r="AT135" s="34">
        <v>0</v>
      </c>
      <c r="AU135" s="52">
        <v>0</v>
      </c>
      <c r="AV135" s="34">
        <v>0</v>
      </c>
      <c r="AW135" s="34">
        <v>0</v>
      </c>
      <c r="AX135" s="46">
        <v>0</v>
      </c>
      <c r="AY135" s="41">
        <f t="shared" si="104"/>
        <v>0</v>
      </c>
      <c r="AZ135" s="41">
        <f t="shared" si="105"/>
        <v>0</v>
      </c>
      <c r="BA135" s="50">
        <f t="shared" si="106"/>
        <v>0</v>
      </c>
      <c r="BB135" s="41">
        <f t="shared" si="107"/>
        <v>0</v>
      </c>
      <c r="BC135" s="41">
        <f t="shared" si="108"/>
        <v>0</v>
      </c>
      <c r="BD135" s="50">
        <f t="shared" si="109"/>
        <v>0</v>
      </c>
      <c r="BE135" s="41">
        <f t="shared" si="110"/>
        <v>45</v>
      </c>
      <c r="BF135" s="41">
        <f t="shared" si="111"/>
        <v>45</v>
      </c>
      <c r="BG135" s="50">
        <f t="shared" si="112"/>
        <v>0</v>
      </c>
      <c r="BH135" s="41">
        <f t="shared" si="113"/>
        <v>105</v>
      </c>
      <c r="BI135" s="41">
        <f t="shared" si="114"/>
        <v>95</v>
      </c>
      <c r="BJ135" s="48">
        <f t="shared" si="115"/>
        <v>80</v>
      </c>
      <c r="BK135" s="56">
        <f t="shared" si="116"/>
        <v>370</v>
      </c>
      <c r="BL135" s="41">
        <f t="shared" si="117"/>
        <v>0</v>
      </c>
      <c r="BM135" s="41">
        <f t="shared" si="118"/>
        <v>0</v>
      </c>
      <c r="BN135" s="41">
        <f t="shared" si="119"/>
        <v>90</v>
      </c>
      <c r="BO135" s="41">
        <f t="shared" si="120"/>
        <v>280</v>
      </c>
    </row>
    <row r="136" spans="1:67" ht="13.5" customHeight="1" x14ac:dyDescent="0.25">
      <c r="A136" s="36" t="s">
        <v>69</v>
      </c>
      <c r="B136" s="71" t="s">
        <v>141</v>
      </c>
      <c r="C136" s="34">
        <v>0</v>
      </c>
      <c r="D136" s="34">
        <v>0</v>
      </c>
      <c r="E136" s="52">
        <v>0</v>
      </c>
      <c r="F136" s="34">
        <v>0</v>
      </c>
      <c r="G136" s="34">
        <v>0</v>
      </c>
      <c r="H136" s="52">
        <v>0</v>
      </c>
      <c r="I136" s="34">
        <v>45</v>
      </c>
      <c r="J136" s="34">
        <v>30</v>
      </c>
      <c r="K136" s="52">
        <v>45</v>
      </c>
      <c r="L136" s="34">
        <v>0</v>
      </c>
      <c r="M136" s="34">
        <v>30</v>
      </c>
      <c r="N136" s="46">
        <v>0</v>
      </c>
      <c r="O136" s="34">
        <v>0</v>
      </c>
      <c r="P136" s="34">
        <v>0</v>
      </c>
      <c r="Q136" s="52">
        <v>0</v>
      </c>
      <c r="R136" s="34">
        <v>0</v>
      </c>
      <c r="S136" s="34">
        <v>0</v>
      </c>
      <c r="T136" s="52">
        <v>0</v>
      </c>
      <c r="U136" s="34">
        <v>0</v>
      </c>
      <c r="V136" s="34">
        <v>0</v>
      </c>
      <c r="W136" s="52">
        <v>0</v>
      </c>
      <c r="X136" s="34">
        <v>0</v>
      </c>
      <c r="Y136" s="34">
        <v>0</v>
      </c>
      <c r="Z136" s="46">
        <v>0</v>
      </c>
      <c r="AA136" s="34">
        <v>0</v>
      </c>
      <c r="AB136" s="34">
        <v>0</v>
      </c>
      <c r="AC136" s="52">
        <v>0</v>
      </c>
      <c r="AD136" s="34">
        <v>0</v>
      </c>
      <c r="AE136" s="34">
        <v>0</v>
      </c>
      <c r="AF136" s="52">
        <v>0</v>
      </c>
      <c r="AG136" s="34">
        <v>70</v>
      </c>
      <c r="AH136" s="34">
        <v>50</v>
      </c>
      <c r="AI136" s="52">
        <v>50</v>
      </c>
      <c r="AJ136" s="34">
        <v>10</v>
      </c>
      <c r="AK136" s="34">
        <v>0</v>
      </c>
      <c r="AL136" s="46">
        <v>0</v>
      </c>
      <c r="AM136" s="34">
        <v>0</v>
      </c>
      <c r="AN136" s="34">
        <v>0</v>
      </c>
      <c r="AO136" s="52">
        <v>0</v>
      </c>
      <c r="AP136" s="34">
        <v>0</v>
      </c>
      <c r="AQ136" s="34">
        <v>0</v>
      </c>
      <c r="AR136" s="52">
        <v>0</v>
      </c>
      <c r="AS136" s="34">
        <v>10</v>
      </c>
      <c r="AT136" s="34">
        <v>20</v>
      </c>
      <c r="AU136" s="52">
        <v>10</v>
      </c>
      <c r="AV136" s="34">
        <v>0</v>
      </c>
      <c r="AW136" s="34">
        <v>0</v>
      </c>
      <c r="AX136" s="46">
        <v>0</v>
      </c>
      <c r="AY136" s="41">
        <f t="shared" si="104"/>
        <v>0</v>
      </c>
      <c r="AZ136" s="41">
        <f t="shared" si="105"/>
        <v>0</v>
      </c>
      <c r="BA136" s="50">
        <f t="shared" si="106"/>
        <v>0</v>
      </c>
      <c r="BB136" s="41">
        <f t="shared" si="107"/>
        <v>0</v>
      </c>
      <c r="BC136" s="41">
        <f t="shared" si="108"/>
        <v>0</v>
      </c>
      <c r="BD136" s="50">
        <f t="shared" si="109"/>
        <v>0</v>
      </c>
      <c r="BE136" s="41">
        <f t="shared" si="110"/>
        <v>125</v>
      </c>
      <c r="BF136" s="41">
        <f t="shared" si="111"/>
        <v>100</v>
      </c>
      <c r="BG136" s="50">
        <f t="shared" si="112"/>
        <v>105</v>
      </c>
      <c r="BH136" s="41">
        <f t="shared" si="113"/>
        <v>10</v>
      </c>
      <c r="BI136" s="41">
        <f t="shared" si="114"/>
        <v>30</v>
      </c>
      <c r="BJ136" s="48">
        <f t="shared" si="115"/>
        <v>0</v>
      </c>
      <c r="BK136" s="56">
        <f t="shared" si="116"/>
        <v>370</v>
      </c>
      <c r="BL136" s="41">
        <f t="shared" si="117"/>
        <v>0</v>
      </c>
      <c r="BM136" s="41">
        <f t="shared" si="118"/>
        <v>0</v>
      </c>
      <c r="BN136" s="41">
        <f t="shared" si="119"/>
        <v>330</v>
      </c>
      <c r="BO136" s="41">
        <f t="shared" si="120"/>
        <v>40</v>
      </c>
    </row>
    <row r="137" spans="1:67" ht="13.5" customHeight="1" x14ac:dyDescent="0.25">
      <c r="A137" s="36" t="s">
        <v>70</v>
      </c>
      <c r="B137" s="62" t="s">
        <v>631</v>
      </c>
      <c r="C137" s="41">
        <v>0</v>
      </c>
      <c r="D137" s="41">
        <v>0</v>
      </c>
      <c r="E137" s="50">
        <v>0</v>
      </c>
      <c r="F137" s="41">
        <v>0</v>
      </c>
      <c r="G137" s="41">
        <v>0</v>
      </c>
      <c r="H137" s="50">
        <v>0</v>
      </c>
      <c r="I137" s="41">
        <v>55</v>
      </c>
      <c r="J137" s="41">
        <v>0</v>
      </c>
      <c r="K137" s="50">
        <v>55</v>
      </c>
      <c r="L137" s="41">
        <v>0</v>
      </c>
      <c r="M137" s="41">
        <v>0</v>
      </c>
      <c r="N137" s="46">
        <v>0</v>
      </c>
      <c r="O137" s="41">
        <v>0</v>
      </c>
      <c r="P137" s="41">
        <v>0</v>
      </c>
      <c r="Q137" s="50">
        <v>0</v>
      </c>
      <c r="R137" s="41">
        <v>0</v>
      </c>
      <c r="S137" s="41">
        <v>0</v>
      </c>
      <c r="T137" s="50">
        <v>0</v>
      </c>
      <c r="U137" s="41">
        <v>0</v>
      </c>
      <c r="V137" s="41">
        <v>0</v>
      </c>
      <c r="W137" s="52">
        <v>0</v>
      </c>
      <c r="X137" s="41">
        <v>0</v>
      </c>
      <c r="Y137" s="41">
        <v>0</v>
      </c>
      <c r="Z137" s="48">
        <v>0</v>
      </c>
      <c r="AA137" s="41">
        <v>0</v>
      </c>
      <c r="AB137" s="41">
        <v>0</v>
      </c>
      <c r="AC137" s="50">
        <v>0</v>
      </c>
      <c r="AD137" s="41">
        <v>0</v>
      </c>
      <c r="AE137" s="41">
        <v>0</v>
      </c>
      <c r="AF137" s="50">
        <v>0</v>
      </c>
      <c r="AG137" s="41">
        <v>80</v>
      </c>
      <c r="AH137" s="41">
        <v>50</v>
      </c>
      <c r="AI137" s="50">
        <v>60</v>
      </c>
      <c r="AJ137" s="41">
        <v>10</v>
      </c>
      <c r="AK137" s="41">
        <v>0</v>
      </c>
      <c r="AL137" s="48">
        <v>0</v>
      </c>
      <c r="AM137" s="41">
        <v>0</v>
      </c>
      <c r="AN137" s="41">
        <v>0</v>
      </c>
      <c r="AO137" s="50">
        <v>0</v>
      </c>
      <c r="AP137" s="41">
        <v>0</v>
      </c>
      <c r="AQ137" s="41">
        <v>0</v>
      </c>
      <c r="AR137" s="50">
        <v>0</v>
      </c>
      <c r="AS137" s="41">
        <v>20</v>
      </c>
      <c r="AT137" s="41">
        <v>10</v>
      </c>
      <c r="AU137" s="50">
        <v>10</v>
      </c>
      <c r="AV137" s="41">
        <v>10</v>
      </c>
      <c r="AW137" s="41">
        <v>0</v>
      </c>
      <c r="AX137" s="48">
        <v>0</v>
      </c>
      <c r="AY137" s="41">
        <f t="shared" si="104"/>
        <v>0</v>
      </c>
      <c r="AZ137" s="41">
        <f t="shared" si="105"/>
        <v>0</v>
      </c>
      <c r="BA137" s="50">
        <f t="shared" si="106"/>
        <v>0</v>
      </c>
      <c r="BB137" s="41">
        <f t="shared" si="107"/>
        <v>0</v>
      </c>
      <c r="BC137" s="41">
        <f t="shared" si="108"/>
        <v>0</v>
      </c>
      <c r="BD137" s="50">
        <f t="shared" si="109"/>
        <v>0</v>
      </c>
      <c r="BE137" s="41">
        <f t="shared" si="110"/>
        <v>155</v>
      </c>
      <c r="BF137" s="41">
        <f t="shared" si="111"/>
        <v>60</v>
      </c>
      <c r="BG137" s="50">
        <f t="shared" si="112"/>
        <v>125</v>
      </c>
      <c r="BH137" s="41">
        <f t="shared" si="113"/>
        <v>20</v>
      </c>
      <c r="BI137" s="41">
        <f t="shared" si="114"/>
        <v>0</v>
      </c>
      <c r="BJ137" s="48">
        <f t="shared" si="115"/>
        <v>0</v>
      </c>
      <c r="BK137" s="56">
        <f t="shared" si="116"/>
        <v>360</v>
      </c>
      <c r="BL137" s="41">
        <f t="shared" si="117"/>
        <v>0</v>
      </c>
      <c r="BM137" s="41">
        <f t="shared" si="118"/>
        <v>0</v>
      </c>
      <c r="BN137" s="41">
        <f t="shared" si="119"/>
        <v>340</v>
      </c>
      <c r="BO137" s="41">
        <f t="shared" si="120"/>
        <v>20</v>
      </c>
    </row>
    <row r="138" spans="1:67" ht="13.5" customHeight="1" x14ac:dyDescent="0.25">
      <c r="A138" s="36" t="s">
        <v>71</v>
      </c>
      <c r="B138" s="70" t="s">
        <v>180</v>
      </c>
      <c r="C138" s="34">
        <v>0</v>
      </c>
      <c r="D138" s="34">
        <v>0</v>
      </c>
      <c r="E138" s="52">
        <v>0</v>
      </c>
      <c r="F138" s="34">
        <v>0</v>
      </c>
      <c r="G138" s="34">
        <v>0</v>
      </c>
      <c r="H138" s="52">
        <v>0</v>
      </c>
      <c r="I138" s="34">
        <v>0</v>
      </c>
      <c r="J138" s="34">
        <v>0</v>
      </c>
      <c r="K138" s="52">
        <v>0</v>
      </c>
      <c r="L138" s="34">
        <v>40</v>
      </c>
      <c r="M138" s="34">
        <v>40</v>
      </c>
      <c r="N138" s="46">
        <v>40</v>
      </c>
      <c r="O138" s="34">
        <v>0</v>
      </c>
      <c r="P138" s="34">
        <v>0</v>
      </c>
      <c r="Q138" s="52">
        <v>0</v>
      </c>
      <c r="R138" s="34">
        <v>0</v>
      </c>
      <c r="S138" s="34">
        <v>0</v>
      </c>
      <c r="T138" s="52">
        <v>0</v>
      </c>
      <c r="U138" s="34">
        <v>0</v>
      </c>
      <c r="V138" s="34">
        <v>0</v>
      </c>
      <c r="W138" s="52">
        <v>0</v>
      </c>
      <c r="X138" s="34">
        <v>0</v>
      </c>
      <c r="Y138" s="34">
        <v>0</v>
      </c>
      <c r="Z138" s="46">
        <v>0</v>
      </c>
      <c r="AA138" s="34">
        <v>6</v>
      </c>
      <c r="AB138" s="34">
        <v>0</v>
      </c>
      <c r="AC138" s="52">
        <v>0</v>
      </c>
      <c r="AD138" s="34">
        <v>6</v>
      </c>
      <c r="AE138" s="34">
        <v>0</v>
      </c>
      <c r="AF138" s="52">
        <v>0</v>
      </c>
      <c r="AG138" s="34">
        <v>6</v>
      </c>
      <c r="AH138" s="34">
        <v>25</v>
      </c>
      <c r="AI138" s="52">
        <v>25</v>
      </c>
      <c r="AJ138" s="34">
        <v>56</v>
      </c>
      <c r="AK138" s="34">
        <v>35</v>
      </c>
      <c r="AL138" s="46">
        <v>25</v>
      </c>
      <c r="AM138" s="34">
        <v>0</v>
      </c>
      <c r="AN138" s="34">
        <v>0</v>
      </c>
      <c r="AO138" s="52">
        <v>0</v>
      </c>
      <c r="AP138" s="34">
        <v>0</v>
      </c>
      <c r="AQ138" s="34">
        <v>0</v>
      </c>
      <c r="AR138" s="52">
        <v>0</v>
      </c>
      <c r="AS138" s="34">
        <v>15</v>
      </c>
      <c r="AT138" s="34">
        <v>5</v>
      </c>
      <c r="AU138" s="52">
        <v>5</v>
      </c>
      <c r="AV138" s="34">
        <v>20</v>
      </c>
      <c r="AW138" s="34">
        <v>5</v>
      </c>
      <c r="AX138" s="46">
        <v>5</v>
      </c>
      <c r="AY138" s="41">
        <f t="shared" si="104"/>
        <v>6</v>
      </c>
      <c r="AZ138" s="41">
        <f t="shared" si="105"/>
        <v>0</v>
      </c>
      <c r="BA138" s="50">
        <f t="shared" si="106"/>
        <v>0</v>
      </c>
      <c r="BB138" s="41">
        <f t="shared" si="107"/>
        <v>6</v>
      </c>
      <c r="BC138" s="41">
        <f t="shared" si="108"/>
        <v>0</v>
      </c>
      <c r="BD138" s="50">
        <f t="shared" si="109"/>
        <v>0</v>
      </c>
      <c r="BE138" s="41">
        <f t="shared" si="110"/>
        <v>21</v>
      </c>
      <c r="BF138" s="41">
        <f t="shared" si="111"/>
        <v>30</v>
      </c>
      <c r="BG138" s="50">
        <f t="shared" si="112"/>
        <v>30</v>
      </c>
      <c r="BH138" s="41">
        <f t="shared" si="113"/>
        <v>116</v>
      </c>
      <c r="BI138" s="41">
        <f t="shared" si="114"/>
        <v>80</v>
      </c>
      <c r="BJ138" s="48">
        <f t="shared" si="115"/>
        <v>70</v>
      </c>
      <c r="BK138" s="56">
        <f t="shared" si="116"/>
        <v>359</v>
      </c>
      <c r="BL138" s="41">
        <f t="shared" si="117"/>
        <v>6</v>
      </c>
      <c r="BM138" s="41">
        <f t="shared" si="118"/>
        <v>6</v>
      </c>
      <c r="BN138" s="41">
        <f t="shared" si="119"/>
        <v>81</v>
      </c>
      <c r="BO138" s="41">
        <f t="shared" si="120"/>
        <v>266</v>
      </c>
    </row>
    <row r="139" spans="1:67" ht="13.5" customHeight="1" x14ac:dyDescent="0.25">
      <c r="A139" s="36" t="s">
        <v>72</v>
      </c>
      <c r="B139" s="70" t="s">
        <v>113</v>
      </c>
      <c r="C139" s="34">
        <v>50</v>
      </c>
      <c r="D139" s="34">
        <v>40</v>
      </c>
      <c r="E139" s="52">
        <v>50</v>
      </c>
      <c r="F139" s="34">
        <v>0</v>
      </c>
      <c r="G139" s="34">
        <v>40</v>
      </c>
      <c r="H139" s="52">
        <v>0</v>
      </c>
      <c r="I139" s="34">
        <v>0</v>
      </c>
      <c r="J139" s="34">
        <v>0</v>
      </c>
      <c r="K139" s="52">
        <v>0</v>
      </c>
      <c r="L139" s="34">
        <v>0</v>
      </c>
      <c r="M139" s="34">
        <v>0</v>
      </c>
      <c r="N139" s="46">
        <v>0</v>
      </c>
      <c r="O139" s="34">
        <v>0</v>
      </c>
      <c r="P139" s="34">
        <v>0</v>
      </c>
      <c r="Q139" s="52">
        <v>0</v>
      </c>
      <c r="R139" s="34">
        <v>0</v>
      </c>
      <c r="S139" s="34">
        <v>0</v>
      </c>
      <c r="T139" s="52">
        <v>0</v>
      </c>
      <c r="U139" s="34">
        <v>0</v>
      </c>
      <c r="V139" s="34">
        <v>0</v>
      </c>
      <c r="W139" s="52">
        <v>0</v>
      </c>
      <c r="X139" s="34">
        <v>0</v>
      </c>
      <c r="Y139" s="34">
        <v>0</v>
      </c>
      <c r="Z139" s="46">
        <v>0</v>
      </c>
      <c r="AA139" s="34">
        <v>70</v>
      </c>
      <c r="AB139" s="34">
        <v>70</v>
      </c>
      <c r="AC139" s="52">
        <v>10</v>
      </c>
      <c r="AD139" s="34">
        <v>0</v>
      </c>
      <c r="AE139" s="34">
        <v>0</v>
      </c>
      <c r="AF139" s="52">
        <v>0</v>
      </c>
      <c r="AG139" s="34">
        <v>0</v>
      </c>
      <c r="AH139" s="34">
        <v>0</v>
      </c>
      <c r="AI139" s="52">
        <v>0</v>
      </c>
      <c r="AJ139" s="34">
        <v>0</v>
      </c>
      <c r="AK139" s="34">
        <v>0</v>
      </c>
      <c r="AL139" s="46">
        <v>0</v>
      </c>
      <c r="AM139" s="34">
        <v>5</v>
      </c>
      <c r="AN139" s="34">
        <v>10</v>
      </c>
      <c r="AO139" s="52">
        <v>10</v>
      </c>
      <c r="AP139" s="34">
        <v>0</v>
      </c>
      <c r="AQ139" s="34">
        <v>0</v>
      </c>
      <c r="AR139" s="52">
        <v>0</v>
      </c>
      <c r="AS139" s="34">
        <v>0</v>
      </c>
      <c r="AT139" s="34">
        <v>0</v>
      </c>
      <c r="AU139" s="52">
        <v>0</v>
      </c>
      <c r="AV139" s="34">
        <v>0</v>
      </c>
      <c r="AW139" s="34">
        <v>0</v>
      </c>
      <c r="AX139" s="46">
        <v>0</v>
      </c>
      <c r="AY139" s="41">
        <f t="shared" si="104"/>
        <v>125</v>
      </c>
      <c r="AZ139" s="41">
        <f t="shared" si="105"/>
        <v>120</v>
      </c>
      <c r="BA139" s="50">
        <f t="shared" si="106"/>
        <v>70</v>
      </c>
      <c r="BB139" s="41">
        <f t="shared" si="107"/>
        <v>0</v>
      </c>
      <c r="BC139" s="41">
        <f t="shared" si="108"/>
        <v>40</v>
      </c>
      <c r="BD139" s="50">
        <f t="shared" si="109"/>
        <v>0</v>
      </c>
      <c r="BE139" s="41">
        <f t="shared" si="110"/>
        <v>0</v>
      </c>
      <c r="BF139" s="41">
        <f t="shared" si="111"/>
        <v>0</v>
      </c>
      <c r="BG139" s="50">
        <f t="shared" si="112"/>
        <v>0</v>
      </c>
      <c r="BH139" s="41">
        <f t="shared" si="113"/>
        <v>0</v>
      </c>
      <c r="BI139" s="41">
        <f t="shared" si="114"/>
        <v>0</v>
      </c>
      <c r="BJ139" s="48">
        <f t="shared" si="115"/>
        <v>0</v>
      </c>
      <c r="BK139" s="56">
        <f t="shared" si="116"/>
        <v>355</v>
      </c>
      <c r="BL139" s="41">
        <f t="shared" si="117"/>
        <v>315</v>
      </c>
      <c r="BM139" s="41">
        <f t="shared" si="118"/>
        <v>40</v>
      </c>
      <c r="BN139" s="41">
        <f t="shared" si="119"/>
        <v>0</v>
      </c>
      <c r="BO139" s="41">
        <f t="shared" si="120"/>
        <v>0</v>
      </c>
    </row>
    <row r="140" spans="1:67" ht="13.5" customHeight="1" x14ac:dyDescent="0.25">
      <c r="A140" s="36" t="s">
        <v>73</v>
      </c>
      <c r="B140" s="70" t="s">
        <v>206</v>
      </c>
      <c r="C140" s="34">
        <v>50</v>
      </c>
      <c r="D140" s="34">
        <v>0</v>
      </c>
      <c r="E140" s="52">
        <v>50</v>
      </c>
      <c r="F140" s="34">
        <v>0</v>
      </c>
      <c r="G140" s="34">
        <v>0</v>
      </c>
      <c r="H140" s="52">
        <v>0</v>
      </c>
      <c r="I140" s="34">
        <v>0</v>
      </c>
      <c r="J140" s="34">
        <v>0</v>
      </c>
      <c r="K140" s="52">
        <v>0</v>
      </c>
      <c r="L140" s="34">
        <v>0</v>
      </c>
      <c r="M140" s="34">
        <v>0</v>
      </c>
      <c r="N140" s="46">
        <v>0</v>
      </c>
      <c r="O140" s="34">
        <v>0</v>
      </c>
      <c r="P140" s="34">
        <v>0</v>
      </c>
      <c r="Q140" s="52">
        <v>0</v>
      </c>
      <c r="R140" s="34">
        <v>0</v>
      </c>
      <c r="S140" s="34">
        <v>0</v>
      </c>
      <c r="T140" s="52">
        <v>0</v>
      </c>
      <c r="U140" s="34">
        <v>0</v>
      </c>
      <c r="V140" s="34">
        <v>0</v>
      </c>
      <c r="W140" s="52">
        <v>0</v>
      </c>
      <c r="X140" s="34">
        <v>0</v>
      </c>
      <c r="Y140" s="34">
        <v>0</v>
      </c>
      <c r="Z140" s="46">
        <v>0</v>
      </c>
      <c r="AA140" s="34">
        <v>60</v>
      </c>
      <c r="AB140" s="34">
        <v>50</v>
      </c>
      <c r="AC140" s="52">
        <v>20</v>
      </c>
      <c r="AD140" s="34">
        <v>40</v>
      </c>
      <c r="AE140" s="34">
        <v>40</v>
      </c>
      <c r="AF140" s="52">
        <v>0</v>
      </c>
      <c r="AG140" s="34">
        <v>0</v>
      </c>
      <c r="AH140" s="34">
        <v>0</v>
      </c>
      <c r="AI140" s="52">
        <v>0</v>
      </c>
      <c r="AJ140" s="34">
        <v>0</v>
      </c>
      <c r="AK140" s="34">
        <v>0</v>
      </c>
      <c r="AL140" s="46">
        <v>0</v>
      </c>
      <c r="AM140" s="34">
        <v>25</v>
      </c>
      <c r="AN140" s="34">
        <v>10</v>
      </c>
      <c r="AO140" s="52">
        <v>10</v>
      </c>
      <c r="AP140" s="34">
        <v>0</v>
      </c>
      <c r="AQ140" s="34">
        <v>0</v>
      </c>
      <c r="AR140" s="52">
        <v>0</v>
      </c>
      <c r="AS140" s="34">
        <v>0</v>
      </c>
      <c r="AT140" s="34">
        <v>0</v>
      </c>
      <c r="AU140" s="52">
        <v>0</v>
      </c>
      <c r="AV140" s="34">
        <v>0</v>
      </c>
      <c r="AW140" s="34">
        <v>0</v>
      </c>
      <c r="AX140" s="46">
        <v>0</v>
      </c>
      <c r="AY140" s="41">
        <f t="shared" si="104"/>
        <v>135</v>
      </c>
      <c r="AZ140" s="41">
        <f t="shared" si="105"/>
        <v>60</v>
      </c>
      <c r="BA140" s="50">
        <f t="shared" si="106"/>
        <v>80</v>
      </c>
      <c r="BB140" s="41">
        <f t="shared" si="107"/>
        <v>40</v>
      </c>
      <c r="BC140" s="41">
        <f t="shared" si="108"/>
        <v>40</v>
      </c>
      <c r="BD140" s="50">
        <f t="shared" si="109"/>
        <v>0</v>
      </c>
      <c r="BE140" s="41">
        <f t="shared" si="110"/>
        <v>0</v>
      </c>
      <c r="BF140" s="41">
        <f t="shared" si="111"/>
        <v>0</v>
      </c>
      <c r="BG140" s="50">
        <f t="shared" si="112"/>
        <v>0</v>
      </c>
      <c r="BH140" s="41">
        <f t="shared" si="113"/>
        <v>0</v>
      </c>
      <c r="BI140" s="41">
        <f t="shared" si="114"/>
        <v>0</v>
      </c>
      <c r="BJ140" s="48">
        <f t="shared" si="115"/>
        <v>0</v>
      </c>
      <c r="BK140" s="56">
        <f t="shared" si="116"/>
        <v>355</v>
      </c>
      <c r="BL140" s="41">
        <f t="shared" si="117"/>
        <v>275</v>
      </c>
      <c r="BM140" s="41">
        <f t="shared" si="118"/>
        <v>80</v>
      </c>
      <c r="BN140" s="41">
        <f t="shared" si="119"/>
        <v>0</v>
      </c>
      <c r="BO140" s="41">
        <f t="shared" si="120"/>
        <v>0</v>
      </c>
    </row>
    <row r="141" spans="1:67" ht="13.5" customHeight="1" x14ac:dyDescent="0.25">
      <c r="A141" s="36" t="s">
        <v>74</v>
      </c>
      <c r="B141" s="62" t="s">
        <v>799</v>
      </c>
      <c r="C141" s="41">
        <v>0</v>
      </c>
      <c r="D141" s="41">
        <v>0</v>
      </c>
      <c r="E141" s="50">
        <v>0</v>
      </c>
      <c r="F141" s="41">
        <v>0</v>
      </c>
      <c r="G141" s="41">
        <v>0</v>
      </c>
      <c r="H141" s="50">
        <v>0</v>
      </c>
      <c r="I141" s="41">
        <v>0</v>
      </c>
      <c r="J141" s="41">
        <v>40</v>
      </c>
      <c r="K141" s="50">
        <v>0</v>
      </c>
      <c r="L141" s="41">
        <v>55</v>
      </c>
      <c r="M141" s="41">
        <v>40</v>
      </c>
      <c r="N141" s="46">
        <v>55</v>
      </c>
      <c r="O141" s="41">
        <v>0</v>
      </c>
      <c r="P141" s="41">
        <v>0</v>
      </c>
      <c r="Q141" s="50">
        <v>0</v>
      </c>
      <c r="R141" s="41">
        <v>0</v>
      </c>
      <c r="S141" s="41">
        <v>0</v>
      </c>
      <c r="T141" s="50">
        <v>0</v>
      </c>
      <c r="U141" s="41">
        <v>0</v>
      </c>
      <c r="V141" s="41">
        <v>0</v>
      </c>
      <c r="W141" s="52">
        <v>0</v>
      </c>
      <c r="X141" s="41">
        <v>0</v>
      </c>
      <c r="Y141" s="41">
        <v>0</v>
      </c>
      <c r="Z141" s="48">
        <v>0</v>
      </c>
      <c r="AA141" s="41">
        <v>0</v>
      </c>
      <c r="AB141" s="41">
        <v>0</v>
      </c>
      <c r="AC141" s="50">
        <v>0</v>
      </c>
      <c r="AD141" s="41">
        <v>0</v>
      </c>
      <c r="AE141" s="41">
        <v>0</v>
      </c>
      <c r="AF141" s="50">
        <v>0</v>
      </c>
      <c r="AG141" s="41">
        <v>10</v>
      </c>
      <c r="AH141" s="41">
        <v>0</v>
      </c>
      <c r="AI141" s="50">
        <v>0</v>
      </c>
      <c r="AJ141" s="41">
        <v>85</v>
      </c>
      <c r="AK141" s="41">
        <v>10</v>
      </c>
      <c r="AL141" s="48">
        <v>20</v>
      </c>
      <c r="AM141" s="41">
        <v>0</v>
      </c>
      <c r="AN141" s="41">
        <v>0</v>
      </c>
      <c r="AO141" s="50">
        <v>0</v>
      </c>
      <c r="AP141" s="41">
        <v>0</v>
      </c>
      <c r="AQ141" s="41">
        <v>0</v>
      </c>
      <c r="AR141" s="50">
        <v>0</v>
      </c>
      <c r="AS141" s="41">
        <v>0</v>
      </c>
      <c r="AT141" s="41">
        <v>0</v>
      </c>
      <c r="AU141" s="50">
        <v>0</v>
      </c>
      <c r="AV141" s="41">
        <v>10</v>
      </c>
      <c r="AW141" s="41">
        <v>10</v>
      </c>
      <c r="AX141" s="48">
        <v>10</v>
      </c>
      <c r="AY141" s="41">
        <f t="shared" si="104"/>
        <v>0</v>
      </c>
      <c r="AZ141" s="41">
        <f t="shared" si="105"/>
        <v>0</v>
      </c>
      <c r="BA141" s="50">
        <f t="shared" si="106"/>
        <v>0</v>
      </c>
      <c r="BB141" s="41">
        <f t="shared" si="107"/>
        <v>0</v>
      </c>
      <c r="BC141" s="41">
        <f t="shared" si="108"/>
        <v>0</v>
      </c>
      <c r="BD141" s="50">
        <f t="shared" si="109"/>
        <v>0</v>
      </c>
      <c r="BE141" s="41">
        <f t="shared" si="110"/>
        <v>10</v>
      </c>
      <c r="BF141" s="41">
        <f t="shared" si="111"/>
        <v>40</v>
      </c>
      <c r="BG141" s="50">
        <f t="shared" si="112"/>
        <v>0</v>
      </c>
      <c r="BH141" s="41">
        <f t="shared" si="113"/>
        <v>150</v>
      </c>
      <c r="BI141" s="41">
        <f t="shared" si="114"/>
        <v>60</v>
      </c>
      <c r="BJ141" s="48">
        <f t="shared" si="115"/>
        <v>85</v>
      </c>
      <c r="BK141" s="56">
        <f t="shared" si="116"/>
        <v>345</v>
      </c>
      <c r="BL141" s="41">
        <f t="shared" si="117"/>
        <v>0</v>
      </c>
      <c r="BM141" s="41">
        <f t="shared" si="118"/>
        <v>0</v>
      </c>
      <c r="BN141" s="41">
        <f t="shared" si="119"/>
        <v>50</v>
      </c>
      <c r="BO141" s="41">
        <f t="shared" si="120"/>
        <v>295</v>
      </c>
    </row>
    <row r="142" spans="1:67" ht="13.5" customHeight="1" x14ac:dyDescent="0.25">
      <c r="A142" s="36" t="s">
        <v>75</v>
      </c>
      <c r="B142" s="67" t="s">
        <v>676</v>
      </c>
      <c r="C142" s="34">
        <v>0</v>
      </c>
      <c r="D142" s="34">
        <v>45</v>
      </c>
      <c r="E142" s="52">
        <v>0</v>
      </c>
      <c r="F142" s="34">
        <v>0</v>
      </c>
      <c r="G142" s="34">
        <v>45</v>
      </c>
      <c r="H142" s="52">
        <v>0</v>
      </c>
      <c r="I142" s="34">
        <v>0</v>
      </c>
      <c r="J142" s="34">
        <v>0</v>
      </c>
      <c r="K142" s="52">
        <v>0</v>
      </c>
      <c r="L142" s="34">
        <v>50</v>
      </c>
      <c r="M142" s="34">
        <v>0</v>
      </c>
      <c r="N142" s="46">
        <v>0</v>
      </c>
      <c r="O142" s="34">
        <v>0</v>
      </c>
      <c r="P142" s="34">
        <v>0</v>
      </c>
      <c r="Q142" s="52">
        <v>0</v>
      </c>
      <c r="R142" s="34">
        <v>0</v>
      </c>
      <c r="S142" s="34">
        <v>0</v>
      </c>
      <c r="T142" s="52">
        <v>0</v>
      </c>
      <c r="U142" s="34">
        <v>0</v>
      </c>
      <c r="V142" s="34">
        <v>0</v>
      </c>
      <c r="W142" s="52">
        <v>0</v>
      </c>
      <c r="X142" s="34">
        <v>0</v>
      </c>
      <c r="Y142" s="34">
        <v>0</v>
      </c>
      <c r="Z142" s="46">
        <v>0</v>
      </c>
      <c r="AA142" s="34">
        <v>6</v>
      </c>
      <c r="AB142" s="34">
        <v>30</v>
      </c>
      <c r="AC142" s="52">
        <v>0</v>
      </c>
      <c r="AD142" s="34">
        <v>6</v>
      </c>
      <c r="AE142" s="34">
        <v>30</v>
      </c>
      <c r="AF142" s="52">
        <v>0</v>
      </c>
      <c r="AG142" s="34">
        <v>6</v>
      </c>
      <c r="AH142" s="34">
        <v>30</v>
      </c>
      <c r="AI142" s="52">
        <v>0</v>
      </c>
      <c r="AJ142" s="34">
        <v>46</v>
      </c>
      <c r="AK142" s="34">
        <v>40</v>
      </c>
      <c r="AL142" s="46">
        <v>10</v>
      </c>
      <c r="AM142" s="34">
        <v>0</v>
      </c>
      <c r="AN142" s="34">
        <v>0</v>
      </c>
      <c r="AO142" s="52">
        <v>0</v>
      </c>
      <c r="AP142" s="34">
        <v>0</v>
      </c>
      <c r="AQ142" s="34">
        <v>0</v>
      </c>
      <c r="AR142" s="52">
        <v>0</v>
      </c>
      <c r="AS142" s="34">
        <v>0</v>
      </c>
      <c r="AT142" s="34">
        <v>0</v>
      </c>
      <c r="AU142" s="52">
        <v>0</v>
      </c>
      <c r="AV142" s="34">
        <v>0</v>
      </c>
      <c r="AW142" s="34">
        <v>0</v>
      </c>
      <c r="AX142" s="46">
        <v>0</v>
      </c>
      <c r="AY142" s="34">
        <f t="shared" si="104"/>
        <v>6</v>
      </c>
      <c r="AZ142" s="34">
        <f t="shared" si="105"/>
        <v>75</v>
      </c>
      <c r="BA142" s="52">
        <f t="shared" si="106"/>
        <v>0</v>
      </c>
      <c r="BB142" s="34">
        <f t="shared" si="107"/>
        <v>6</v>
      </c>
      <c r="BC142" s="34">
        <f t="shared" si="108"/>
        <v>75</v>
      </c>
      <c r="BD142" s="52">
        <f t="shared" si="109"/>
        <v>0</v>
      </c>
      <c r="BE142" s="34">
        <f t="shared" si="110"/>
        <v>6</v>
      </c>
      <c r="BF142" s="34">
        <f t="shared" si="111"/>
        <v>30</v>
      </c>
      <c r="BG142" s="52">
        <f t="shared" si="112"/>
        <v>0</v>
      </c>
      <c r="BH142" s="34">
        <f t="shared" si="113"/>
        <v>96</v>
      </c>
      <c r="BI142" s="34">
        <f t="shared" si="114"/>
        <v>40</v>
      </c>
      <c r="BJ142" s="46">
        <f t="shared" si="115"/>
        <v>10</v>
      </c>
      <c r="BK142" s="57">
        <f t="shared" si="116"/>
        <v>344</v>
      </c>
      <c r="BL142" s="34">
        <f t="shared" si="117"/>
        <v>81</v>
      </c>
      <c r="BM142" s="34">
        <f t="shared" si="118"/>
        <v>81</v>
      </c>
      <c r="BN142" s="34">
        <f t="shared" si="119"/>
        <v>36</v>
      </c>
      <c r="BO142" s="34">
        <f t="shared" si="120"/>
        <v>146</v>
      </c>
    </row>
    <row r="143" spans="1:67" ht="13.5" customHeight="1" x14ac:dyDescent="0.25">
      <c r="A143" s="36" t="s">
        <v>76</v>
      </c>
      <c r="B143" s="70" t="s">
        <v>112</v>
      </c>
      <c r="C143" s="34">
        <v>45</v>
      </c>
      <c r="D143" s="34">
        <v>35</v>
      </c>
      <c r="E143" s="52">
        <v>35</v>
      </c>
      <c r="F143" s="34">
        <v>0</v>
      </c>
      <c r="G143" s="34">
        <v>35</v>
      </c>
      <c r="H143" s="52">
        <v>35</v>
      </c>
      <c r="I143" s="34">
        <v>0</v>
      </c>
      <c r="J143" s="34">
        <v>0</v>
      </c>
      <c r="K143" s="52">
        <v>0</v>
      </c>
      <c r="L143" s="34">
        <v>0</v>
      </c>
      <c r="M143" s="34">
        <v>0</v>
      </c>
      <c r="N143" s="46">
        <v>0</v>
      </c>
      <c r="O143" s="34">
        <v>0</v>
      </c>
      <c r="P143" s="34">
        <v>0</v>
      </c>
      <c r="Q143" s="52">
        <v>0</v>
      </c>
      <c r="R143" s="34">
        <v>0</v>
      </c>
      <c r="S143" s="34">
        <v>0</v>
      </c>
      <c r="T143" s="52">
        <v>0</v>
      </c>
      <c r="U143" s="34">
        <v>0</v>
      </c>
      <c r="V143" s="34">
        <v>0</v>
      </c>
      <c r="W143" s="52">
        <v>0</v>
      </c>
      <c r="X143" s="34">
        <v>0</v>
      </c>
      <c r="Y143" s="34">
        <v>0</v>
      </c>
      <c r="Z143" s="46">
        <v>0</v>
      </c>
      <c r="AA143" s="34">
        <v>70</v>
      </c>
      <c r="AB143" s="34">
        <v>35</v>
      </c>
      <c r="AC143" s="52">
        <v>10</v>
      </c>
      <c r="AD143" s="34">
        <v>0</v>
      </c>
      <c r="AE143" s="34">
        <v>0</v>
      </c>
      <c r="AF143" s="52">
        <v>0</v>
      </c>
      <c r="AG143" s="34">
        <v>0</v>
      </c>
      <c r="AH143" s="34">
        <v>0</v>
      </c>
      <c r="AI143" s="52">
        <v>0</v>
      </c>
      <c r="AJ143" s="34">
        <v>0</v>
      </c>
      <c r="AK143" s="34">
        <v>0</v>
      </c>
      <c r="AL143" s="46">
        <v>0</v>
      </c>
      <c r="AM143" s="34">
        <v>10</v>
      </c>
      <c r="AN143" s="34">
        <v>10</v>
      </c>
      <c r="AO143" s="52">
        <v>10</v>
      </c>
      <c r="AP143" s="34">
        <v>0</v>
      </c>
      <c r="AQ143" s="34">
        <v>0</v>
      </c>
      <c r="AR143" s="52">
        <v>0</v>
      </c>
      <c r="AS143" s="34">
        <v>0</v>
      </c>
      <c r="AT143" s="34">
        <v>0</v>
      </c>
      <c r="AU143" s="52">
        <v>0</v>
      </c>
      <c r="AV143" s="34">
        <v>0</v>
      </c>
      <c r="AW143" s="34">
        <v>0</v>
      </c>
      <c r="AX143" s="46">
        <v>0</v>
      </c>
      <c r="AY143" s="34">
        <f t="shared" si="104"/>
        <v>125</v>
      </c>
      <c r="AZ143" s="34">
        <f t="shared" si="105"/>
        <v>80</v>
      </c>
      <c r="BA143" s="52">
        <f t="shared" si="106"/>
        <v>55</v>
      </c>
      <c r="BB143" s="34">
        <f t="shared" si="107"/>
        <v>0</v>
      </c>
      <c r="BC143" s="34">
        <f t="shared" si="108"/>
        <v>35</v>
      </c>
      <c r="BD143" s="52">
        <f t="shared" si="109"/>
        <v>35</v>
      </c>
      <c r="BE143" s="34">
        <f t="shared" si="110"/>
        <v>0</v>
      </c>
      <c r="BF143" s="34">
        <f t="shared" si="111"/>
        <v>0</v>
      </c>
      <c r="BG143" s="52">
        <f t="shared" si="112"/>
        <v>0</v>
      </c>
      <c r="BH143" s="34">
        <f t="shared" si="113"/>
        <v>0</v>
      </c>
      <c r="BI143" s="34">
        <f t="shared" si="114"/>
        <v>0</v>
      </c>
      <c r="BJ143" s="46">
        <f t="shared" si="115"/>
        <v>0</v>
      </c>
      <c r="BK143" s="57">
        <f t="shared" si="116"/>
        <v>330</v>
      </c>
      <c r="BL143" s="34">
        <f t="shared" si="117"/>
        <v>260</v>
      </c>
      <c r="BM143" s="34">
        <f t="shared" si="118"/>
        <v>70</v>
      </c>
      <c r="BN143" s="34">
        <f t="shared" si="119"/>
        <v>0</v>
      </c>
      <c r="BO143" s="34">
        <f t="shared" si="120"/>
        <v>0</v>
      </c>
    </row>
    <row r="144" spans="1:67" ht="13.5" customHeight="1" x14ac:dyDescent="0.25">
      <c r="A144" s="36" t="s">
        <v>77</v>
      </c>
      <c r="B144" s="67" t="s">
        <v>87</v>
      </c>
      <c r="C144" s="34">
        <v>0</v>
      </c>
      <c r="D144" s="34">
        <v>35</v>
      </c>
      <c r="E144" s="52">
        <v>0</v>
      </c>
      <c r="F144" s="34">
        <v>45</v>
      </c>
      <c r="G144" s="34">
        <v>35</v>
      </c>
      <c r="H144" s="52">
        <v>45</v>
      </c>
      <c r="I144" s="34">
        <v>0</v>
      </c>
      <c r="J144" s="34">
        <v>0</v>
      </c>
      <c r="K144" s="52">
        <v>0</v>
      </c>
      <c r="L144" s="34">
        <v>0</v>
      </c>
      <c r="M144" s="34">
        <v>0</v>
      </c>
      <c r="N144" s="46">
        <v>0</v>
      </c>
      <c r="O144" s="34">
        <v>0</v>
      </c>
      <c r="P144" s="34">
        <v>0</v>
      </c>
      <c r="Q144" s="52">
        <v>0</v>
      </c>
      <c r="R144" s="34">
        <v>0</v>
      </c>
      <c r="S144" s="34">
        <v>0</v>
      </c>
      <c r="T144" s="52">
        <v>0</v>
      </c>
      <c r="U144" s="34">
        <v>0</v>
      </c>
      <c r="V144" s="34">
        <v>0</v>
      </c>
      <c r="W144" s="52">
        <v>0</v>
      </c>
      <c r="X144" s="34">
        <v>0</v>
      </c>
      <c r="Y144" s="34">
        <v>0</v>
      </c>
      <c r="Z144" s="46">
        <v>0</v>
      </c>
      <c r="AA144" s="34">
        <v>0</v>
      </c>
      <c r="AB144" s="34">
        <v>0</v>
      </c>
      <c r="AC144" s="52">
        <v>0</v>
      </c>
      <c r="AD144" s="34">
        <v>50</v>
      </c>
      <c r="AE144" s="34">
        <v>50</v>
      </c>
      <c r="AF144" s="52">
        <v>50</v>
      </c>
      <c r="AG144" s="34">
        <v>0</v>
      </c>
      <c r="AH144" s="34">
        <v>0</v>
      </c>
      <c r="AI144" s="52">
        <v>0</v>
      </c>
      <c r="AJ144" s="34">
        <v>0</v>
      </c>
      <c r="AK144" s="34">
        <v>0</v>
      </c>
      <c r="AL144" s="46">
        <v>0</v>
      </c>
      <c r="AM144" s="34">
        <v>0</v>
      </c>
      <c r="AN144" s="34">
        <v>0</v>
      </c>
      <c r="AO144" s="52">
        <v>0</v>
      </c>
      <c r="AP144" s="34">
        <v>10</v>
      </c>
      <c r="AQ144" s="34">
        <v>5</v>
      </c>
      <c r="AR144" s="52">
        <v>5</v>
      </c>
      <c r="AS144" s="34">
        <v>0</v>
      </c>
      <c r="AT144" s="34">
        <v>0</v>
      </c>
      <c r="AU144" s="52">
        <v>0</v>
      </c>
      <c r="AV144" s="34">
        <v>0</v>
      </c>
      <c r="AW144" s="34">
        <v>0</v>
      </c>
      <c r="AX144" s="46">
        <v>0</v>
      </c>
      <c r="AY144" s="34">
        <f t="shared" si="104"/>
        <v>0</v>
      </c>
      <c r="AZ144" s="34">
        <f t="shared" si="105"/>
        <v>35</v>
      </c>
      <c r="BA144" s="52">
        <f t="shared" si="106"/>
        <v>0</v>
      </c>
      <c r="BB144" s="34">
        <f t="shared" si="107"/>
        <v>105</v>
      </c>
      <c r="BC144" s="34">
        <f t="shared" si="108"/>
        <v>90</v>
      </c>
      <c r="BD144" s="52">
        <f t="shared" si="109"/>
        <v>100</v>
      </c>
      <c r="BE144" s="34">
        <f t="shared" si="110"/>
        <v>0</v>
      </c>
      <c r="BF144" s="34">
        <f t="shared" si="111"/>
        <v>0</v>
      </c>
      <c r="BG144" s="52">
        <f t="shared" si="112"/>
        <v>0</v>
      </c>
      <c r="BH144" s="34">
        <f t="shared" si="113"/>
        <v>0</v>
      </c>
      <c r="BI144" s="34">
        <f t="shared" si="114"/>
        <v>0</v>
      </c>
      <c r="BJ144" s="46">
        <f t="shared" si="115"/>
        <v>0</v>
      </c>
      <c r="BK144" s="57">
        <f t="shared" si="116"/>
        <v>330</v>
      </c>
      <c r="BL144" s="34">
        <f t="shared" si="117"/>
        <v>35</v>
      </c>
      <c r="BM144" s="34">
        <f t="shared" si="118"/>
        <v>295</v>
      </c>
      <c r="BN144" s="34">
        <f t="shared" si="119"/>
        <v>0</v>
      </c>
      <c r="BO144" s="34">
        <f t="shared" si="120"/>
        <v>0</v>
      </c>
    </row>
    <row r="145" spans="1:67" ht="13.5" customHeight="1" x14ac:dyDescent="0.25">
      <c r="A145" s="36" t="s">
        <v>78</v>
      </c>
      <c r="B145" s="67" t="s">
        <v>92</v>
      </c>
      <c r="C145" s="34">
        <v>0</v>
      </c>
      <c r="D145" s="34">
        <v>0</v>
      </c>
      <c r="E145" s="52">
        <v>0</v>
      </c>
      <c r="F145" s="34">
        <v>45</v>
      </c>
      <c r="G145" s="34">
        <v>35</v>
      </c>
      <c r="H145" s="52">
        <v>35</v>
      </c>
      <c r="I145" s="34">
        <v>0</v>
      </c>
      <c r="J145" s="34">
        <v>0</v>
      </c>
      <c r="K145" s="52">
        <v>0</v>
      </c>
      <c r="L145" s="34">
        <v>0</v>
      </c>
      <c r="M145" s="34">
        <v>0</v>
      </c>
      <c r="N145" s="46">
        <v>0</v>
      </c>
      <c r="O145" s="34">
        <v>0</v>
      </c>
      <c r="P145" s="34">
        <v>0</v>
      </c>
      <c r="Q145" s="52">
        <v>0</v>
      </c>
      <c r="R145" s="34">
        <v>0</v>
      </c>
      <c r="S145" s="34">
        <v>0</v>
      </c>
      <c r="T145" s="52">
        <v>0</v>
      </c>
      <c r="U145" s="34">
        <v>0</v>
      </c>
      <c r="V145" s="34">
        <v>0</v>
      </c>
      <c r="W145" s="52">
        <v>0</v>
      </c>
      <c r="X145" s="34">
        <v>0</v>
      </c>
      <c r="Y145" s="34">
        <v>0</v>
      </c>
      <c r="Z145" s="46">
        <v>0</v>
      </c>
      <c r="AA145" s="34">
        <v>20</v>
      </c>
      <c r="AB145" s="34">
        <v>0</v>
      </c>
      <c r="AC145" s="52">
        <v>0</v>
      </c>
      <c r="AD145" s="34">
        <v>40</v>
      </c>
      <c r="AE145" s="34">
        <v>50</v>
      </c>
      <c r="AF145" s="52">
        <v>60</v>
      </c>
      <c r="AG145" s="34">
        <v>0</v>
      </c>
      <c r="AH145" s="34">
        <v>0</v>
      </c>
      <c r="AI145" s="52">
        <v>0</v>
      </c>
      <c r="AJ145" s="34">
        <v>0</v>
      </c>
      <c r="AK145" s="34">
        <v>0</v>
      </c>
      <c r="AL145" s="46">
        <v>0</v>
      </c>
      <c r="AM145" s="34">
        <v>0</v>
      </c>
      <c r="AN145" s="34">
        <v>0</v>
      </c>
      <c r="AO145" s="52">
        <v>0</v>
      </c>
      <c r="AP145" s="34">
        <v>10</v>
      </c>
      <c r="AQ145" s="34">
        <v>10</v>
      </c>
      <c r="AR145" s="52">
        <v>10</v>
      </c>
      <c r="AS145" s="34">
        <v>0</v>
      </c>
      <c r="AT145" s="34">
        <v>0</v>
      </c>
      <c r="AU145" s="52">
        <v>0</v>
      </c>
      <c r="AV145" s="34">
        <v>0</v>
      </c>
      <c r="AW145" s="34">
        <v>0</v>
      </c>
      <c r="AX145" s="46">
        <v>0</v>
      </c>
      <c r="AY145" s="34">
        <f t="shared" si="104"/>
        <v>20</v>
      </c>
      <c r="AZ145" s="34">
        <f t="shared" si="105"/>
        <v>0</v>
      </c>
      <c r="BA145" s="52">
        <f t="shared" si="106"/>
        <v>0</v>
      </c>
      <c r="BB145" s="34">
        <f t="shared" si="107"/>
        <v>95</v>
      </c>
      <c r="BC145" s="34">
        <f t="shared" si="108"/>
        <v>95</v>
      </c>
      <c r="BD145" s="52">
        <f t="shared" si="109"/>
        <v>105</v>
      </c>
      <c r="BE145" s="34">
        <f t="shared" si="110"/>
        <v>0</v>
      </c>
      <c r="BF145" s="34">
        <f t="shared" si="111"/>
        <v>0</v>
      </c>
      <c r="BG145" s="52">
        <f t="shared" si="112"/>
        <v>0</v>
      </c>
      <c r="BH145" s="34">
        <f t="shared" si="113"/>
        <v>0</v>
      </c>
      <c r="BI145" s="34">
        <f t="shared" si="114"/>
        <v>0</v>
      </c>
      <c r="BJ145" s="46">
        <f t="shared" si="115"/>
        <v>0</v>
      </c>
      <c r="BK145" s="57">
        <f t="shared" si="116"/>
        <v>315</v>
      </c>
      <c r="BL145" s="34">
        <f t="shared" si="117"/>
        <v>20</v>
      </c>
      <c r="BM145" s="34">
        <f t="shared" si="118"/>
        <v>295</v>
      </c>
      <c r="BN145" s="34">
        <f t="shared" si="119"/>
        <v>0</v>
      </c>
      <c r="BO145" s="34">
        <f t="shared" si="120"/>
        <v>0</v>
      </c>
    </row>
    <row r="146" spans="1:67" ht="13.5" customHeight="1" x14ac:dyDescent="0.25">
      <c r="A146" s="36" t="s">
        <v>79</v>
      </c>
      <c r="B146" s="70" t="s">
        <v>172</v>
      </c>
      <c r="C146" s="34">
        <v>0</v>
      </c>
      <c r="D146" s="34">
        <v>0</v>
      </c>
      <c r="E146" s="52">
        <v>0</v>
      </c>
      <c r="F146" s="34">
        <v>0</v>
      </c>
      <c r="G146" s="34">
        <v>0</v>
      </c>
      <c r="H146" s="52">
        <v>0</v>
      </c>
      <c r="I146" s="34">
        <v>0</v>
      </c>
      <c r="J146" s="34">
        <v>0</v>
      </c>
      <c r="K146" s="52">
        <v>0</v>
      </c>
      <c r="L146" s="34">
        <v>45</v>
      </c>
      <c r="M146" s="34">
        <v>35</v>
      </c>
      <c r="N146" s="46">
        <v>35</v>
      </c>
      <c r="O146" s="34">
        <v>0</v>
      </c>
      <c r="P146" s="34">
        <v>0</v>
      </c>
      <c r="Q146" s="52">
        <v>0</v>
      </c>
      <c r="R146" s="34">
        <v>0</v>
      </c>
      <c r="S146" s="34">
        <v>0</v>
      </c>
      <c r="T146" s="52">
        <v>0</v>
      </c>
      <c r="U146" s="34">
        <v>0</v>
      </c>
      <c r="V146" s="34">
        <v>0</v>
      </c>
      <c r="W146" s="52">
        <v>0</v>
      </c>
      <c r="X146" s="34">
        <v>0</v>
      </c>
      <c r="Y146" s="34">
        <v>0</v>
      </c>
      <c r="Z146" s="46">
        <v>0</v>
      </c>
      <c r="AA146" s="34">
        <v>0</v>
      </c>
      <c r="AB146" s="34">
        <v>0</v>
      </c>
      <c r="AC146" s="52">
        <v>0</v>
      </c>
      <c r="AD146" s="34">
        <v>0</v>
      </c>
      <c r="AE146" s="34">
        <v>0</v>
      </c>
      <c r="AF146" s="52">
        <v>0</v>
      </c>
      <c r="AG146" s="34">
        <v>10</v>
      </c>
      <c r="AH146" s="34">
        <v>0</v>
      </c>
      <c r="AI146" s="52">
        <v>0</v>
      </c>
      <c r="AJ146" s="34">
        <v>75</v>
      </c>
      <c r="AK146" s="34">
        <v>50</v>
      </c>
      <c r="AL146" s="46">
        <v>40</v>
      </c>
      <c r="AM146" s="34">
        <v>0</v>
      </c>
      <c r="AN146" s="34">
        <v>0</v>
      </c>
      <c r="AO146" s="52">
        <v>0</v>
      </c>
      <c r="AP146" s="34">
        <v>0</v>
      </c>
      <c r="AQ146" s="34">
        <v>0</v>
      </c>
      <c r="AR146" s="52">
        <v>0</v>
      </c>
      <c r="AS146" s="34">
        <v>0</v>
      </c>
      <c r="AT146" s="34">
        <v>0</v>
      </c>
      <c r="AU146" s="52">
        <v>0</v>
      </c>
      <c r="AV146" s="34">
        <v>10</v>
      </c>
      <c r="AW146" s="34">
        <v>5</v>
      </c>
      <c r="AX146" s="46">
        <v>10</v>
      </c>
      <c r="AY146" s="41">
        <f t="shared" si="104"/>
        <v>0</v>
      </c>
      <c r="AZ146" s="41">
        <f t="shared" si="105"/>
        <v>0</v>
      </c>
      <c r="BA146" s="50">
        <f t="shared" si="106"/>
        <v>0</v>
      </c>
      <c r="BB146" s="41">
        <f t="shared" si="107"/>
        <v>0</v>
      </c>
      <c r="BC146" s="41">
        <f t="shared" si="108"/>
        <v>0</v>
      </c>
      <c r="BD146" s="50">
        <f t="shared" si="109"/>
        <v>0</v>
      </c>
      <c r="BE146" s="41">
        <f t="shared" si="110"/>
        <v>10</v>
      </c>
      <c r="BF146" s="41">
        <f t="shared" si="111"/>
        <v>0</v>
      </c>
      <c r="BG146" s="50">
        <f t="shared" si="112"/>
        <v>0</v>
      </c>
      <c r="BH146" s="41">
        <f t="shared" si="113"/>
        <v>130</v>
      </c>
      <c r="BI146" s="41">
        <f t="shared" si="114"/>
        <v>90</v>
      </c>
      <c r="BJ146" s="48">
        <f t="shared" si="115"/>
        <v>85</v>
      </c>
      <c r="BK146" s="56">
        <f t="shared" si="116"/>
        <v>315</v>
      </c>
      <c r="BL146" s="41">
        <f t="shared" si="117"/>
        <v>0</v>
      </c>
      <c r="BM146" s="41">
        <f t="shared" si="118"/>
        <v>0</v>
      </c>
      <c r="BN146" s="41">
        <f t="shared" si="119"/>
        <v>10</v>
      </c>
      <c r="BO146" s="41">
        <f t="shared" si="120"/>
        <v>305</v>
      </c>
    </row>
    <row r="147" spans="1:67" ht="13.5" customHeight="1" x14ac:dyDescent="0.25">
      <c r="A147" s="36" t="s">
        <v>80</v>
      </c>
      <c r="B147" s="67" t="s">
        <v>678</v>
      </c>
      <c r="C147" s="34">
        <v>0</v>
      </c>
      <c r="D147" s="34">
        <v>0</v>
      </c>
      <c r="E147" s="52">
        <v>20</v>
      </c>
      <c r="F147" s="34">
        <v>0</v>
      </c>
      <c r="G147" s="34">
        <v>0</v>
      </c>
      <c r="H147" s="52">
        <v>20</v>
      </c>
      <c r="I147" s="34">
        <v>20</v>
      </c>
      <c r="J147" s="34">
        <v>0</v>
      </c>
      <c r="K147" s="52">
        <v>0</v>
      </c>
      <c r="L147" s="34">
        <v>20</v>
      </c>
      <c r="M147" s="34">
        <v>0</v>
      </c>
      <c r="N147" s="46">
        <v>0</v>
      </c>
      <c r="O147" s="34">
        <v>0</v>
      </c>
      <c r="P147" s="34">
        <v>0</v>
      </c>
      <c r="Q147" s="52">
        <v>0</v>
      </c>
      <c r="R147" s="34">
        <v>0</v>
      </c>
      <c r="S147" s="34">
        <v>0</v>
      </c>
      <c r="T147" s="52">
        <v>0</v>
      </c>
      <c r="U147" s="34">
        <v>0</v>
      </c>
      <c r="V147" s="34">
        <v>0</v>
      </c>
      <c r="W147" s="52">
        <v>0</v>
      </c>
      <c r="X147" s="34">
        <v>0</v>
      </c>
      <c r="Y147" s="34">
        <v>0</v>
      </c>
      <c r="Z147" s="46">
        <v>0</v>
      </c>
      <c r="AA147" s="34">
        <v>46</v>
      </c>
      <c r="AB147" s="34">
        <v>0</v>
      </c>
      <c r="AC147" s="52">
        <v>0</v>
      </c>
      <c r="AD147" s="34">
        <v>6</v>
      </c>
      <c r="AE147" s="34">
        <v>0</v>
      </c>
      <c r="AF147" s="52">
        <v>0</v>
      </c>
      <c r="AG147" s="34">
        <v>36</v>
      </c>
      <c r="AH147" s="34">
        <v>10</v>
      </c>
      <c r="AI147" s="52">
        <v>10</v>
      </c>
      <c r="AJ147" s="34">
        <v>36</v>
      </c>
      <c r="AK147" s="34">
        <v>10</v>
      </c>
      <c r="AL147" s="46">
        <v>0</v>
      </c>
      <c r="AM147" s="34">
        <v>0</v>
      </c>
      <c r="AN147" s="34">
        <v>30</v>
      </c>
      <c r="AO147" s="52">
        <v>0</v>
      </c>
      <c r="AP147" s="34">
        <v>0</v>
      </c>
      <c r="AQ147" s="34">
        <v>30</v>
      </c>
      <c r="AR147" s="52">
        <v>0</v>
      </c>
      <c r="AS147" s="34">
        <v>10</v>
      </c>
      <c r="AT147" s="34">
        <v>0</v>
      </c>
      <c r="AU147" s="52">
        <v>0</v>
      </c>
      <c r="AV147" s="34">
        <v>10</v>
      </c>
      <c r="AW147" s="34">
        <v>0</v>
      </c>
      <c r="AX147" s="46">
        <v>0</v>
      </c>
      <c r="AY147" s="34">
        <f t="shared" si="104"/>
        <v>46</v>
      </c>
      <c r="AZ147" s="34">
        <f t="shared" si="105"/>
        <v>30</v>
      </c>
      <c r="BA147" s="52">
        <f t="shared" si="106"/>
        <v>20</v>
      </c>
      <c r="BB147" s="34">
        <f t="shared" si="107"/>
        <v>6</v>
      </c>
      <c r="BC147" s="34">
        <f t="shared" si="108"/>
        <v>30</v>
      </c>
      <c r="BD147" s="52">
        <f t="shared" si="109"/>
        <v>20</v>
      </c>
      <c r="BE147" s="34">
        <f t="shared" si="110"/>
        <v>66</v>
      </c>
      <c r="BF147" s="34">
        <f t="shared" si="111"/>
        <v>10</v>
      </c>
      <c r="BG147" s="52">
        <f t="shared" si="112"/>
        <v>10</v>
      </c>
      <c r="BH147" s="34">
        <f t="shared" si="113"/>
        <v>66</v>
      </c>
      <c r="BI147" s="34">
        <f t="shared" si="114"/>
        <v>10</v>
      </c>
      <c r="BJ147" s="46">
        <f t="shared" si="115"/>
        <v>0</v>
      </c>
      <c r="BK147" s="57">
        <f t="shared" si="116"/>
        <v>314</v>
      </c>
      <c r="BL147" s="34">
        <f t="shared" si="117"/>
        <v>96</v>
      </c>
      <c r="BM147" s="34">
        <f t="shared" si="118"/>
        <v>56</v>
      </c>
      <c r="BN147" s="34">
        <f t="shared" si="119"/>
        <v>86</v>
      </c>
      <c r="BO147" s="34">
        <f t="shared" si="120"/>
        <v>76</v>
      </c>
    </row>
    <row r="148" spans="1:67" ht="13.5" customHeight="1" x14ac:dyDescent="0.25">
      <c r="A148" s="36" t="s">
        <v>81</v>
      </c>
      <c r="B148" s="71" t="s">
        <v>298</v>
      </c>
      <c r="C148" s="34">
        <v>0</v>
      </c>
      <c r="D148" s="34">
        <v>0</v>
      </c>
      <c r="E148" s="52">
        <v>0</v>
      </c>
      <c r="F148" s="34">
        <v>0</v>
      </c>
      <c r="G148" s="34">
        <v>0</v>
      </c>
      <c r="H148" s="52">
        <v>0</v>
      </c>
      <c r="I148" s="34">
        <v>40</v>
      </c>
      <c r="J148" s="34">
        <v>25</v>
      </c>
      <c r="K148" s="52">
        <v>25</v>
      </c>
      <c r="L148" s="34">
        <v>40</v>
      </c>
      <c r="M148" s="34">
        <v>0</v>
      </c>
      <c r="N148" s="46">
        <v>0</v>
      </c>
      <c r="O148" s="34">
        <v>0</v>
      </c>
      <c r="P148" s="34">
        <v>0</v>
      </c>
      <c r="Q148" s="52">
        <v>0</v>
      </c>
      <c r="R148" s="34">
        <v>0</v>
      </c>
      <c r="S148" s="34">
        <v>0</v>
      </c>
      <c r="T148" s="52">
        <v>0</v>
      </c>
      <c r="U148" s="34">
        <v>0</v>
      </c>
      <c r="V148" s="34">
        <v>0</v>
      </c>
      <c r="W148" s="52">
        <v>0</v>
      </c>
      <c r="X148" s="34">
        <v>0</v>
      </c>
      <c r="Y148" s="34">
        <v>0</v>
      </c>
      <c r="Z148" s="46">
        <v>0</v>
      </c>
      <c r="AA148" s="34">
        <v>0</v>
      </c>
      <c r="AB148" s="34">
        <v>0</v>
      </c>
      <c r="AC148" s="52">
        <v>0</v>
      </c>
      <c r="AD148" s="34">
        <v>0</v>
      </c>
      <c r="AE148" s="34">
        <v>0</v>
      </c>
      <c r="AF148" s="52">
        <v>0</v>
      </c>
      <c r="AG148" s="34">
        <v>50</v>
      </c>
      <c r="AH148" s="34">
        <v>50</v>
      </c>
      <c r="AI148" s="52">
        <v>40</v>
      </c>
      <c r="AJ148" s="34">
        <v>10</v>
      </c>
      <c r="AK148" s="34">
        <v>0</v>
      </c>
      <c r="AL148" s="46">
        <v>20</v>
      </c>
      <c r="AM148" s="34">
        <v>0</v>
      </c>
      <c r="AN148" s="34">
        <v>0</v>
      </c>
      <c r="AO148" s="52">
        <v>0</v>
      </c>
      <c r="AP148" s="34">
        <v>0</v>
      </c>
      <c r="AQ148" s="34">
        <v>0</v>
      </c>
      <c r="AR148" s="52">
        <v>0</v>
      </c>
      <c r="AS148" s="34">
        <v>0</v>
      </c>
      <c r="AT148" s="34">
        <v>0</v>
      </c>
      <c r="AU148" s="52">
        <v>0</v>
      </c>
      <c r="AV148" s="34">
        <v>0</v>
      </c>
      <c r="AW148" s="34">
        <v>0</v>
      </c>
      <c r="AX148" s="46">
        <v>0</v>
      </c>
      <c r="AY148" s="41">
        <f t="shared" ref="AY148:AY179" si="121">C148+AA148+AM148</f>
        <v>0</v>
      </c>
      <c r="AZ148" s="41">
        <f t="shared" ref="AZ148:AZ179" si="122">D148+AB148+AN148</f>
        <v>0</v>
      </c>
      <c r="BA148" s="50">
        <f t="shared" ref="BA148:BA179" si="123">E148+AC148+AO148</f>
        <v>0</v>
      </c>
      <c r="BB148" s="41">
        <f t="shared" ref="BB148:BB179" si="124">F148+AD148+AP148</f>
        <v>0</v>
      </c>
      <c r="BC148" s="41">
        <f t="shared" ref="BC148:BC179" si="125">G148+AE148+AQ148</f>
        <v>0</v>
      </c>
      <c r="BD148" s="50">
        <f t="shared" ref="BD148:BD179" si="126">H148+AF148+AR148</f>
        <v>0</v>
      </c>
      <c r="BE148" s="41">
        <f t="shared" ref="BE148:BE179" si="127">I148+AG148+AS148</f>
        <v>90</v>
      </c>
      <c r="BF148" s="41">
        <f t="shared" ref="BF148:BF179" si="128">J148+AH148+AT148</f>
        <v>75</v>
      </c>
      <c r="BG148" s="50">
        <f t="shared" ref="BG148:BG179" si="129">K148+AI148+AU148</f>
        <v>65</v>
      </c>
      <c r="BH148" s="41">
        <f t="shared" ref="BH148:BH179" si="130">L148+AJ148+AV148</f>
        <v>50</v>
      </c>
      <c r="BI148" s="41">
        <f t="shared" ref="BI148:BI179" si="131">M148+AK148+AW148</f>
        <v>0</v>
      </c>
      <c r="BJ148" s="48">
        <f t="shared" ref="BJ148:BJ179" si="132">N148+AL148+AX148</f>
        <v>20</v>
      </c>
      <c r="BK148" s="56">
        <f t="shared" ref="BK148:BK179" si="133">BL148+BM148+BN148+BO148</f>
        <v>300</v>
      </c>
      <c r="BL148" s="41">
        <f t="shared" ref="BL148:BL179" si="134">AY148+AZ148+BA148</f>
        <v>0</v>
      </c>
      <c r="BM148" s="41">
        <f t="shared" ref="BM148:BM179" si="135">BB148+BC148+BD148</f>
        <v>0</v>
      </c>
      <c r="BN148" s="41">
        <f t="shared" ref="BN148:BN179" si="136">BE148+BF148+BG148</f>
        <v>230</v>
      </c>
      <c r="BO148" s="41">
        <f t="shared" ref="BO148:BO179" si="137">BH148+BI148+BJ148</f>
        <v>70</v>
      </c>
    </row>
    <row r="149" spans="1:67" ht="13.5" customHeight="1" x14ac:dyDescent="0.25">
      <c r="A149" s="36" t="s">
        <v>207</v>
      </c>
      <c r="B149" s="67" t="s">
        <v>296</v>
      </c>
      <c r="C149" s="34">
        <v>0</v>
      </c>
      <c r="D149" s="34">
        <v>0</v>
      </c>
      <c r="E149" s="52">
        <v>40</v>
      </c>
      <c r="F149" s="34">
        <v>40</v>
      </c>
      <c r="G149" s="34">
        <v>40</v>
      </c>
      <c r="H149" s="52">
        <v>40</v>
      </c>
      <c r="I149" s="34">
        <v>0</v>
      </c>
      <c r="J149" s="34">
        <v>0</v>
      </c>
      <c r="K149" s="52">
        <v>0</v>
      </c>
      <c r="L149" s="34">
        <v>0</v>
      </c>
      <c r="M149" s="34">
        <v>0</v>
      </c>
      <c r="N149" s="46">
        <v>0</v>
      </c>
      <c r="O149" s="34">
        <v>0</v>
      </c>
      <c r="P149" s="34">
        <v>0</v>
      </c>
      <c r="Q149" s="52">
        <v>0</v>
      </c>
      <c r="R149" s="34">
        <v>0</v>
      </c>
      <c r="S149" s="34">
        <v>0</v>
      </c>
      <c r="T149" s="52">
        <v>0</v>
      </c>
      <c r="U149" s="34">
        <v>0</v>
      </c>
      <c r="V149" s="34">
        <v>0</v>
      </c>
      <c r="W149" s="52">
        <v>0</v>
      </c>
      <c r="X149" s="34">
        <v>0</v>
      </c>
      <c r="Y149" s="34">
        <v>0</v>
      </c>
      <c r="Z149" s="46">
        <v>0</v>
      </c>
      <c r="AA149" s="34">
        <v>0</v>
      </c>
      <c r="AB149" s="34">
        <v>0</v>
      </c>
      <c r="AC149" s="52">
        <v>0</v>
      </c>
      <c r="AD149" s="34">
        <v>45</v>
      </c>
      <c r="AE149" s="34">
        <v>45</v>
      </c>
      <c r="AF149" s="52">
        <v>45</v>
      </c>
      <c r="AG149" s="34">
        <v>0</v>
      </c>
      <c r="AH149" s="34">
        <v>0</v>
      </c>
      <c r="AI149" s="52">
        <v>0</v>
      </c>
      <c r="AJ149" s="34">
        <v>0</v>
      </c>
      <c r="AK149" s="34">
        <v>0</v>
      </c>
      <c r="AL149" s="46">
        <v>0</v>
      </c>
      <c r="AM149" s="34">
        <v>0</v>
      </c>
      <c r="AN149" s="34">
        <v>0</v>
      </c>
      <c r="AO149" s="52">
        <v>0</v>
      </c>
      <c r="AP149" s="34">
        <v>0</v>
      </c>
      <c r="AQ149" s="34">
        <v>0</v>
      </c>
      <c r="AR149" s="52">
        <v>0</v>
      </c>
      <c r="AS149" s="34">
        <v>0</v>
      </c>
      <c r="AT149" s="34">
        <v>0</v>
      </c>
      <c r="AU149" s="52">
        <v>0</v>
      </c>
      <c r="AV149" s="34">
        <v>0</v>
      </c>
      <c r="AW149" s="34">
        <v>0</v>
      </c>
      <c r="AX149" s="46">
        <v>0</v>
      </c>
      <c r="AY149" s="34">
        <f t="shared" si="121"/>
        <v>0</v>
      </c>
      <c r="AZ149" s="34">
        <f t="shared" si="122"/>
        <v>0</v>
      </c>
      <c r="BA149" s="52">
        <f t="shared" si="123"/>
        <v>40</v>
      </c>
      <c r="BB149" s="34">
        <f t="shared" si="124"/>
        <v>85</v>
      </c>
      <c r="BC149" s="34">
        <f t="shared" si="125"/>
        <v>85</v>
      </c>
      <c r="BD149" s="52">
        <f t="shared" si="126"/>
        <v>85</v>
      </c>
      <c r="BE149" s="34">
        <f t="shared" si="127"/>
        <v>0</v>
      </c>
      <c r="BF149" s="34">
        <f t="shared" si="128"/>
        <v>0</v>
      </c>
      <c r="BG149" s="52">
        <f t="shared" si="129"/>
        <v>0</v>
      </c>
      <c r="BH149" s="34">
        <f t="shared" si="130"/>
        <v>0</v>
      </c>
      <c r="BI149" s="34">
        <f t="shared" si="131"/>
        <v>0</v>
      </c>
      <c r="BJ149" s="46">
        <f t="shared" si="132"/>
        <v>0</v>
      </c>
      <c r="BK149" s="57">
        <f t="shared" si="133"/>
        <v>295</v>
      </c>
      <c r="BL149" s="34">
        <f t="shared" si="134"/>
        <v>40</v>
      </c>
      <c r="BM149" s="34">
        <f t="shared" si="135"/>
        <v>255</v>
      </c>
      <c r="BN149" s="34">
        <f t="shared" si="136"/>
        <v>0</v>
      </c>
      <c r="BO149" s="34">
        <f t="shared" si="137"/>
        <v>0</v>
      </c>
    </row>
    <row r="150" spans="1:67" ht="13.5" customHeight="1" x14ac:dyDescent="0.25">
      <c r="A150" s="36" t="s">
        <v>210</v>
      </c>
      <c r="B150" s="67" t="s">
        <v>90</v>
      </c>
      <c r="C150" s="34">
        <v>0</v>
      </c>
      <c r="D150" s="34">
        <v>10</v>
      </c>
      <c r="E150" s="52">
        <v>0</v>
      </c>
      <c r="F150" s="34">
        <v>40</v>
      </c>
      <c r="G150" s="34">
        <v>10</v>
      </c>
      <c r="H150" s="52">
        <v>40</v>
      </c>
      <c r="I150" s="34">
        <v>0</v>
      </c>
      <c r="J150" s="34">
        <v>0</v>
      </c>
      <c r="K150" s="52">
        <v>0</v>
      </c>
      <c r="L150" s="34">
        <v>0</v>
      </c>
      <c r="M150" s="34">
        <v>0</v>
      </c>
      <c r="N150" s="46">
        <v>0</v>
      </c>
      <c r="O150" s="34">
        <v>0</v>
      </c>
      <c r="P150" s="34">
        <v>0</v>
      </c>
      <c r="Q150" s="52">
        <v>0</v>
      </c>
      <c r="R150" s="34">
        <v>0</v>
      </c>
      <c r="S150" s="34">
        <v>0</v>
      </c>
      <c r="T150" s="52">
        <v>0</v>
      </c>
      <c r="U150" s="34">
        <v>0</v>
      </c>
      <c r="V150" s="34">
        <v>0</v>
      </c>
      <c r="W150" s="52">
        <v>0</v>
      </c>
      <c r="X150" s="34">
        <v>0</v>
      </c>
      <c r="Y150" s="34">
        <v>0</v>
      </c>
      <c r="Z150" s="46">
        <v>0</v>
      </c>
      <c r="AA150" s="34">
        <v>50</v>
      </c>
      <c r="AB150" s="34">
        <v>0</v>
      </c>
      <c r="AC150" s="52">
        <v>0</v>
      </c>
      <c r="AD150" s="34">
        <v>60</v>
      </c>
      <c r="AE150" s="34">
        <v>35</v>
      </c>
      <c r="AF150" s="52">
        <v>20</v>
      </c>
      <c r="AG150" s="34">
        <v>0</v>
      </c>
      <c r="AH150" s="34">
        <v>0</v>
      </c>
      <c r="AI150" s="52">
        <v>0</v>
      </c>
      <c r="AJ150" s="34">
        <v>0</v>
      </c>
      <c r="AK150" s="34">
        <v>0</v>
      </c>
      <c r="AL150" s="46">
        <v>0</v>
      </c>
      <c r="AM150" s="34">
        <v>0</v>
      </c>
      <c r="AN150" s="34">
        <v>5</v>
      </c>
      <c r="AO150" s="52">
        <v>5</v>
      </c>
      <c r="AP150" s="34">
        <v>5</v>
      </c>
      <c r="AQ150" s="34">
        <v>5</v>
      </c>
      <c r="AR150" s="52">
        <v>5</v>
      </c>
      <c r="AS150" s="34">
        <v>0</v>
      </c>
      <c r="AT150" s="34">
        <v>0</v>
      </c>
      <c r="AU150" s="52">
        <v>0</v>
      </c>
      <c r="AV150" s="34">
        <v>0</v>
      </c>
      <c r="AW150" s="34">
        <v>0</v>
      </c>
      <c r="AX150" s="46">
        <v>0</v>
      </c>
      <c r="AY150" s="34">
        <f t="shared" si="121"/>
        <v>50</v>
      </c>
      <c r="AZ150" s="34">
        <f t="shared" si="122"/>
        <v>15</v>
      </c>
      <c r="BA150" s="52">
        <f t="shared" si="123"/>
        <v>5</v>
      </c>
      <c r="BB150" s="34">
        <f t="shared" si="124"/>
        <v>105</v>
      </c>
      <c r="BC150" s="34">
        <f t="shared" si="125"/>
        <v>50</v>
      </c>
      <c r="BD150" s="52">
        <f t="shared" si="126"/>
        <v>65</v>
      </c>
      <c r="BE150" s="34">
        <f t="shared" si="127"/>
        <v>0</v>
      </c>
      <c r="BF150" s="34">
        <f t="shared" si="128"/>
        <v>0</v>
      </c>
      <c r="BG150" s="52">
        <f t="shared" si="129"/>
        <v>0</v>
      </c>
      <c r="BH150" s="34">
        <f t="shared" si="130"/>
        <v>0</v>
      </c>
      <c r="BI150" s="34">
        <f t="shared" si="131"/>
        <v>0</v>
      </c>
      <c r="BJ150" s="34">
        <f t="shared" si="132"/>
        <v>0</v>
      </c>
      <c r="BK150" s="57">
        <f t="shared" si="133"/>
        <v>290</v>
      </c>
      <c r="BL150" s="34">
        <f t="shared" si="134"/>
        <v>70</v>
      </c>
      <c r="BM150" s="34">
        <f t="shared" si="135"/>
        <v>220</v>
      </c>
      <c r="BN150" s="34">
        <f t="shared" si="136"/>
        <v>0</v>
      </c>
      <c r="BO150" s="34">
        <f t="shared" si="137"/>
        <v>0</v>
      </c>
    </row>
    <row r="151" spans="1:67" ht="13.5" customHeight="1" x14ac:dyDescent="0.25">
      <c r="A151" s="36" t="s">
        <v>211</v>
      </c>
      <c r="B151" s="71" t="s">
        <v>149</v>
      </c>
      <c r="C151" s="34">
        <v>0</v>
      </c>
      <c r="D151" s="34">
        <v>0</v>
      </c>
      <c r="E151" s="52">
        <v>0</v>
      </c>
      <c r="F151" s="34">
        <v>0</v>
      </c>
      <c r="G151" s="34">
        <v>0</v>
      </c>
      <c r="H151" s="52">
        <v>0</v>
      </c>
      <c r="I151" s="34">
        <v>40</v>
      </c>
      <c r="J151" s="34">
        <v>10</v>
      </c>
      <c r="K151" s="52">
        <v>40</v>
      </c>
      <c r="L151" s="34">
        <v>0</v>
      </c>
      <c r="M151" s="34">
        <v>10</v>
      </c>
      <c r="N151" s="46">
        <v>0</v>
      </c>
      <c r="O151" s="34">
        <v>0</v>
      </c>
      <c r="P151" s="34">
        <v>0</v>
      </c>
      <c r="Q151" s="52">
        <v>0</v>
      </c>
      <c r="R151" s="34">
        <v>0</v>
      </c>
      <c r="S151" s="34">
        <v>0</v>
      </c>
      <c r="T151" s="52">
        <v>0</v>
      </c>
      <c r="U151" s="34">
        <v>0</v>
      </c>
      <c r="V151" s="34">
        <v>0</v>
      </c>
      <c r="W151" s="52">
        <v>0</v>
      </c>
      <c r="X151" s="34">
        <v>0</v>
      </c>
      <c r="Y151" s="34">
        <v>0</v>
      </c>
      <c r="Z151" s="46">
        <v>0</v>
      </c>
      <c r="AA151" s="34">
        <v>0</v>
      </c>
      <c r="AB151" s="34">
        <v>0</v>
      </c>
      <c r="AC151" s="52">
        <v>0</v>
      </c>
      <c r="AD151" s="34">
        <v>0</v>
      </c>
      <c r="AE151" s="34">
        <v>0</v>
      </c>
      <c r="AF151" s="52">
        <v>0</v>
      </c>
      <c r="AG151" s="34">
        <v>40</v>
      </c>
      <c r="AH151" s="34">
        <v>30</v>
      </c>
      <c r="AI151" s="52">
        <v>30</v>
      </c>
      <c r="AJ151" s="34">
        <v>0</v>
      </c>
      <c r="AK151" s="34">
        <v>0</v>
      </c>
      <c r="AL151" s="46">
        <v>0</v>
      </c>
      <c r="AM151" s="34">
        <v>0</v>
      </c>
      <c r="AN151" s="34">
        <v>0</v>
      </c>
      <c r="AO151" s="52">
        <v>0</v>
      </c>
      <c r="AP151" s="34">
        <v>0</v>
      </c>
      <c r="AQ151" s="34">
        <v>0</v>
      </c>
      <c r="AR151" s="52">
        <v>0</v>
      </c>
      <c r="AS151" s="34">
        <v>20</v>
      </c>
      <c r="AT151" s="34">
        <v>25</v>
      </c>
      <c r="AU151" s="52">
        <v>10</v>
      </c>
      <c r="AV151" s="34">
        <v>10</v>
      </c>
      <c r="AW151" s="34">
        <v>5</v>
      </c>
      <c r="AX151" s="46">
        <v>10</v>
      </c>
      <c r="AY151" s="41">
        <f t="shared" si="121"/>
        <v>0</v>
      </c>
      <c r="AZ151" s="41">
        <f t="shared" si="122"/>
        <v>0</v>
      </c>
      <c r="BA151" s="50">
        <f t="shared" si="123"/>
        <v>0</v>
      </c>
      <c r="BB151" s="41">
        <f t="shared" si="124"/>
        <v>0</v>
      </c>
      <c r="BC151" s="41">
        <f t="shared" si="125"/>
        <v>0</v>
      </c>
      <c r="BD151" s="50">
        <f t="shared" si="126"/>
        <v>0</v>
      </c>
      <c r="BE151" s="41">
        <f t="shared" si="127"/>
        <v>100</v>
      </c>
      <c r="BF151" s="41">
        <f t="shared" si="128"/>
        <v>65</v>
      </c>
      <c r="BG151" s="50">
        <f t="shared" si="129"/>
        <v>80</v>
      </c>
      <c r="BH151" s="41">
        <f t="shared" si="130"/>
        <v>10</v>
      </c>
      <c r="BI151" s="41">
        <f t="shared" si="131"/>
        <v>15</v>
      </c>
      <c r="BJ151" s="41">
        <f t="shared" si="132"/>
        <v>10</v>
      </c>
      <c r="BK151" s="56">
        <f t="shared" si="133"/>
        <v>280</v>
      </c>
      <c r="BL151" s="41">
        <f t="shared" si="134"/>
        <v>0</v>
      </c>
      <c r="BM151" s="41">
        <f t="shared" si="135"/>
        <v>0</v>
      </c>
      <c r="BN151" s="41">
        <f t="shared" si="136"/>
        <v>245</v>
      </c>
      <c r="BO151" s="41">
        <f t="shared" si="137"/>
        <v>35</v>
      </c>
    </row>
    <row r="152" spans="1:67" ht="13.5" customHeight="1" x14ac:dyDescent="0.25">
      <c r="A152" s="36" t="s">
        <v>212</v>
      </c>
      <c r="B152" s="71" t="s">
        <v>168</v>
      </c>
      <c r="C152" s="34">
        <v>0</v>
      </c>
      <c r="D152" s="34">
        <v>0</v>
      </c>
      <c r="E152" s="52">
        <v>0</v>
      </c>
      <c r="F152" s="34">
        <v>0</v>
      </c>
      <c r="G152" s="34">
        <v>0</v>
      </c>
      <c r="H152" s="52">
        <v>0</v>
      </c>
      <c r="I152" s="34">
        <v>20</v>
      </c>
      <c r="J152" s="34">
        <v>25</v>
      </c>
      <c r="K152" s="52">
        <v>25</v>
      </c>
      <c r="L152" s="34">
        <v>20</v>
      </c>
      <c r="M152" s="34">
        <v>25</v>
      </c>
      <c r="N152" s="46">
        <v>25</v>
      </c>
      <c r="O152" s="34">
        <v>0</v>
      </c>
      <c r="P152" s="34">
        <v>0</v>
      </c>
      <c r="Q152" s="52">
        <v>0</v>
      </c>
      <c r="R152" s="34">
        <v>0</v>
      </c>
      <c r="S152" s="34">
        <v>0</v>
      </c>
      <c r="T152" s="52">
        <v>0</v>
      </c>
      <c r="U152" s="34">
        <v>0</v>
      </c>
      <c r="V152" s="34">
        <v>0</v>
      </c>
      <c r="W152" s="52">
        <v>0</v>
      </c>
      <c r="X152" s="34">
        <v>0</v>
      </c>
      <c r="Y152" s="34">
        <v>0</v>
      </c>
      <c r="Z152" s="46">
        <v>0</v>
      </c>
      <c r="AA152" s="34">
        <v>0</v>
      </c>
      <c r="AB152" s="34">
        <v>0</v>
      </c>
      <c r="AC152" s="52">
        <v>0</v>
      </c>
      <c r="AD152" s="34">
        <v>0</v>
      </c>
      <c r="AE152" s="34">
        <v>0</v>
      </c>
      <c r="AF152" s="52">
        <v>0</v>
      </c>
      <c r="AG152" s="34">
        <v>60</v>
      </c>
      <c r="AH152" s="34">
        <v>10</v>
      </c>
      <c r="AI152" s="52">
        <v>20</v>
      </c>
      <c r="AJ152" s="34">
        <v>40</v>
      </c>
      <c r="AK152" s="34">
        <v>0</v>
      </c>
      <c r="AL152" s="46">
        <v>0</v>
      </c>
      <c r="AM152" s="34">
        <v>0</v>
      </c>
      <c r="AN152" s="34">
        <v>0</v>
      </c>
      <c r="AO152" s="52">
        <v>0</v>
      </c>
      <c r="AP152" s="34">
        <v>0</v>
      </c>
      <c r="AQ152" s="34">
        <v>0</v>
      </c>
      <c r="AR152" s="52">
        <v>0</v>
      </c>
      <c r="AS152" s="34">
        <v>0</v>
      </c>
      <c r="AT152" s="34">
        <v>0</v>
      </c>
      <c r="AU152" s="52">
        <v>0</v>
      </c>
      <c r="AV152" s="34">
        <v>0</v>
      </c>
      <c r="AW152" s="34">
        <v>0</v>
      </c>
      <c r="AX152" s="46">
        <v>0</v>
      </c>
      <c r="AY152" s="41">
        <f t="shared" si="121"/>
        <v>0</v>
      </c>
      <c r="AZ152" s="41">
        <f t="shared" si="122"/>
        <v>0</v>
      </c>
      <c r="BA152" s="50">
        <f t="shared" si="123"/>
        <v>0</v>
      </c>
      <c r="BB152" s="41">
        <f t="shared" si="124"/>
        <v>0</v>
      </c>
      <c r="BC152" s="41">
        <f t="shared" si="125"/>
        <v>0</v>
      </c>
      <c r="BD152" s="50">
        <f t="shared" si="126"/>
        <v>0</v>
      </c>
      <c r="BE152" s="41">
        <f t="shared" si="127"/>
        <v>80</v>
      </c>
      <c r="BF152" s="41">
        <f t="shared" si="128"/>
        <v>35</v>
      </c>
      <c r="BG152" s="50">
        <f t="shared" si="129"/>
        <v>45</v>
      </c>
      <c r="BH152" s="41">
        <f t="shared" si="130"/>
        <v>60</v>
      </c>
      <c r="BI152" s="41">
        <f t="shared" si="131"/>
        <v>25</v>
      </c>
      <c r="BJ152" s="41">
        <f t="shared" si="132"/>
        <v>25</v>
      </c>
      <c r="BK152" s="56">
        <f t="shared" si="133"/>
        <v>270</v>
      </c>
      <c r="BL152" s="41">
        <f t="shared" si="134"/>
        <v>0</v>
      </c>
      <c r="BM152" s="41">
        <f t="shared" si="135"/>
        <v>0</v>
      </c>
      <c r="BN152" s="41">
        <f t="shared" si="136"/>
        <v>160</v>
      </c>
      <c r="BO152" s="41">
        <f t="shared" si="137"/>
        <v>110</v>
      </c>
    </row>
    <row r="153" spans="1:67" ht="13.5" customHeight="1" x14ac:dyDescent="0.25">
      <c r="A153" s="36" t="s">
        <v>213</v>
      </c>
      <c r="B153" s="70" t="s">
        <v>114</v>
      </c>
      <c r="C153" s="34">
        <v>40</v>
      </c>
      <c r="D153" s="34">
        <v>0</v>
      </c>
      <c r="E153" s="52">
        <v>40</v>
      </c>
      <c r="F153" s="34">
        <v>0</v>
      </c>
      <c r="G153" s="34">
        <v>0</v>
      </c>
      <c r="H153" s="52">
        <v>0</v>
      </c>
      <c r="I153" s="34">
        <v>0</v>
      </c>
      <c r="J153" s="34">
        <v>0</v>
      </c>
      <c r="K153" s="52">
        <v>0</v>
      </c>
      <c r="L153" s="34">
        <v>0</v>
      </c>
      <c r="M153" s="34">
        <v>0</v>
      </c>
      <c r="N153" s="46">
        <v>0</v>
      </c>
      <c r="O153" s="34">
        <v>0</v>
      </c>
      <c r="P153" s="34">
        <v>0</v>
      </c>
      <c r="Q153" s="52">
        <v>0</v>
      </c>
      <c r="R153" s="34">
        <v>0</v>
      </c>
      <c r="S153" s="34">
        <v>0</v>
      </c>
      <c r="T153" s="52">
        <v>0</v>
      </c>
      <c r="U153" s="34">
        <v>0</v>
      </c>
      <c r="V153" s="34">
        <v>0</v>
      </c>
      <c r="W153" s="52">
        <v>0</v>
      </c>
      <c r="X153" s="34">
        <v>0</v>
      </c>
      <c r="Y153" s="34">
        <v>0</v>
      </c>
      <c r="Z153" s="46">
        <v>0</v>
      </c>
      <c r="AA153" s="34">
        <v>65</v>
      </c>
      <c r="AB153" s="34">
        <v>45</v>
      </c>
      <c r="AC153" s="52">
        <v>35</v>
      </c>
      <c r="AD153" s="34">
        <v>0</v>
      </c>
      <c r="AE153" s="34">
        <v>0</v>
      </c>
      <c r="AF153" s="52">
        <v>0</v>
      </c>
      <c r="AG153" s="34">
        <v>0</v>
      </c>
      <c r="AH153" s="34">
        <v>0</v>
      </c>
      <c r="AI153" s="52">
        <v>0</v>
      </c>
      <c r="AJ153" s="34">
        <v>0</v>
      </c>
      <c r="AK153" s="34">
        <v>0</v>
      </c>
      <c r="AL153" s="46">
        <v>0</v>
      </c>
      <c r="AM153" s="34">
        <v>10</v>
      </c>
      <c r="AN153" s="34">
        <v>10</v>
      </c>
      <c r="AO153" s="52">
        <v>10</v>
      </c>
      <c r="AP153" s="34">
        <v>0</v>
      </c>
      <c r="AQ153" s="34">
        <v>0</v>
      </c>
      <c r="AR153" s="52">
        <v>0</v>
      </c>
      <c r="AS153" s="34">
        <v>0</v>
      </c>
      <c r="AT153" s="34">
        <v>0</v>
      </c>
      <c r="AU153" s="52">
        <v>0</v>
      </c>
      <c r="AV153" s="34">
        <v>0</v>
      </c>
      <c r="AW153" s="34">
        <v>0</v>
      </c>
      <c r="AX153" s="46">
        <v>0</v>
      </c>
      <c r="AY153" s="41">
        <f t="shared" si="121"/>
        <v>115</v>
      </c>
      <c r="AZ153" s="41">
        <f t="shared" si="122"/>
        <v>55</v>
      </c>
      <c r="BA153" s="50">
        <f t="shared" si="123"/>
        <v>85</v>
      </c>
      <c r="BB153" s="41">
        <f t="shared" si="124"/>
        <v>0</v>
      </c>
      <c r="BC153" s="41">
        <f t="shared" si="125"/>
        <v>0</v>
      </c>
      <c r="BD153" s="50">
        <f t="shared" si="126"/>
        <v>0</v>
      </c>
      <c r="BE153" s="41">
        <f t="shared" si="127"/>
        <v>0</v>
      </c>
      <c r="BF153" s="41">
        <f t="shared" si="128"/>
        <v>0</v>
      </c>
      <c r="BG153" s="50">
        <f t="shared" si="129"/>
        <v>0</v>
      </c>
      <c r="BH153" s="41">
        <f t="shared" si="130"/>
        <v>0</v>
      </c>
      <c r="BI153" s="41">
        <f t="shared" si="131"/>
        <v>0</v>
      </c>
      <c r="BJ153" s="41">
        <f t="shared" si="132"/>
        <v>0</v>
      </c>
      <c r="BK153" s="56">
        <f t="shared" si="133"/>
        <v>255</v>
      </c>
      <c r="BL153" s="41">
        <f t="shared" si="134"/>
        <v>255</v>
      </c>
      <c r="BM153" s="41">
        <f t="shared" si="135"/>
        <v>0</v>
      </c>
      <c r="BN153" s="41">
        <f t="shared" si="136"/>
        <v>0</v>
      </c>
      <c r="BO153" s="41">
        <f t="shared" si="137"/>
        <v>0</v>
      </c>
    </row>
    <row r="154" spans="1:67" ht="13.5" customHeight="1" x14ac:dyDescent="0.25">
      <c r="A154" s="36" t="s">
        <v>214</v>
      </c>
      <c r="B154" s="62" t="s">
        <v>1128</v>
      </c>
      <c r="C154" s="41">
        <v>0</v>
      </c>
      <c r="D154" s="41">
        <v>0</v>
      </c>
      <c r="E154" s="50">
        <v>0</v>
      </c>
      <c r="F154" s="41">
        <v>0</v>
      </c>
      <c r="G154" s="41">
        <v>0</v>
      </c>
      <c r="H154" s="50">
        <v>0</v>
      </c>
      <c r="I154" s="41">
        <v>0</v>
      </c>
      <c r="J154" s="41">
        <v>0</v>
      </c>
      <c r="K154" s="50">
        <v>0</v>
      </c>
      <c r="L154" s="41">
        <v>60</v>
      </c>
      <c r="M154" s="41">
        <v>45</v>
      </c>
      <c r="N154" s="46">
        <v>60</v>
      </c>
      <c r="O154" s="41">
        <v>0</v>
      </c>
      <c r="P154" s="41">
        <v>0</v>
      </c>
      <c r="Q154" s="50">
        <v>0</v>
      </c>
      <c r="R154" s="41">
        <v>0</v>
      </c>
      <c r="S154" s="41">
        <v>0</v>
      </c>
      <c r="T154" s="50">
        <v>0</v>
      </c>
      <c r="U154" s="41">
        <v>0</v>
      </c>
      <c r="V154" s="41">
        <v>0</v>
      </c>
      <c r="W154" s="52">
        <v>0</v>
      </c>
      <c r="X154" s="41">
        <v>0</v>
      </c>
      <c r="Y154" s="41">
        <v>0</v>
      </c>
      <c r="Z154" s="48">
        <v>0</v>
      </c>
      <c r="AA154" s="41">
        <v>0</v>
      </c>
      <c r="AB154" s="41">
        <v>0</v>
      </c>
      <c r="AC154" s="50">
        <v>0</v>
      </c>
      <c r="AD154" s="41">
        <v>0</v>
      </c>
      <c r="AE154" s="41">
        <v>0</v>
      </c>
      <c r="AF154" s="50">
        <v>0</v>
      </c>
      <c r="AG154" s="41">
        <v>10</v>
      </c>
      <c r="AH154" s="41">
        <v>0</v>
      </c>
      <c r="AI154" s="50">
        <v>0</v>
      </c>
      <c r="AJ154" s="41">
        <v>30</v>
      </c>
      <c r="AK154" s="41">
        <v>10</v>
      </c>
      <c r="AL154" s="48">
        <v>20</v>
      </c>
      <c r="AM154" s="41">
        <v>0</v>
      </c>
      <c r="AN154" s="41">
        <v>0</v>
      </c>
      <c r="AO154" s="50">
        <v>0</v>
      </c>
      <c r="AP154" s="41">
        <v>0</v>
      </c>
      <c r="AQ154" s="41">
        <v>0</v>
      </c>
      <c r="AR154" s="50">
        <v>0</v>
      </c>
      <c r="AS154" s="41">
        <v>0</v>
      </c>
      <c r="AT154" s="41">
        <v>0</v>
      </c>
      <c r="AU154" s="50">
        <v>0</v>
      </c>
      <c r="AV154" s="41">
        <v>10</v>
      </c>
      <c r="AW154" s="41">
        <v>10</v>
      </c>
      <c r="AX154" s="48">
        <v>0</v>
      </c>
      <c r="AY154" s="41">
        <f t="shared" si="121"/>
        <v>0</v>
      </c>
      <c r="AZ154" s="41">
        <f t="shared" si="122"/>
        <v>0</v>
      </c>
      <c r="BA154" s="50">
        <f t="shared" si="123"/>
        <v>0</v>
      </c>
      <c r="BB154" s="41">
        <f t="shared" si="124"/>
        <v>0</v>
      </c>
      <c r="BC154" s="41">
        <f t="shared" si="125"/>
        <v>0</v>
      </c>
      <c r="BD154" s="50">
        <f t="shared" si="126"/>
        <v>0</v>
      </c>
      <c r="BE154" s="41">
        <f t="shared" si="127"/>
        <v>10</v>
      </c>
      <c r="BF154" s="41">
        <f t="shared" si="128"/>
        <v>0</v>
      </c>
      <c r="BG154" s="50">
        <f t="shared" si="129"/>
        <v>0</v>
      </c>
      <c r="BH154" s="41">
        <f t="shared" si="130"/>
        <v>100</v>
      </c>
      <c r="BI154" s="41">
        <f t="shared" si="131"/>
        <v>65</v>
      </c>
      <c r="BJ154" s="41">
        <f t="shared" si="132"/>
        <v>80</v>
      </c>
      <c r="BK154" s="56">
        <f t="shared" si="133"/>
        <v>255</v>
      </c>
      <c r="BL154" s="41">
        <f t="shared" si="134"/>
        <v>0</v>
      </c>
      <c r="BM154" s="41">
        <f t="shared" si="135"/>
        <v>0</v>
      </c>
      <c r="BN154" s="41">
        <f t="shared" si="136"/>
        <v>10</v>
      </c>
      <c r="BO154" s="41">
        <f t="shared" si="137"/>
        <v>245</v>
      </c>
    </row>
    <row r="155" spans="1:67" ht="13.5" customHeight="1" x14ac:dyDescent="0.25">
      <c r="A155" s="36" t="s">
        <v>215</v>
      </c>
      <c r="B155" s="67" t="s">
        <v>679</v>
      </c>
      <c r="C155" s="34">
        <v>0</v>
      </c>
      <c r="D155" s="34">
        <v>0</v>
      </c>
      <c r="E155" s="52">
        <v>20</v>
      </c>
      <c r="F155" s="34">
        <v>0</v>
      </c>
      <c r="G155" s="34">
        <v>0</v>
      </c>
      <c r="H155" s="52">
        <v>20</v>
      </c>
      <c r="I155" s="34">
        <v>40</v>
      </c>
      <c r="J155" s="34">
        <v>0</v>
      </c>
      <c r="K155" s="52">
        <v>20</v>
      </c>
      <c r="L155" s="34">
        <v>0</v>
      </c>
      <c r="M155" s="34">
        <v>0</v>
      </c>
      <c r="N155" s="46">
        <v>20</v>
      </c>
      <c r="O155" s="34">
        <v>0</v>
      </c>
      <c r="P155" s="34">
        <v>0</v>
      </c>
      <c r="Q155" s="52">
        <v>0</v>
      </c>
      <c r="R155" s="34">
        <v>0</v>
      </c>
      <c r="S155" s="34">
        <v>0</v>
      </c>
      <c r="T155" s="52">
        <v>0</v>
      </c>
      <c r="U155" s="34">
        <v>0</v>
      </c>
      <c r="V155" s="34">
        <v>0</v>
      </c>
      <c r="W155" s="52">
        <v>0</v>
      </c>
      <c r="X155" s="34">
        <v>0</v>
      </c>
      <c r="Y155" s="34">
        <v>0</v>
      </c>
      <c r="Z155" s="46">
        <v>0</v>
      </c>
      <c r="AA155" s="34">
        <v>12</v>
      </c>
      <c r="AB155" s="34">
        <v>10</v>
      </c>
      <c r="AC155" s="52">
        <v>0</v>
      </c>
      <c r="AD155" s="34">
        <v>12</v>
      </c>
      <c r="AE155" s="34">
        <v>10</v>
      </c>
      <c r="AF155" s="52">
        <v>0</v>
      </c>
      <c r="AG155" s="34">
        <v>37</v>
      </c>
      <c r="AH155" s="34">
        <v>20</v>
      </c>
      <c r="AI155" s="52">
        <v>10</v>
      </c>
      <c r="AJ155" s="34">
        <v>12</v>
      </c>
      <c r="AK155" s="34">
        <v>10</v>
      </c>
      <c r="AL155" s="46">
        <v>0</v>
      </c>
      <c r="AM155" s="34">
        <v>0</v>
      </c>
      <c r="AN155" s="34">
        <v>0</v>
      </c>
      <c r="AO155" s="52">
        <v>0</v>
      </c>
      <c r="AP155" s="34">
        <v>0</v>
      </c>
      <c r="AQ155" s="34">
        <v>0</v>
      </c>
      <c r="AR155" s="52">
        <v>0</v>
      </c>
      <c r="AS155" s="34">
        <v>0</v>
      </c>
      <c r="AT155" s="34">
        <v>0</v>
      </c>
      <c r="AU155" s="52">
        <v>0</v>
      </c>
      <c r="AV155" s="34">
        <v>0</v>
      </c>
      <c r="AW155" s="34">
        <v>0</v>
      </c>
      <c r="AX155" s="46">
        <v>0</v>
      </c>
      <c r="AY155" s="34">
        <f t="shared" si="121"/>
        <v>12</v>
      </c>
      <c r="AZ155" s="34">
        <f t="shared" si="122"/>
        <v>10</v>
      </c>
      <c r="BA155" s="52">
        <f t="shared" si="123"/>
        <v>20</v>
      </c>
      <c r="BB155" s="34">
        <f t="shared" si="124"/>
        <v>12</v>
      </c>
      <c r="BC155" s="34">
        <f t="shared" si="125"/>
        <v>10</v>
      </c>
      <c r="BD155" s="52">
        <f t="shared" si="126"/>
        <v>20</v>
      </c>
      <c r="BE155" s="34">
        <f t="shared" si="127"/>
        <v>77</v>
      </c>
      <c r="BF155" s="34">
        <f t="shared" si="128"/>
        <v>20</v>
      </c>
      <c r="BG155" s="52">
        <f t="shared" si="129"/>
        <v>30</v>
      </c>
      <c r="BH155" s="34">
        <f t="shared" si="130"/>
        <v>12</v>
      </c>
      <c r="BI155" s="34">
        <f t="shared" si="131"/>
        <v>10</v>
      </c>
      <c r="BJ155" s="34">
        <f t="shared" si="132"/>
        <v>20</v>
      </c>
      <c r="BK155" s="57">
        <f t="shared" si="133"/>
        <v>253</v>
      </c>
      <c r="BL155" s="34">
        <f t="shared" si="134"/>
        <v>42</v>
      </c>
      <c r="BM155" s="34">
        <f t="shared" si="135"/>
        <v>42</v>
      </c>
      <c r="BN155" s="34">
        <f t="shared" si="136"/>
        <v>127</v>
      </c>
      <c r="BO155" s="34">
        <f t="shared" si="137"/>
        <v>42</v>
      </c>
    </row>
    <row r="156" spans="1:67" ht="13.5" customHeight="1" x14ac:dyDescent="0.25">
      <c r="A156" s="36" t="s">
        <v>216</v>
      </c>
      <c r="B156" s="70" t="s">
        <v>173</v>
      </c>
      <c r="C156" s="34">
        <v>0</v>
      </c>
      <c r="D156" s="34">
        <v>0</v>
      </c>
      <c r="E156" s="52">
        <v>0</v>
      </c>
      <c r="F156" s="34">
        <v>0</v>
      </c>
      <c r="G156" s="34">
        <v>0</v>
      </c>
      <c r="H156" s="52">
        <v>0</v>
      </c>
      <c r="I156" s="34">
        <v>0</v>
      </c>
      <c r="J156" s="34">
        <v>0</v>
      </c>
      <c r="K156" s="52">
        <v>0</v>
      </c>
      <c r="L156" s="34">
        <v>45</v>
      </c>
      <c r="M156" s="34">
        <v>20</v>
      </c>
      <c r="N156" s="46">
        <v>20</v>
      </c>
      <c r="O156" s="34">
        <v>0</v>
      </c>
      <c r="P156" s="34">
        <v>0</v>
      </c>
      <c r="Q156" s="52">
        <v>0</v>
      </c>
      <c r="R156" s="34">
        <v>0</v>
      </c>
      <c r="S156" s="34">
        <v>0</v>
      </c>
      <c r="T156" s="52">
        <v>0</v>
      </c>
      <c r="U156" s="34">
        <v>0</v>
      </c>
      <c r="V156" s="34">
        <v>0</v>
      </c>
      <c r="W156" s="52">
        <v>0</v>
      </c>
      <c r="X156" s="34">
        <v>0</v>
      </c>
      <c r="Y156" s="34">
        <v>0</v>
      </c>
      <c r="Z156" s="46">
        <v>0</v>
      </c>
      <c r="AA156" s="34">
        <v>0</v>
      </c>
      <c r="AB156" s="34">
        <v>0</v>
      </c>
      <c r="AC156" s="52">
        <v>0</v>
      </c>
      <c r="AD156" s="34">
        <v>0</v>
      </c>
      <c r="AE156" s="34">
        <v>0</v>
      </c>
      <c r="AF156" s="52">
        <v>0</v>
      </c>
      <c r="AG156" s="34">
        <v>50</v>
      </c>
      <c r="AH156" s="34">
        <v>0</v>
      </c>
      <c r="AI156" s="52">
        <v>0</v>
      </c>
      <c r="AJ156" s="34">
        <v>70</v>
      </c>
      <c r="AK156" s="34">
        <v>10</v>
      </c>
      <c r="AL156" s="46">
        <v>20</v>
      </c>
      <c r="AM156" s="34">
        <v>0</v>
      </c>
      <c r="AN156" s="34">
        <v>0</v>
      </c>
      <c r="AO156" s="52">
        <v>0</v>
      </c>
      <c r="AP156" s="34">
        <v>0</v>
      </c>
      <c r="AQ156" s="34">
        <v>0</v>
      </c>
      <c r="AR156" s="52">
        <v>0</v>
      </c>
      <c r="AS156" s="34">
        <v>0</v>
      </c>
      <c r="AT156" s="34">
        <v>0</v>
      </c>
      <c r="AU156" s="52">
        <v>0</v>
      </c>
      <c r="AV156" s="34">
        <v>5</v>
      </c>
      <c r="AW156" s="34">
        <v>5</v>
      </c>
      <c r="AX156" s="46">
        <v>5</v>
      </c>
      <c r="AY156" s="41">
        <f t="shared" si="121"/>
        <v>0</v>
      </c>
      <c r="AZ156" s="41">
        <f t="shared" si="122"/>
        <v>0</v>
      </c>
      <c r="BA156" s="50">
        <f t="shared" si="123"/>
        <v>0</v>
      </c>
      <c r="BB156" s="41">
        <f t="shared" si="124"/>
        <v>0</v>
      </c>
      <c r="BC156" s="41">
        <f t="shared" si="125"/>
        <v>0</v>
      </c>
      <c r="BD156" s="50">
        <f t="shared" si="126"/>
        <v>0</v>
      </c>
      <c r="BE156" s="41">
        <f t="shared" si="127"/>
        <v>50</v>
      </c>
      <c r="BF156" s="41">
        <f t="shared" si="128"/>
        <v>0</v>
      </c>
      <c r="BG156" s="50">
        <f t="shared" si="129"/>
        <v>0</v>
      </c>
      <c r="BH156" s="41">
        <f t="shared" si="130"/>
        <v>120</v>
      </c>
      <c r="BI156" s="41">
        <f t="shared" si="131"/>
        <v>35</v>
      </c>
      <c r="BJ156" s="41">
        <f t="shared" si="132"/>
        <v>45</v>
      </c>
      <c r="BK156" s="56">
        <f t="shared" si="133"/>
        <v>250</v>
      </c>
      <c r="BL156" s="41">
        <f t="shared" si="134"/>
        <v>0</v>
      </c>
      <c r="BM156" s="41">
        <f t="shared" si="135"/>
        <v>0</v>
      </c>
      <c r="BN156" s="41">
        <f t="shared" si="136"/>
        <v>50</v>
      </c>
      <c r="BO156" s="41">
        <f t="shared" si="137"/>
        <v>200</v>
      </c>
    </row>
    <row r="157" spans="1:67" ht="13.5" customHeight="1" x14ac:dyDescent="0.25">
      <c r="A157" s="36" t="s">
        <v>217</v>
      </c>
      <c r="B157" s="68" t="s">
        <v>95</v>
      </c>
      <c r="C157" s="34">
        <v>0</v>
      </c>
      <c r="D157" s="34">
        <v>35</v>
      </c>
      <c r="E157" s="52">
        <v>0</v>
      </c>
      <c r="F157" s="34">
        <v>35</v>
      </c>
      <c r="G157" s="34">
        <v>35</v>
      </c>
      <c r="H157" s="52">
        <v>0</v>
      </c>
      <c r="I157" s="34">
        <v>0</v>
      </c>
      <c r="J157" s="34">
        <v>0</v>
      </c>
      <c r="K157" s="52">
        <v>0</v>
      </c>
      <c r="L157" s="34">
        <v>0</v>
      </c>
      <c r="M157" s="34">
        <v>0</v>
      </c>
      <c r="N157" s="46">
        <v>0</v>
      </c>
      <c r="O157" s="34">
        <v>0</v>
      </c>
      <c r="P157" s="34">
        <v>0</v>
      </c>
      <c r="Q157" s="52">
        <v>0</v>
      </c>
      <c r="R157" s="34">
        <v>0</v>
      </c>
      <c r="S157" s="34">
        <v>0</v>
      </c>
      <c r="T157" s="52">
        <v>0</v>
      </c>
      <c r="U157" s="34">
        <v>0</v>
      </c>
      <c r="V157" s="34">
        <v>0</v>
      </c>
      <c r="W157" s="52">
        <v>0</v>
      </c>
      <c r="X157" s="34">
        <v>0</v>
      </c>
      <c r="Y157" s="34">
        <v>0</v>
      </c>
      <c r="Z157" s="46">
        <v>0</v>
      </c>
      <c r="AA157" s="34">
        <v>10</v>
      </c>
      <c r="AB157" s="34">
        <v>0</v>
      </c>
      <c r="AC157" s="52">
        <v>0</v>
      </c>
      <c r="AD157" s="34">
        <v>60</v>
      </c>
      <c r="AE157" s="34">
        <v>35</v>
      </c>
      <c r="AF157" s="52">
        <v>40</v>
      </c>
      <c r="AG157" s="34">
        <v>0</v>
      </c>
      <c r="AH157" s="34">
        <v>0</v>
      </c>
      <c r="AI157" s="52">
        <v>0</v>
      </c>
      <c r="AJ157" s="34">
        <v>0</v>
      </c>
      <c r="AK157" s="34">
        <v>0</v>
      </c>
      <c r="AL157" s="46">
        <v>0</v>
      </c>
      <c r="AM157" s="34">
        <v>0</v>
      </c>
      <c r="AN157" s="34">
        <v>0</v>
      </c>
      <c r="AO157" s="52">
        <v>0</v>
      </c>
      <c r="AP157" s="34">
        <v>0</v>
      </c>
      <c r="AQ157" s="34">
        <v>0</v>
      </c>
      <c r="AR157" s="52">
        <v>0</v>
      </c>
      <c r="AS157" s="34">
        <v>0</v>
      </c>
      <c r="AT157" s="34">
        <v>0</v>
      </c>
      <c r="AU157" s="52">
        <v>0</v>
      </c>
      <c r="AV157" s="34">
        <v>0</v>
      </c>
      <c r="AW157" s="34">
        <v>0</v>
      </c>
      <c r="AX157" s="46">
        <v>0</v>
      </c>
      <c r="AY157" s="34">
        <f t="shared" si="121"/>
        <v>10</v>
      </c>
      <c r="AZ157" s="34">
        <f t="shared" si="122"/>
        <v>35</v>
      </c>
      <c r="BA157" s="52">
        <f t="shared" si="123"/>
        <v>0</v>
      </c>
      <c r="BB157" s="34">
        <f t="shared" si="124"/>
        <v>95</v>
      </c>
      <c r="BC157" s="34">
        <f t="shared" si="125"/>
        <v>70</v>
      </c>
      <c r="BD157" s="52">
        <f t="shared" si="126"/>
        <v>40</v>
      </c>
      <c r="BE157" s="34">
        <f t="shared" si="127"/>
        <v>0</v>
      </c>
      <c r="BF157" s="34">
        <f t="shared" si="128"/>
        <v>0</v>
      </c>
      <c r="BG157" s="52">
        <f t="shared" si="129"/>
        <v>0</v>
      </c>
      <c r="BH157" s="34">
        <f t="shared" si="130"/>
        <v>0</v>
      </c>
      <c r="BI157" s="34">
        <f t="shared" si="131"/>
        <v>0</v>
      </c>
      <c r="BJ157" s="34">
        <f t="shared" si="132"/>
        <v>0</v>
      </c>
      <c r="BK157" s="57">
        <f t="shared" si="133"/>
        <v>250</v>
      </c>
      <c r="BL157" s="34">
        <f t="shared" si="134"/>
        <v>45</v>
      </c>
      <c r="BM157" s="34">
        <f t="shared" si="135"/>
        <v>205</v>
      </c>
      <c r="BN157" s="34">
        <f t="shared" si="136"/>
        <v>0</v>
      </c>
      <c r="BO157" s="34">
        <f t="shared" si="137"/>
        <v>0</v>
      </c>
    </row>
    <row r="158" spans="1:67" ht="13.5" customHeight="1" x14ac:dyDescent="0.25">
      <c r="A158" s="36" t="s">
        <v>218</v>
      </c>
      <c r="B158" s="67" t="s">
        <v>684</v>
      </c>
      <c r="C158" s="34">
        <v>10</v>
      </c>
      <c r="D158" s="34">
        <v>0</v>
      </c>
      <c r="E158" s="52">
        <v>0</v>
      </c>
      <c r="F158" s="34">
        <v>10</v>
      </c>
      <c r="G158" s="34">
        <v>0</v>
      </c>
      <c r="H158" s="52">
        <v>0</v>
      </c>
      <c r="I158" s="34">
        <v>10</v>
      </c>
      <c r="J158" s="34">
        <v>0</v>
      </c>
      <c r="K158" s="52">
        <v>0</v>
      </c>
      <c r="L158" s="34">
        <v>45</v>
      </c>
      <c r="M158" s="34">
        <v>0</v>
      </c>
      <c r="N158" s="46">
        <v>0</v>
      </c>
      <c r="O158" s="34">
        <v>0</v>
      </c>
      <c r="P158" s="34">
        <v>0</v>
      </c>
      <c r="Q158" s="52">
        <v>0</v>
      </c>
      <c r="R158" s="34">
        <v>0</v>
      </c>
      <c r="S158" s="34">
        <v>0</v>
      </c>
      <c r="T158" s="52">
        <v>0</v>
      </c>
      <c r="U158" s="34">
        <v>0</v>
      </c>
      <c r="V158" s="34">
        <v>0</v>
      </c>
      <c r="W158" s="52">
        <v>0</v>
      </c>
      <c r="X158" s="34">
        <v>0</v>
      </c>
      <c r="Y158" s="34">
        <v>0</v>
      </c>
      <c r="Z158" s="46">
        <v>0</v>
      </c>
      <c r="AA158" s="34">
        <v>0</v>
      </c>
      <c r="AB158" s="34">
        <v>0</v>
      </c>
      <c r="AC158" s="52">
        <v>0</v>
      </c>
      <c r="AD158" s="34">
        <v>0</v>
      </c>
      <c r="AE158" s="34">
        <v>0</v>
      </c>
      <c r="AF158" s="52">
        <v>0</v>
      </c>
      <c r="AG158" s="34">
        <v>40</v>
      </c>
      <c r="AH158" s="34">
        <v>20</v>
      </c>
      <c r="AI158" s="52">
        <v>0</v>
      </c>
      <c r="AJ158" s="34">
        <v>60</v>
      </c>
      <c r="AK158" s="34">
        <v>30</v>
      </c>
      <c r="AL158" s="46">
        <v>20</v>
      </c>
      <c r="AM158" s="34">
        <v>0</v>
      </c>
      <c r="AN158" s="34">
        <v>0</v>
      </c>
      <c r="AO158" s="52">
        <v>0</v>
      </c>
      <c r="AP158" s="34">
        <v>0</v>
      </c>
      <c r="AQ158" s="34">
        <v>0</v>
      </c>
      <c r="AR158" s="52">
        <v>0</v>
      </c>
      <c r="AS158" s="34">
        <v>0</v>
      </c>
      <c r="AT158" s="34">
        <v>0</v>
      </c>
      <c r="AU158" s="52">
        <v>0</v>
      </c>
      <c r="AV158" s="34">
        <v>0</v>
      </c>
      <c r="AW158" s="34">
        <v>0</v>
      </c>
      <c r="AX158" s="46">
        <v>0</v>
      </c>
      <c r="AY158" s="34">
        <f t="shared" si="121"/>
        <v>10</v>
      </c>
      <c r="AZ158" s="34">
        <f t="shared" si="122"/>
        <v>0</v>
      </c>
      <c r="BA158" s="52">
        <f t="shared" si="123"/>
        <v>0</v>
      </c>
      <c r="BB158" s="34">
        <f t="shared" si="124"/>
        <v>10</v>
      </c>
      <c r="BC158" s="34">
        <f t="shared" si="125"/>
        <v>0</v>
      </c>
      <c r="BD158" s="52">
        <f t="shared" si="126"/>
        <v>0</v>
      </c>
      <c r="BE158" s="34">
        <f t="shared" si="127"/>
        <v>50</v>
      </c>
      <c r="BF158" s="34">
        <f t="shared" si="128"/>
        <v>20</v>
      </c>
      <c r="BG158" s="52">
        <f t="shared" si="129"/>
        <v>0</v>
      </c>
      <c r="BH158" s="34">
        <f t="shared" si="130"/>
        <v>105</v>
      </c>
      <c r="BI158" s="34">
        <f t="shared" si="131"/>
        <v>30</v>
      </c>
      <c r="BJ158" s="34">
        <f t="shared" si="132"/>
        <v>20</v>
      </c>
      <c r="BK158" s="57">
        <f t="shared" si="133"/>
        <v>245</v>
      </c>
      <c r="BL158" s="34">
        <f t="shared" si="134"/>
        <v>10</v>
      </c>
      <c r="BM158" s="34">
        <f t="shared" si="135"/>
        <v>10</v>
      </c>
      <c r="BN158" s="34">
        <f t="shared" si="136"/>
        <v>70</v>
      </c>
      <c r="BO158" s="34">
        <f t="shared" si="137"/>
        <v>155</v>
      </c>
    </row>
    <row r="159" spans="1:67" ht="13.5" customHeight="1" x14ac:dyDescent="0.25">
      <c r="A159" s="36" t="s">
        <v>434</v>
      </c>
      <c r="B159" s="67" t="s">
        <v>98</v>
      </c>
      <c r="C159" s="34">
        <v>0</v>
      </c>
      <c r="D159" s="34">
        <v>0</v>
      </c>
      <c r="E159" s="52">
        <v>15</v>
      </c>
      <c r="F159" s="34">
        <v>35</v>
      </c>
      <c r="G159" s="34">
        <v>35</v>
      </c>
      <c r="H159" s="52">
        <v>15</v>
      </c>
      <c r="I159" s="34">
        <v>0</v>
      </c>
      <c r="J159" s="34">
        <v>0</v>
      </c>
      <c r="K159" s="52">
        <v>0</v>
      </c>
      <c r="L159" s="34">
        <v>0</v>
      </c>
      <c r="M159" s="34">
        <v>0</v>
      </c>
      <c r="N159" s="46">
        <v>0</v>
      </c>
      <c r="O159" s="34">
        <v>0</v>
      </c>
      <c r="P159" s="34">
        <v>0</v>
      </c>
      <c r="Q159" s="52">
        <v>0</v>
      </c>
      <c r="R159" s="34">
        <v>0</v>
      </c>
      <c r="S159" s="34">
        <v>0</v>
      </c>
      <c r="T159" s="52">
        <v>0</v>
      </c>
      <c r="U159" s="34">
        <v>0</v>
      </c>
      <c r="V159" s="34">
        <v>0</v>
      </c>
      <c r="W159" s="52">
        <v>0</v>
      </c>
      <c r="X159" s="34">
        <v>0</v>
      </c>
      <c r="Y159" s="34">
        <v>0</v>
      </c>
      <c r="Z159" s="46">
        <v>0</v>
      </c>
      <c r="AA159" s="34">
        <v>0</v>
      </c>
      <c r="AB159" s="34">
        <v>15</v>
      </c>
      <c r="AC159" s="52">
        <v>15</v>
      </c>
      <c r="AD159" s="34">
        <v>45</v>
      </c>
      <c r="AE159" s="34">
        <v>35</v>
      </c>
      <c r="AF159" s="52">
        <v>35</v>
      </c>
      <c r="AG159" s="34">
        <v>0</v>
      </c>
      <c r="AH159" s="34">
        <v>0</v>
      </c>
      <c r="AI159" s="52">
        <v>0</v>
      </c>
      <c r="AJ159" s="34">
        <v>0</v>
      </c>
      <c r="AK159" s="34">
        <v>0</v>
      </c>
      <c r="AL159" s="46">
        <v>0</v>
      </c>
      <c r="AM159" s="34">
        <v>0</v>
      </c>
      <c r="AN159" s="34">
        <v>0</v>
      </c>
      <c r="AO159" s="52">
        <v>0</v>
      </c>
      <c r="AP159" s="34">
        <v>0</v>
      </c>
      <c r="AQ159" s="34">
        <v>0</v>
      </c>
      <c r="AR159" s="52">
        <v>0</v>
      </c>
      <c r="AS159" s="34">
        <v>0</v>
      </c>
      <c r="AT159" s="34">
        <v>0</v>
      </c>
      <c r="AU159" s="52">
        <v>0</v>
      </c>
      <c r="AV159" s="34">
        <v>0</v>
      </c>
      <c r="AW159" s="34">
        <v>0</v>
      </c>
      <c r="AX159" s="46">
        <v>0</v>
      </c>
      <c r="AY159" s="34">
        <f t="shared" si="121"/>
        <v>0</v>
      </c>
      <c r="AZ159" s="34">
        <f t="shared" si="122"/>
        <v>15</v>
      </c>
      <c r="BA159" s="52">
        <f t="shared" si="123"/>
        <v>30</v>
      </c>
      <c r="BB159" s="34">
        <f t="shared" si="124"/>
        <v>80</v>
      </c>
      <c r="BC159" s="34">
        <f t="shared" si="125"/>
        <v>70</v>
      </c>
      <c r="BD159" s="52">
        <f t="shared" si="126"/>
        <v>50</v>
      </c>
      <c r="BE159" s="34">
        <f t="shared" si="127"/>
        <v>0</v>
      </c>
      <c r="BF159" s="34">
        <f t="shared" si="128"/>
        <v>0</v>
      </c>
      <c r="BG159" s="52">
        <f t="shared" si="129"/>
        <v>0</v>
      </c>
      <c r="BH159" s="34">
        <f t="shared" si="130"/>
        <v>0</v>
      </c>
      <c r="BI159" s="34">
        <f t="shared" si="131"/>
        <v>0</v>
      </c>
      <c r="BJ159" s="34">
        <f t="shared" si="132"/>
        <v>0</v>
      </c>
      <c r="BK159" s="57">
        <f t="shared" si="133"/>
        <v>245</v>
      </c>
      <c r="BL159" s="34">
        <f t="shared" si="134"/>
        <v>45</v>
      </c>
      <c r="BM159" s="34">
        <f t="shared" si="135"/>
        <v>200</v>
      </c>
      <c r="BN159" s="34">
        <f t="shared" si="136"/>
        <v>0</v>
      </c>
      <c r="BO159" s="34">
        <f t="shared" si="137"/>
        <v>0</v>
      </c>
    </row>
    <row r="160" spans="1:67" ht="13.5" customHeight="1" x14ac:dyDescent="0.25">
      <c r="A160" s="36" t="s">
        <v>435</v>
      </c>
      <c r="B160" s="67" t="s">
        <v>681</v>
      </c>
      <c r="C160" s="34">
        <v>25</v>
      </c>
      <c r="D160" s="34">
        <v>0</v>
      </c>
      <c r="E160" s="52">
        <v>0</v>
      </c>
      <c r="F160" s="34">
        <v>25</v>
      </c>
      <c r="G160" s="34">
        <v>20</v>
      </c>
      <c r="H160" s="52">
        <v>20</v>
      </c>
      <c r="I160" s="34">
        <v>0</v>
      </c>
      <c r="J160" s="34">
        <v>0</v>
      </c>
      <c r="K160" s="52">
        <v>0</v>
      </c>
      <c r="L160" s="34">
        <v>0</v>
      </c>
      <c r="M160" s="34">
        <v>0</v>
      </c>
      <c r="N160" s="46">
        <v>0</v>
      </c>
      <c r="O160" s="34">
        <v>0</v>
      </c>
      <c r="P160" s="34">
        <v>0</v>
      </c>
      <c r="Q160" s="52">
        <v>0</v>
      </c>
      <c r="R160" s="34">
        <v>0</v>
      </c>
      <c r="S160" s="34">
        <v>0</v>
      </c>
      <c r="T160" s="52">
        <v>0</v>
      </c>
      <c r="U160" s="34">
        <v>0</v>
      </c>
      <c r="V160" s="34">
        <v>0</v>
      </c>
      <c r="W160" s="52">
        <v>0</v>
      </c>
      <c r="X160" s="34">
        <v>0</v>
      </c>
      <c r="Y160" s="34">
        <v>0</v>
      </c>
      <c r="Z160" s="46">
        <v>0</v>
      </c>
      <c r="AA160" s="34">
        <v>30</v>
      </c>
      <c r="AB160" s="34">
        <v>10</v>
      </c>
      <c r="AC160" s="52">
        <v>30</v>
      </c>
      <c r="AD160" s="34">
        <v>30</v>
      </c>
      <c r="AE160" s="34">
        <v>40</v>
      </c>
      <c r="AF160" s="52">
        <v>10</v>
      </c>
      <c r="AG160" s="34">
        <v>0</v>
      </c>
      <c r="AH160" s="34">
        <v>0</v>
      </c>
      <c r="AI160" s="52">
        <v>0</v>
      </c>
      <c r="AJ160" s="34">
        <v>0</v>
      </c>
      <c r="AK160" s="34">
        <v>0</v>
      </c>
      <c r="AL160" s="46">
        <v>0</v>
      </c>
      <c r="AM160" s="34">
        <v>0</v>
      </c>
      <c r="AN160" s="34">
        <v>0</v>
      </c>
      <c r="AO160" s="52">
        <v>0</v>
      </c>
      <c r="AP160" s="34">
        <v>0</v>
      </c>
      <c r="AQ160" s="34">
        <v>0</v>
      </c>
      <c r="AR160" s="52">
        <v>0</v>
      </c>
      <c r="AS160" s="34">
        <v>0</v>
      </c>
      <c r="AT160" s="34">
        <v>0</v>
      </c>
      <c r="AU160" s="52">
        <v>0</v>
      </c>
      <c r="AV160" s="34">
        <v>0</v>
      </c>
      <c r="AW160" s="34">
        <v>0</v>
      </c>
      <c r="AX160" s="46">
        <v>0</v>
      </c>
      <c r="AY160" s="34">
        <f t="shared" si="121"/>
        <v>55</v>
      </c>
      <c r="AZ160" s="34">
        <f t="shared" si="122"/>
        <v>10</v>
      </c>
      <c r="BA160" s="52">
        <f t="shared" si="123"/>
        <v>30</v>
      </c>
      <c r="BB160" s="34">
        <f t="shared" si="124"/>
        <v>55</v>
      </c>
      <c r="BC160" s="34">
        <f t="shared" si="125"/>
        <v>60</v>
      </c>
      <c r="BD160" s="52">
        <f t="shared" si="126"/>
        <v>30</v>
      </c>
      <c r="BE160" s="34">
        <f t="shared" si="127"/>
        <v>0</v>
      </c>
      <c r="BF160" s="34">
        <f t="shared" si="128"/>
        <v>0</v>
      </c>
      <c r="BG160" s="52">
        <f t="shared" si="129"/>
        <v>0</v>
      </c>
      <c r="BH160" s="34">
        <f t="shared" si="130"/>
        <v>0</v>
      </c>
      <c r="BI160" s="34">
        <f t="shared" si="131"/>
        <v>0</v>
      </c>
      <c r="BJ160" s="34">
        <f t="shared" si="132"/>
        <v>0</v>
      </c>
      <c r="BK160" s="57">
        <f t="shared" si="133"/>
        <v>240</v>
      </c>
      <c r="BL160" s="34">
        <f t="shared" si="134"/>
        <v>95</v>
      </c>
      <c r="BM160" s="34">
        <f t="shared" si="135"/>
        <v>145</v>
      </c>
      <c r="BN160" s="34">
        <f t="shared" si="136"/>
        <v>0</v>
      </c>
      <c r="BO160" s="34">
        <f t="shared" si="137"/>
        <v>0</v>
      </c>
    </row>
    <row r="161" spans="1:67" ht="13.5" customHeight="1" x14ac:dyDescent="0.25">
      <c r="A161" s="36" t="s">
        <v>436</v>
      </c>
      <c r="B161" s="70" t="s">
        <v>192</v>
      </c>
      <c r="C161" s="34">
        <v>0</v>
      </c>
      <c r="D161" s="34">
        <v>0</v>
      </c>
      <c r="E161" s="52">
        <v>0</v>
      </c>
      <c r="F161" s="34">
        <v>0</v>
      </c>
      <c r="G161" s="34">
        <v>0</v>
      </c>
      <c r="H161" s="52">
        <v>0</v>
      </c>
      <c r="I161" s="34">
        <v>10</v>
      </c>
      <c r="J161" s="34">
        <v>0</v>
      </c>
      <c r="K161" s="52">
        <v>0</v>
      </c>
      <c r="L161" s="34">
        <v>40</v>
      </c>
      <c r="M161" s="34">
        <v>30</v>
      </c>
      <c r="N161" s="46">
        <v>0</v>
      </c>
      <c r="O161" s="34">
        <v>0</v>
      </c>
      <c r="P161" s="34">
        <v>0</v>
      </c>
      <c r="Q161" s="52">
        <v>0</v>
      </c>
      <c r="R161" s="34">
        <v>0</v>
      </c>
      <c r="S161" s="34">
        <v>0</v>
      </c>
      <c r="T161" s="52">
        <v>0</v>
      </c>
      <c r="U161" s="34">
        <v>0</v>
      </c>
      <c r="V161" s="34">
        <v>0</v>
      </c>
      <c r="W161" s="52">
        <v>0</v>
      </c>
      <c r="X161" s="34">
        <v>0</v>
      </c>
      <c r="Y161" s="34">
        <v>0</v>
      </c>
      <c r="Z161" s="46">
        <v>0</v>
      </c>
      <c r="AA161" s="34">
        <v>0</v>
      </c>
      <c r="AB161" s="34">
        <v>0</v>
      </c>
      <c r="AC161" s="52">
        <v>0</v>
      </c>
      <c r="AD161" s="34">
        <v>0</v>
      </c>
      <c r="AE161" s="34">
        <v>0</v>
      </c>
      <c r="AF161" s="52">
        <v>0</v>
      </c>
      <c r="AG161" s="34">
        <v>10</v>
      </c>
      <c r="AH161" s="34">
        <v>0</v>
      </c>
      <c r="AI161" s="52">
        <v>25</v>
      </c>
      <c r="AJ161" s="34">
        <v>65</v>
      </c>
      <c r="AK161" s="34">
        <v>20</v>
      </c>
      <c r="AL161" s="46">
        <v>35</v>
      </c>
      <c r="AM161" s="34">
        <v>0</v>
      </c>
      <c r="AN161" s="34">
        <v>0</v>
      </c>
      <c r="AO161" s="52">
        <v>0</v>
      </c>
      <c r="AP161" s="34">
        <v>0</v>
      </c>
      <c r="AQ161" s="34">
        <v>0</v>
      </c>
      <c r="AR161" s="52">
        <v>0</v>
      </c>
      <c r="AS161" s="34">
        <v>0</v>
      </c>
      <c r="AT161" s="34">
        <v>0</v>
      </c>
      <c r="AU161" s="52">
        <v>0</v>
      </c>
      <c r="AV161" s="34">
        <v>0</v>
      </c>
      <c r="AW161" s="34">
        <v>0</v>
      </c>
      <c r="AX161" s="46">
        <v>0</v>
      </c>
      <c r="AY161" s="41">
        <f t="shared" si="121"/>
        <v>0</v>
      </c>
      <c r="AZ161" s="41">
        <f t="shared" si="122"/>
        <v>0</v>
      </c>
      <c r="BA161" s="50">
        <f t="shared" si="123"/>
        <v>0</v>
      </c>
      <c r="BB161" s="41">
        <f t="shared" si="124"/>
        <v>0</v>
      </c>
      <c r="BC161" s="41">
        <f t="shared" si="125"/>
        <v>0</v>
      </c>
      <c r="BD161" s="50">
        <f t="shared" si="126"/>
        <v>0</v>
      </c>
      <c r="BE161" s="41">
        <f t="shared" si="127"/>
        <v>20</v>
      </c>
      <c r="BF161" s="41">
        <f t="shared" si="128"/>
        <v>0</v>
      </c>
      <c r="BG161" s="50">
        <f t="shared" si="129"/>
        <v>25</v>
      </c>
      <c r="BH161" s="41">
        <f t="shared" si="130"/>
        <v>105</v>
      </c>
      <c r="BI161" s="41">
        <f t="shared" si="131"/>
        <v>50</v>
      </c>
      <c r="BJ161" s="41">
        <f t="shared" si="132"/>
        <v>35</v>
      </c>
      <c r="BK161" s="56">
        <f t="shared" si="133"/>
        <v>235</v>
      </c>
      <c r="BL161" s="41">
        <f t="shared" si="134"/>
        <v>0</v>
      </c>
      <c r="BM161" s="41">
        <f t="shared" si="135"/>
        <v>0</v>
      </c>
      <c r="BN161" s="41">
        <f t="shared" si="136"/>
        <v>45</v>
      </c>
      <c r="BO161" s="41">
        <f t="shared" si="137"/>
        <v>190</v>
      </c>
    </row>
    <row r="162" spans="1:67" ht="13.5" customHeight="1" x14ac:dyDescent="0.25">
      <c r="A162" s="36" t="s">
        <v>437</v>
      </c>
      <c r="B162" s="70" t="s">
        <v>187</v>
      </c>
      <c r="C162" s="34">
        <v>0</v>
      </c>
      <c r="D162" s="34">
        <v>0</v>
      </c>
      <c r="E162" s="52">
        <v>0</v>
      </c>
      <c r="F162" s="34">
        <v>0</v>
      </c>
      <c r="G162" s="34">
        <v>0</v>
      </c>
      <c r="H162" s="52">
        <v>0</v>
      </c>
      <c r="I162" s="34">
        <v>0</v>
      </c>
      <c r="J162" s="34">
        <v>25</v>
      </c>
      <c r="K162" s="52">
        <v>0</v>
      </c>
      <c r="L162" s="34">
        <v>45</v>
      </c>
      <c r="M162" s="34">
        <v>25</v>
      </c>
      <c r="N162" s="46">
        <v>0</v>
      </c>
      <c r="O162" s="34">
        <v>0</v>
      </c>
      <c r="P162" s="34">
        <v>0</v>
      </c>
      <c r="Q162" s="52">
        <v>0</v>
      </c>
      <c r="R162" s="34">
        <v>0</v>
      </c>
      <c r="S162" s="34">
        <v>0</v>
      </c>
      <c r="T162" s="52">
        <v>0</v>
      </c>
      <c r="U162" s="34">
        <v>0</v>
      </c>
      <c r="V162" s="34">
        <v>0</v>
      </c>
      <c r="W162" s="52">
        <v>0</v>
      </c>
      <c r="X162" s="34">
        <v>0</v>
      </c>
      <c r="Y162" s="34">
        <v>0</v>
      </c>
      <c r="Z162" s="46">
        <v>0</v>
      </c>
      <c r="AA162" s="34">
        <v>0</v>
      </c>
      <c r="AB162" s="34">
        <v>0</v>
      </c>
      <c r="AC162" s="52">
        <v>0</v>
      </c>
      <c r="AD162" s="34">
        <v>0</v>
      </c>
      <c r="AE162" s="34">
        <v>0</v>
      </c>
      <c r="AF162" s="52">
        <v>0</v>
      </c>
      <c r="AG162" s="34">
        <v>0</v>
      </c>
      <c r="AH162" s="34">
        <v>0</v>
      </c>
      <c r="AI162" s="52">
        <v>0</v>
      </c>
      <c r="AJ162" s="34">
        <v>60</v>
      </c>
      <c r="AK162" s="34">
        <v>45</v>
      </c>
      <c r="AL162" s="46">
        <v>10</v>
      </c>
      <c r="AM162" s="34">
        <v>0</v>
      </c>
      <c r="AN162" s="34">
        <v>0</v>
      </c>
      <c r="AO162" s="52">
        <v>0</v>
      </c>
      <c r="AP162" s="34">
        <v>0</v>
      </c>
      <c r="AQ162" s="34">
        <v>0</v>
      </c>
      <c r="AR162" s="52">
        <v>0</v>
      </c>
      <c r="AS162" s="34">
        <v>0</v>
      </c>
      <c r="AT162" s="34">
        <v>10</v>
      </c>
      <c r="AU162" s="52">
        <v>0</v>
      </c>
      <c r="AV162" s="34">
        <v>0</v>
      </c>
      <c r="AW162" s="34">
        <v>10</v>
      </c>
      <c r="AX162" s="46">
        <v>0</v>
      </c>
      <c r="AY162" s="41">
        <f t="shared" si="121"/>
        <v>0</v>
      </c>
      <c r="AZ162" s="41">
        <f t="shared" si="122"/>
        <v>0</v>
      </c>
      <c r="BA162" s="50">
        <f t="shared" si="123"/>
        <v>0</v>
      </c>
      <c r="BB162" s="41">
        <f t="shared" si="124"/>
        <v>0</v>
      </c>
      <c r="BC162" s="41">
        <f t="shared" si="125"/>
        <v>0</v>
      </c>
      <c r="BD162" s="50">
        <f t="shared" si="126"/>
        <v>0</v>
      </c>
      <c r="BE162" s="41">
        <f t="shared" si="127"/>
        <v>0</v>
      </c>
      <c r="BF162" s="41">
        <f t="shared" si="128"/>
        <v>35</v>
      </c>
      <c r="BG162" s="50">
        <f t="shared" si="129"/>
        <v>0</v>
      </c>
      <c r="BH162" s="41">
        <f t="shared" si="130"/>
        <v>105</v>
      </c>
      <c r="BI162" s="41">
        <f t="shared" si="131"/>
        <v>80</v>
      </c>
      <c r="BJ162" s="41">
        <f t="shared" si="132"/>
        <v>10</v>
      </c>
      <c r="BK162" s="56">
        <f t="shared" si="133"/>
        <v>230</v>
      </c>
      <c r="BL162" s="41">
        <f t="shared" si="134"/>
        <v>0</v>
      </c>
      <c r="BM162" s="41">
        <f t="shared" si="135"/>
        <v>0</v>
      </c>
      <c r="BN162" s="41">
        <f t="shared" si="136"/>
        <v>35</v>
      </c>
      <c r="BO162" s="41">
        <f t="shared" si="137"/>
        <v>195</v>
      </c>
    </row>
    <row r="163" spans="1:67" ht="13.5" customHeight="1" x14ac:dyDescent="0.25">
      <c r="A163" s="36" t="s">
        <v>438</v>
      </c>
      <c r="B163" s="68" t="s">
        <v>101</v>
      </c>
      <c r="C163" s="34">
        <v>15</v>
      </c>
      <c r="D163" s="34">
        <v>0</v>
      </c>
      <c r="E163" s="52">
        <v>0</v>
      </c>
      <c r="F163" s="34">
        <v>15</v>
      </c>
      <c r="G163" s="34">
        <v>0</v>
      </c>
      <c r="H163" s="52">
        <v>25</v>
      </c>
      <c r="I163" s="34">
        <v>0</v>
      </c>
      <c r="J163" s="34">
        <v>0</v>
      </c>
      <c r="K163" s="52">
        <v>0</v>
      </c>
      <c r="L163" s="34">
        <v>0</v>
      </c>
      <c r="M163" s="34">
        <v>0</v>
      </c>
      <c r="N163" s="46">
        <v>0</v>
      </c>
      <c r="O163" s="34">
        <v>0</v>
      </c>
      <c r="P163" s="34">
        <v>0</v>
      </c>
      <c r="Q163" s="52">
        <v>0</v>
      </c>
      <c r="R163" s="34">
        <v>0</v>
      </c>
      <c r="S163" s="34">
        <v>0</v>
      </c>
      <c r="T163" s="52">
        <v>0</v>
      </c>
      <c r="U163" s="34">
        <v>0</v>
      </c>
      <c r="V163" s="34">
        <v>0</v>
      </c>
      <c r="W163" s="52">
        <v>0</v>
      </c>
      <c r="X163" s="34">
        <v>0</v>
      </c>
      <c r="Y163" s="34">
        <v>0</v>
      </c>
      <c r="Z163" s="46">
        <v>0</v>
      </c>
      <c r="AA163" s="34">
        <v>41</v>
      </c>
      <c r="AB163" s="34">
        <v>0</v>
      </c>
      <c r="AC163" s="52">
        <v>25</v>
      </c>
      <c r="AD163" s="34">
        <v>51</v>
      </c>
      <c r="AE163" s="34">
        <v>0</v>
      </c>
      <c r="AF163" s="52">
        <v>35</v>
      </c>
      <c r="AG163" s="34">
        <v>6</v>
      </c>
      <c r="AH163" s="34">
        <v>0</v>
      </c>
      <c r="AI163" s="52">
        <v>0</v>
      </c>
      <c r="AJ163" s="34">
        <v>6</v>
      </c>
      <c r="AK163" s="34">
        <v>0</v>
      </c>
      <c r="AL163" s="46">
        <v>0</v>
      </c>
      <c r="AM163" s="34">
        <v>0</v>
      </c>
      <c r="AN163" s="34">
        <v>0</v>
      </c>
      <c r="AO163" s="52">
        <v>0</v>
      </c>
      <c r="AP163" s="34">
        <v>0</v>
      </c>
      <c r="AQ163" s="34">
        <v>0</v>
      </c>
      <c r="AR163" s="52">
        <v>0</v>
      </c>
      <c r="AS163" s="34">
        <v>0</v>
      </c>
      <c r="AT163" s="34">
        <v>0</v>
      </c>
      <c r="AU163" s="52">
        <v>0</v>
      </c>
      <c r="AV163" s="34">
        <v>0</v>
      </c>
      <c r="AW163" s="34">
        <v>0</v>
      </c>
      <c r="AX163" s="46">
        <v>0</v>
      </c>
      <c r="AY163" s="34">
        <f t="shared" si="121"/>
        <v>56</v>
      </c>
      <c r="AZ163" s="34">
        <f t="shared" si="122"/>
        <v>0</v>
      </c>
      <c r="BA163" s="52">
        <f t="shared" si="123"/>
        <v>25</v>
      </c>
      <c r="BB163" s="34">
        <f t="shared" si="124"/>
        <v>66</v>
      </c>
      <c r="BC163" s="34">
        <f t="shared" si="125"/>
        <v>0</v>
      </c>
      <c r="BD163" s="52">
        <f t="shared" si="126"/>
        <v>60</v>
      </c>
      <c r="BE163" s="34">
        <f t="shared" si="127"/>
        <v>6</v>
      </c>
      <c r="BF163" s="34">
        <f t="shared" si="128"/>
        <v>0</v>
      </c>
      <c r="BG163" s="52">
        <f t="shared" si="129"/>
        <v>0</v>
      </c>
      <c r="BH163" s="34">
        <f t="shared" si="130"/>
        <v>6</v>
      </c>
      <c r="BI163" s="34">
        <f t="shared" si="131"/>
        <v>0</v>
      </c>
      <c r="BJ163" s="34">
        <f t="shared" si="132"/>
        <v>0</v>
      </c>
      <c r="BK163" s="57">
        <f t="shared" si="133"/>
        <v>219</v>
      </c>
      <c r="BL163" s="34">
        <f t="shared" si="134"/>
        <v>81</v>
      </c>
      <c r="BM163" s="34">
        <f t="shared" si="135"/>
        <v>126</v>
      </c>
      <c r="BN163" s="34">
        <f t="shared" si="136"/>
        <v>6</v>
      </c>
      <c r="BO163" s="34">
        <f t="shared" si="137"/>
        <v>6</v>
      </c>
    </row>
    <row r="164" spans="1:67" ht="13.5" customHeight="1" x14ac:dyDescent="0.25">
      <c r="A164" s="36" t="s">
        <v>439</v>
      </c>
      <c r="B164" s="68" t="s">
        <v>668</v>
      </c>
      <c r="C164" s="34">
        <v>30</v>
      </c>
      <c r="D164" s="34">
        <v>0</v>
      </c>
      <c r="E164" s="52">
        <v>15</v>
      </c>
      <c r="F164" s="34">
        <v>0</v>
      </c>
      <c r="G164" s="34">
        <v>0</v>
      </c>
      <c r="H164" s="52">
        <v>15</v>
      </c>
      <c r="I164" s="34">
        <v>0</v>
      </c>
      <c r="J164" s="34">
        <v>0</v>
      </c>
      <c r="K164" s="52">
        <v>0</v>
      </c>
      <c r="L164" s="34">
        <v>0</v>
      </c>
      <c r="M164" s="34">
        <v>0</v>
      </c>
      <c r="N164" s="46">
        <v>0</v>
      </c>
      <c r="O164" s="34">
        <v>0</v>
      </c>
      <c r="P164" s="34">
        <v>0</v>
      </c>
      <c r="Q164" s="52">
        <v>0</v>
      </c>
      <c r="R164" s="34">
        <v>0</v>
      </c>
      <c r="S164" s="34">
        <v>0</v>
      </c>
      <c r="T164" s="52">
        <v>0</v>
      </c>
      <c r="U164" s="34">
        <v>0</v>
      </c>
      <c r="V164" s="34">
        <v>0</v>
      </c>
      <c r="W164" s="52">
        <v>0</v>
      </c>
      <c r="X164" s="34">
        <v>0</v>
      </c>
      <c r="Y164" s="34">
        <v>0</v>
      </c>
      <c r="Z164" s="46">
        <v>0</v>
      </c>
      <c r="AA164" s="34">
        <v>62</v>
      </c>
      <c r="AB164" s="34">
        <v>56</v>
      </c>
      <c r="AC164" s="52">
        <v>10</v>
      </c>
      <c r="AD164" s="34">
        <v>16</v>
      </c>
      <c r="AE164" s="34">
        <v>0</v>
      </c>
      <c r="AF164" s="52">
        <v>0</v>
      </c>
      <c r="AG164" s="34">
        <v>6</v>
      </c>
      <c r="AH164" s="34">
        <v>0</v>
      </c>
      <c r="AI164" s="52">
        <v>0</v>
      </c>
      <c r="AJ164" s="34">
        <v>6</v>
      </c>
      <c r="AK164" s="34">
        <v>0</v>
      </c>
      <c r="AL164" s="46">
        <v>0</v>
      </c>
      <c r="AM164" s="34">
        <v>0</v>
      </c>
      <c r="AN164" s="34">
        <v>0</v>
      </c>
      <c r="AO164" s="52">
        <v>0</v>
      </c>
      <c r="AP164" s="34">
        <v>0</v>
      </c>
      <c r="AQ164" s="34">
        <v>0</v>
      </c>
      <c r="AR164" s="52">
        <v>0</v>
      </c>
      <c r="AS164" s="34">
        <v>0</v>
      </c>
      <c r="AT164" s="34">
        <v>0</v>
      </c>
      <c r="AU164" s="52">
        <v>0</v>
      </c>
      <c r="AV164" s="34">
        <v>0</v>
      </c>
      <c r="AW164" s="34">
        <v>0</v>
      </c>
      <c r="AX164" s="46">
        <v>0</v>
      </c>
      <c r="AY164" s="34">
        <f t="shared" si="121"/>
        <v>92</v>
      </c>
      <c r="AZ164" s="34">
        <f t="shared" si="122"/>
        <v>56</v>
      </c>
      <c r="BA164" s="52">
        <f t="shared" si="123"/>
        <v>25</v>
      </c>
      <c r="BB164" s="34">
        <f t="shared" si="124"/>
        <v>16</v>
      </c>
      <c r="BC164" s="34">
        <f t="shared" si="125"/>
        <v>0</v>
      </c>
      <c r="BD164" s="52">
        <f t="shared" si="126"/>
        <v>15</v>
      </c>
      <c r="BE164" s="34">
        <f t="shared" si="127"/>
        <v>6</v>
      </c>
      <c r="BF164" s="34">
        <f t="shared" si="128"/>
        <v>0</v>
      </c>
      <c r="BG164" s="52">
        <f t="shared" si="129"/>
        <v>0</v>
      </c>
      <c r="BH164" s="34">
        <f t="shared" si="130"/>
        <v>6</v>
      </c>
      <c r="BI164" s="34">
        <f t="shared" si="131"/>
        <v>0</v>
      </c>
      <c r="BJ164" s="34">
        <f t="shared" si="132"/>
        <v>0</v>
      </c>
      <c r="BK164" s="57">
        <f t="shared" si="133"/>
        <v>216</v>
      </c>
      <c r="BL164" s="34">
        <f t="shared" si="134"/>
        <v>173</v>
      </c>
      <c r="BM164" s="34">
        <f t="shared" si="135"/>
        <v>31</v>
      </c>
      <c r="BN164" s="34">
        <f t="shared" si="136"/>
        <v>6</v>
      </c>
      <c r="BO164" s="34">
        <f t="shared" si="137"/>
        <v>6</v>
      </c>
    </row>
    <row r="165" spans="1:67" ht="13.5" customHeight="1" x14ac:dyDescent="0.25">
      <c r="A165" s="36" t="s">
        <v>440</v>
      </c>
      <c r="B165" s="71" t="s">
        <v>154</v>
      </c>
      <c r="C165" s="34">
        <v>0</v>
      </c>
      <c r="D165" s="34">
        <v>0</v>
      </c>
      <c r="E165" s="52">
        <v>0</v>
      </c>
      <c r="F165" s="34">
        <v>0</v>
      </c>
      <c r="G165" s="34">
        <v>0</v>
      </c>
      <c r="H165" s="52">
        <v>0</v>
      </c>
      <c r="I165" s="34">
        <v>40</v>
      </c>
      <c r="J165" s="34">
        <v>45</v>
      </c>
      <c r="K165" s="52">
        <v>0</v>
      </c>
      <c r="L165" s="34">
        <v>0</v>
      </c>
      <c r="M165" s="34">
        <v>0</v>
      </c>
      <c r="N165" s="46">
        <v>0</v>
      </c>
      <c r="O165" s="34">
        <v>0</v>
      </c>
      <c r="P165" s="34">
        <v>0</v>
      </c>
      <c r="Q165" s="52">
        <v>0</v>
      </c>
      <c r="R165" s="34">
        <v>0</v>
      </c>
      <c r="S165" s="34">
        <v>0</v>
      </c>
      <c r="T165" s="52">
        <v>0</v>
      </c>
      <c r="U165" s="34">
        <v>0</v>
      </c>
      <c r="V165" s="34">
        <v>0</v>
      </c>
      <c r="W165" s="52">
        <v>0</v>
      </c>
      <c r="X165" s="34">
        <v>0</v>
      </c>
      <c r="Y165" s="34">
        <v>0</v>
      </c>
      <c r="Z165" s="46">
        <v>0</v>
      </c>
      <c r="AA165" s="34">
        <v>0</v>
      </c>
      <c r="AB165" s="34">
        <v>0</v>
      </c>
      <c r="AC165" s="52">
        <v>0</v>
      </c>
      <c r="AD165" s="34">
        <v>0</v>
      </c>
      <c r="AE165" s="34">
        <v>0</v>
      </c>
      <c r="AF165" s="52">
        <v>0</v>
      </c>
      <c r="AG165" s="34">
        <v>60</v>
      </c>
      <c r="AH165" s="34">
        <v>40</v>
      </c>
      <c r="AI165" s="52">
        <v>20</v>
      </c>
      <c r="AJ165" s="34">
        <v>0</v>
      </c>
      <c r="AK165" s="34">
        <v>0</v>
      </c>
      <c r="AL165" s="46">
        <v>10</v>
      </c>
      <c r="AM165" s="34">
        <v>0</v>
      </c>
      <c r="AN165" s="34">
        <v>0</v>
      </c>
      <c r="AO165" s="52">
        <v>0</v>
      </c>
      <c r="AP165" s="34">
        <v>0</v>
      </c>
      <c r="AQ165" s="34">
        <v>0</v>
      </c>
      <c r="AR165" s="52">
        <v>0</v>
      </c>
      <c r="AS165" s="34">
        <v>0</v>
      </c>
      <c r="AT165" s="34">
        <v>0</v>
      </c>
      <c r="AU165" s="52">
        <v>0</v>
      </c>
      <c r="AV165" s="34">
        <v>0</v>
      </c>
      <c r="AW165" s="34">
        <v>0</v>
      </c>
      <c r="AX165" s="46">
        <v>0</v>
      </c>
      <c r="AY165" s="41">
        <f t="shared" si="121"/>
        <v>0</v>
      </c>
      <c r="AZ165" s="41">
        <f t="shared" si="122"/>
        <v>0</v>
      </c>
      <c r="BA165" s="50">
        <f t="shared" si="123"/>
        <v>0</v>
      </c>
      <c r="BB165" s="41">
        <f t="shared" si="124"/>
        <v>0</v>
      </c>
      <c r="BC165" s="41">
        <f t="shared" si="125"/>
        <v>0</v>
      </c>
      <c r="BD165" s="50">
        <f t="shared" si="126"/>
        <v>0</v>
      </c>
      <c r="BE165" s="41">
        <f t="shared" si="127"/>
        <v>100</v>
      </c>
      <c r="BF165" s="41">
        <f t="shared" si="128"/>
        <v>85</v>
      </c>
      <c r="BG165" s="50">
        <f t="shared" si="129"/>
        <v>20</v>
      </c>
      <c r="BH165" s="41">
        <f t="shared" si="130"/>
        <v>0</v>
      </c>
      <c r="BI165" s="41">
        <f t="shared" si="131"/>
        <v>0</v>
      </c>
      <c r="BJ165" s="41">
        <f t="shared" si="132"/>
        <v>10</v>
      </c>
      <c r="BK165" s="56">
        <f t="shared" si="133"/>
        <v>215</v>
      </c>
      <c r="BL165" s="41">
        <f t="shared" si="134"/>
        <v>0</v>
      </c>
      <c r="BM165" s="41">
        <f t="shared" si="135"/>
        <v>0</v>
      </c>
      <c r="BN165" s="41">
        <f t="shared" si="136"/>
        <v>205</v>
      </c>
      <c r="BO165" s="41">
        <f t="shared" si="137"/>
        <v>10</v>
      </c>
    </row>
    <row r="166" spans="1:67" ht="13.5" customHeight="1" x14ac:dyDescent="0.25">
      <c r="A166" s="36" t="s">
        <v>441</v>
      </c>
      <c r="B166" s="71" t="s">
        <v>148</v>
      </c>
      <c r="C166" s="34">
        <v>0</v>
      </c>
      <c r="D166" s="34">
        <v>0</v>
      </c>
      <c r="E166" s="52">
        <v>0</v>
      </c>
      <c r="F166" s="34">
        <v>0</v>
      </c>
      <c r="G166" s="34">
        <v>0</v>
      </c>
      <c r="H166" s="52">
        <v>0</v>
      </c>
      <c r="I166" s="34">
        <v>40</v>
      </c>
      <c r="J166" s="34">
        <v>20</v>
      </c>
      <c r="K166" s="52">
        <v>20</v>
      </c>
      <c r="L166" s="34">
        <v>0</v>
      </c>
      <c r="M166" s="34">
        <v>0</v>
      </c>
      <c r="N166" s="46">
        <v>0</v>
      </c>
      <c r="O166" s="34">
        <v>0</v>
      </c>
      <c r="P166" s="34">
        <v>0</v>
      </c>
      <c r="Q166" s="52">
        <v>0</v>
      </c>
      <c r="R166" s="34">
        <v>0</v>
      </c>
      <c r="S166" s="34">
        <v>0</v>
      </c>
      <c r="T166" s="52">
        <v>0</v>
      </c>
      <c r="U166" s="34">
        <v>0</v>
      </c>
      <c r="V166" s="34">
        <v>0</v>
      </c>
      <c r="W166" s="52">
        <v>0</v>
      </c>
      <c r="X166" s="34">
        <v>0</v>
      </c>
      <c r="Y166" s="34">
        <v>0</v>
      </c>
      <c r="Z166" s="46">
        <v>0</v>
      </c>
      <c r="AA166" s="34">
        <v>0</v>
      </c>
      <c r="AB166" s="34">
        <v>0</v>
      </c>
      <c r="AC166" s="52">
        <v>0</v>
      </c>
      <c r="AD166" s="34">
        <v>0</v>
      </c>
      <c r="AE166" s="34">
        <v>0</v>
      </c>
      <c r="AF166" s="52">
        <v>0</v>
      </c>
      <c r="AG166" s="34">
        <v>55</v>
      </c>
      <c r="AH166" s="34">
        <v>45</v>
      </c>
      <c r="AI166" s="52">
        <v>10</v>
      </c>
      <c r="AJ166" s="34">
        <v>0</v>
      </c>
      <c r="AK166" s="34">
        <v>25</v>
      </c>
      <c r="AL166" s="46">
        <v>0</v>
      </c>
      <c r="AM166" s="34">
        <v>0</v>
      </c>
      <c r="AN166" s="34">
        <v>0</v>
      </c>
      <c r="AO166" s="52">
        <v>0</v>
      </c>
      <c r="AP166" s="34">
        <v>0</v>
      </c>
      <c r="AQ166" s="34">
        <v>0</v>
      </c>
      <c r="AR166" s="52">
        <v>0</v>
      </c>
      <c r="AS166" s="34">
        <v>0</v>
      </c>
      <c r="AT166" s="34">
        <v>0</v>
      </c>
      <c r="AU166" s="52">
        <v>0</v>
      </c>
      <c r="AV166" s="34">
        <v>0</v>
      </c>
      <c r="AW166" s="34">
        <v>0</v>
      </c>
      <c r="AX166" s="46">
        <v>0</v>
      </c>
      <c r="AY166" s="41">
        <f t="shared" si="121"/>
        <v>0</v>
      </c>
      <c r="AZ166" s="41">
        <f t="shared" si="122"/>
        <v>0</v>
      </c>
      <c r="BA166" s="50">
        <f t="shared" si="123"/>
        <v>0</v>
      </c>
      <c r="BB166" s="41">
        <f t="shared" si="124"/>
        <v>0</v>
      </c>
      <c r="BC166" s="41">
        <f t="shared" si="125"/>
        <v>0</v>
      </c>
      <c r="BD166" s="50">
        <f t="shared" si="126"/>
        <v>0</v>
      </c>
      <c r="BE166" s="41">
        <f t="shared" si="127"/>
        <v>95</v>
      </c>
      <c r="BF166" s="41">
        <f t="shared" si="128"/>
        <v>65</v>
      </c>
      <c r="BG166" s="50">
        <f t="shared" si="129"/>
        <v>30</v>
      </c>
      <c r="BH166" s="41">
        <f t="shared" si="130"/>
        <v>0</v>
      </c>
      <c r="BI166" s="41">
        <f t="shared" si="131"/>
        <v>25</v>
      </c>
      <c r="BJ166" s="41">
        <f t="shared" si="132"/>
        <v>0</v>
      </c>
      <c r="BK166" s="56">
        <f t="shared" si="133"/>
        <v>215</v>
      </c>
      <c r="BL166" s="41">
        <f t="shared" si="134"/>
        <v>0</v>
      </c>
      <c r="BM166" s="41">
        <f t="shared" si="135"/>
        <v>0</v>
      </c>
      <c r="BN166" s="41">
        <f t="shared" si="136"/>
        <v>190</v>
      </c>
      <c r="BO166" s="41">
        <f t="shared" si="137"/>
        <v>25</v>
      </c>
    </row>
    <row r="167" spans="1:67" ht="13.5" customHeight="1" x14ac:dyDescent="0.25">
      <c r="A167" s="36" t="s">
        <v>442</v>
      </c>
      <c r="B167" s="67" t="s">
        <v>682</v>
      </c>
      <c r="C167" s="34">
        <v>15</v>
      </c>
      <c r="D167" s="34">
        <v>0</v>
      </c>
      <c r="E167" s="52">
        <v>0</v>
      </c>
      <c r="F167" s="34">
        <v>15</v>
      </c>
      <c r="G167" s="34">
        <v>0</v>
      </c>
      <c r="H167" s="52">
        <v>30</v>
      </c>
      <c r="I167" s="34">
        <v>15</v>
      </c>
      <c r="J167" s="34">
        <v>0</v>
      </c>
      <c r="K167" s="52">
        <v>0</v>
      </c>
      <c r="L167" s="34">
        <v>15</v>
      </c>
      <c r="M167" s="34">
        <v>0</v>
      </c>
      <c r="N167" s="46">
        <v>0</v>
      </c>
      <c r="O167" s="34">
        <v>0</v>
      </c>
      <c r="P167" s="34">
        <v>0</v>
      </c>
      <c r="Q167" s="52">
        <v>0</v>
      </c>
      <c r="R167" s="34">
        <v>0</v>
      </c>
      <c r="S167" s="34">
        <v>0</v>
      </c>
      <c r="T167" s="52">
        <v>0</v>
      </c>
      <c r="U167" s="34">
        <v>0</v>
      </c>
      <c r="V167" s="34">
        <v>0</v>
      </c>
      <c r="W167" s="52">
        <v>0</v>
      </c>
      <c r="X167" s="34">
        <v>0</v>
      </c>
      <c r="Y167" s="34">
        <v>0</v>
      </c>
      <c r="Z167" s="46">
        <v>0</v>
      </c>
      <c r="AA167" s="34">
        <v>26</v>
      </c>
      <c r="AB167" s="34">
        <v>0</v>
      </c>
      <c r="AC167" s="52">
        <v>0</v>
      </c>
      <c r="AD167" s="34">
        <v>26</v>
      </c>
      <c r="AE167" s="34">
        <v>20</v>
      </c>
      <c r="AF167" s="52">
        <v>10</v>
      </c>
      <c r="AG167" s="34">
        <v>16</v>
      </c>
      <c r="AH167" s="34">
        <v>0</v>
      </c>
      <c r="AI167" s="52">
        <v>0</v>
      </c>
      <c r="AJ167" s="34">
        <v>16</v>
      </c>
      <c r="AK167" s="34">
        <v>0</v>
      </c>
      <c r="AL167" s="46">
        <v>0</v>
      </c>
      <c r="AM167" s="34">
        <v>0</v>
      </c>
      <c r="AN167" s="34">
        <v>0</v>
      </c>
      <c r="AO167" s="52">
        <v>0</v>
      </c>
      <c r="AP167" s="34">
        <v>0</v>
      </c>
      <c r="AQ167" s="34">
        <v>0</v>
      </c>
      <c r="AR167" s="52">
        <v>0</v>
      </c>
      <c r="AS167" s="34">
        <v>0</v>
      </c>
      <c r="AT167" s="34">
        <v>0</v>
      </c>
      <c r="AU167" s="52">
        <v>0</v>
      </c>
      <c r="AV167" s="34">
        <v>0</v>
      </c>
      <c r="AW167" s="34">
        <v>0</v>
      </c>
      <c r="AX167" s="46">
        <v>0</v>
      </c>
      <c r="AY167" s="34">
        <f t="shared" si="121"/>
        <v>41</v>
      </c>
      <c r="AZ167" s="34">
        <f t="shared" si="122"/>
        <v>0</v>
      </c>
      <c r="BA167" s="52">
        <f t="shared" si="123"/>
        <v>0</v>
      </c>
      <c r="BB167" s="34">
        <f t="shared" si="124"/>
        <v>41</v>
      </c>
      <c r="BC167" s="34">
        <f t="shared" si="125"/>
        <v>20</v>
      </c>
      <c r="BD167" s="52">
        <f t="shared" si="126"/>
        <v>40</v>
      </c>
      <c r="BE167" s="34">
        <f t="shared" si="127"/>
        <v>31</v>
      </c>
      <c r="BF167" s="34">
        <f t="shared" si="128"/>
        <v>0</v>
      </c>
      <c r="BG167" s="52">
        <f t="shared" si="129"/>
        <v>0</v>
      </c>
      <c r="BH167" s="34">
        <f t="shared" si="130"/>
        <v>31</v>
      </c>
      <c r="BI167" s="34">
        <f t="shared" si="131"/>
        <v>0</v>
      </c>
      <c r="BJ167" s="34">
        <f t="shared" si="132"/>
        <v>0</v>
      </c>
      <c r="BK167" s="57">
        <f t="shared" si="133"/>
        <v>204</v>
      </c>
      <c r="BL167" s="34">
        <f t="shared" si="134"/>
        <v>41</v>
      </c>
      <c r="BM167" s="34">
        <f t="shared" si="135"/>
        <v>101</v>
      </c>
      <c r="BN167" s="34">
        <f t="shared" si="136"/>
        <v>31</v>
      </c>
      <c r="BO167" s="34">
        <f t="shared" si="137"/>
        <v>31</v>
      </c>
    </row>
    <row r="168" spans="1:67" ht="13.5" customHeight="1" x14ac:dyDescent="0.25">
      <c r="A168" s="36" t="s">
        <v>443</v>
      </c>
      <c r="B168" s="70" t="s">
        <v>120</v>
      </c>
      <c r="C168" s="34">
        <v>40</v>
      </c>
      <c r="D168" s="34">
        <v>15</v>
      </c>
      <c r="E168" s="52">
        <v>15</v>
      </c>
      <c r="F168" s="34">
        <v>0</v>
      </c>
      <c r="G168" s="34">
        <v>0</v>
      </c>
      <c r="H168" s="52">
        <v>0</v>
      </c>
      <c r="I168" s="34">
        <v>0</v>
      </c>
      <c r="J168" s="34">
        <v>0</v>
      </c>
      <c r="K168" s="52">
        <v>0</v>
      </c>
      <c r="L168" s="34">
        <v>0</v>
      </c>
      <c r="M168" s="34">
        <v>0</v>
      </c>
      <c r="N168" s="46">
        <v>0</v>
      </c>
      <c r="O168" s="34">
        <v>0</v>
      </c>
      <c r="P168" s="34">
        <v>0</v>
      </c>
      <c r="Q168" s="52">
        <v>0</v>
      </c>
      <c r="R168" s="34">
        <v>0</v>
      </c>
      <c r="S168" s="34">
        <v>0</v>
      </c>
      <c r="T168" s="52">
        <v>0</v>
      </c>
      <c r="U168" s="34">
        <v>0</v>
      </c>
      <c r="V168" s="34">
        <v>0</v>
      </c>
      <c r="W168" s="52">
        <v>0</v>
      </c>
      <c r="X168" s="34">
        <v>0</v>
      </c>
      <c r="Y168" s="34">
        <v>0</v>
      </c>
      <c r="Z168" s="46">
        <v>0</v>
      </c>
      <c r="AA168" s="34">
        <v>45</v>
      </c>
      <c r="AB168" s="34">
        <v>45</v>
      </c>
      <c r="AC168" s="52">
        <v>35</v>
      </c>
      <c r="AD168" s="34">
        <v>0</v>
      </c>
      <c r="AE168" s="34">
        <v>0</v>
      </c>
      <c r="AF168" s="52">
        <v>0</v>
      </c>
      <c r="AG168" s="34">
        <v>0</v>
      </c>
      <c r="AH168" s="34">
        <v>0</v>
      </c>
      <c r="AI168" s="52">
        <v>0</v>
      </c>
      <c r="AJ168" s="34">
        <v>0</v>
      </c>
      <c r="AK168" s="34">
        <v>0</v>
      </c>
      <c r="AL168" s="46">
        <v>0</v>
      </c>
      <c r="AM168" s="34">
        <v>0</v>
      </c>
      <c r="AN168" s="34">
        <v>0</v>
      </c>
      <c r="AO168" s="52">
        <v>0</v>
      </c>
      <c r="AP168" s="34">
        <v>0</v>
      </c>
      <c r="AQ168" s="34">
        <v>0</v>
      </c>
      <c r="AR168" s="52">
        <v>0</v>
      </c>
      <c r="AS168" s="34">
        <v>0</v>
      </c>
      <c r="AT168" s="34">
        <v>0</v>
      </c>
      <c r="AU168" s="52">
        <v>0</v>
      </c>
      <c r="AV168" s="34">
        <v>0</v>
      </c>
      <c r="AW168" s="34">
        <v>0</v>
      </c>
      <c r="AX168" s="46">
        <v>0</v>
      </c>
      <c r="AY168" s="41">
        <f t="shared" si="121"/>
        <v>85</v>
      </c>
      <c r="AZ168" s="41">
        <f t="shared" si="122"/>
        <v>60</v>
      </c>
      <c r="BA168" s="50">
        <f t="shared" si="123"/>
        <v>50</v>
      </c>
      <c r="BB168" s="41">
        <f t="shared" si="124"/>
        <v>0</v>
      </c>
      <c r="BC168" s="41">
        <f t="shared" si="125"/>
        <v>0</v>
      </c>
      <c r="BD168" s="50">
        <f t="shared" si="126"/>
        <v>0</v>
      </c>
      <c r="BE168" s="41">
        <f t="shared" si="127"/>
        <v>0</v>
      </c>
      <c r="BF168" s="41">
        <f t="shared" si="128"/>
        <v>0</v>
      </c>
      <c r="BG168" s="50">
        <f t="shared" si="129"/>
        <v>0</v>
      </c>
      <c r="BH168" s="41">
        <f t="shared" si="130"/>
        <v>0</v>
      </c>
      <c r="BI168" s="41">
        <f t="shared" si="131"/>
        <v>0</v>
      </c>
      <c r="BJ168" s="41">
        <f t="shared" si="132"/>
        <v>0</v>
      </c>
      <c r="BK168" s="56">
        <f t="shared" si="133"/>
        <v>195</v>
      </c>
      <c r="BL168" s="41">
        <f t="shared" si="134"/>
        <v>195</v>
      </c>
      <c r="BM168" s="41">
        <f t="shared" si="135"/>
        <v>0</v>
      </c>
      <c r="BN168" s="41">
        <f t="shared" si="136"/>
        <v>0</v>
      </c>
      <c r="BO168" s="41">
        <f t="shared" si="137"/>
        <v>0</v>
      </c>
    </row>
    <row r="169" spans="1:67" ht="13.5" customHeight="1" x14ac:dyDescent="0.25">
      <c r="A169" s="36" t="s">
        <v>444</v>
      </c>
      <c r="B169" s="68" t="s">
        <v>106</v>
      </c>
      <c r="C169" s="34">
        <v>0</v>
      </c>
      <c r="D169" s="34">
        <v>0</v>
      </c>
      <c r="E169" s="52">
        <v>0</v>
      </c>
      <c r="F169" s="34">
        <v>35</v>
      </c>
      <c r="G169" s="34">
        <v>15</v>
      </c>
      <c r="H169" s="52">
        <v>15</v>
      </c>
      <c r="I169" s="34">
        <v>0</v>
      </c>
      <c r="J169" s="34">
        <v>0</v>
      </c>
      <c r="K169" s="52">
        <v>0</v>
      </c>
      <c r="L169" s="34">
        <v>0</v>
      </c>
      <c r="M169" s="34">
        <v>0</v>
      </c>
      <c r="N169" s="46">
        <v>0</v>
      </c>
      <c r="O169" s="34">
        <v>0</v>
      </c>
      <c r="P169" s="34">
        <v>0</v>
      </c>
      <c r="Q169" s="52">
        <v>0</v>
      </c>
      <c r="R169" s="34">
        <v>0</v>
      </c>
      <c r="S169" s="34">
        <v>0</v>
      </c>
      <c r="T169" s="52">
        <v>0</v>
      </c>
      <c r="U169" s="34">
        <v>0</v>
      </c>
      <c r="V169" s="34">
        <v>0</v>
      </c>
      <c r="W169" s="52">
        <v>0</v>
      </c>
      <c r="X169" s="34">
        <v>0</v>
      </c>
      <c r="Y169" s="34">
        <v>0</v>
      </c>
      <c r="Z169" s="46">
        <v>0</v>
      </c>
      <c r="AA169" s="34">
        <v>10</v>
      </c>
      <c r="AB169" s="34">
        <v>0</v>
      </c>
      <c r="AC169" s="52">
        <v>0</v>
      </c>
      <c r="AD169" s="34">
        <v>60</v>
      </c>
      <c r="AE169" s="34">
        <v>25</v>
      </c>
      <c r="AF169" s="52">
        <v>35</v>
      </c>
      <c r="AG169" s="34">
        <v>0</v>
      </c>
      <c r="AH169" s="34">
        <v>0</v>
      </c>
      <c r="AI169" s="52">
        <v>0</v>
      </c>
      <c r="AJ169" s="34">
        <v>0</v>
      </c>
      <c r="AK169" s="34">
        <v>0</v>
      </c>
      <c r="AL169" s="46">
        <v>0</v>
      </c>
      <c r="AM169" s="34">
        <v>0</v>
      </c>
      <c r="AN169" s="34">
        <v>0</v>
      </c>
      <c r="AO169" s="52">
        <v>0</v>
      </c>
      <c r="AP169" s="34">
        <v>0</v>
      </c>
      <c r="AQ169" s="34">
        <v>0</v>
      </c>
      <c r="AR169" s="52">
        <v>0</v>
      </c>
      <c r="AS169" s="34">
        <v>0</v>
      </c>
      <c r="AT169" s="34">
        <v>0</v>
      </c>
      <c r="AU169" s="52">
        <v>0</v>
      </c>
      <c r="AV169" s="34">
        <v>0</v>
      </c>
      <c r="AW169" s="34">
        <v>0</v>
      </c>
      <c r="AX169" s="46">
        <v>0</v>
      </c>
      <c r="AY169" s="34">
        <f t="shared" si="121"/>
        <v>10</v>
      </c>
      <c r="AZ169" s="34">
        <f t="shared" si="122"/>
        <v>0</v>
      </c>
      <c r="BA169" s="52">
        <f t="shared" si="123"/>
        <v>0</v>
      </c>
      <c r="BB169" s="34">
        <f t="shared" si="124"/>
        <v>95</v>
      </c>
      <c r="BC169" s="34">
        <f t="shared" si="125"/>
        <v>40</v>
      </c>
      <c r="BD169" s="52">
        <f t="shared" si="126"/>
        <v>50</v>
      </c>
      <c r="BE169" s="34">
        <f t="shared" si="127"/>
        <v>0</v>
      </c>
      <c r="BF169" s="34">
        <f t="shared" si="128"/>
        <v>0</v>
      </c>
      <c r="BG169" s="52">
        <f t="shared" si="129"/>
        <v>0</v>
      </c>
      <c r="BH169" s="34">
        <f t="shared" si="130"/>
        <v>0</v>
      </c>
      <c r="BI169" s="34">
        <f t="shared" si="131"/>
        <v>0</v>
      </c>
      <c r="BJ169" s="34">
        <f t="shared" si="132"/>
        <v>0</v>
      </c>
      <c r="BK169" s="57">
        <f t="shared" si="133"/>
        <v>195</v>
      </c>
      <c r="BL169" s="34">
        <f t="shared" si="134"/>
        <v>10</v>
      </c>
      <c r="BM169" s="34">
        <f t="shared" si="135"/>
        <v>185</v>
      </c>
      <c r="BN169" s="34">
        <f t="shared" si="136"/>
        <v>0</v>
      </c>
      <c r="BO169" s="34">
        <f t="shared" si="137"/>
        <v>0</v>
      </c>
    </row>
    <row r="170" spans="1:67" ht="13.5" customHeight="1" x14ac:dyDescent="0.25">
      <c r="A170" s="36" t="s">
        <v>445</v>
      </c>
      <c r="B170" s="68" t="s">
        <v>686</v>
      </c>
      <c r="C170" s="34">
        <v>0</v>
      </c>
      <c r="D170" s="34">
        <v>0</v>
      </c>
      <c r="E170" s="52">
        <v>15</v>
      </c>
      <c r="F170" s="34">
        <v>0</v>
      </c>
      <c r="G170" s="34">
        <v>0</v>
      </c>
      <c r="H170" s="52">
        <v>0</v>
      </c>
      <c r="I170" s="34">
        <v>20</v>
      </c>
      <c r="J170" s="34">
        <v>0</v>
      </c>
      <c r="K170" s="52">
        <v>0</v>
      </c>
      <c r="L170" s="34">
        <v>20</v>
      </c>
      <c r="M170" s="34">
        <v>0</v>
      </c>
      <c r="N170" s="46">
        <v>0</v>
      </c>
      <c r="O170" s="34">
        <v>0</v>
      </c>
      <c r="P170" s="34">
        <v>0</v>
      </c>
      <c r="Q170" s="52">
        <v>0</v>
      </c>
      <c r="R170" s="34">
        <v>0</v>
      </c>
      <c r="S170" s="34">
        <v>0</v>
      </c>
      <c r="T170" s="52">
        <v>0</v>
      </c>
      <c r="U170" s="34">
        <v>0</v>
      </c>
      <c r="V170" s="34">
        <v>0</v>
      </c>
      <c r="W170" s="52">
        <v>0</v>
      </c>
      <c r="X170" s="34">
        <v>0</v>
      </c>
      <c r="Y170" s="34">
        <v>0</v>
      </c>
      <c r="Z170" s="46">
        <v>0</v>
      </c>
      <c r="AA170" s="34">
        <v>6</v>
      </c>
      <c r="AB170" s="34">
        <v>0</v>
      </c>
      <c r="AC170" s="52">
        <v>0</v>
      </c>
      <c r="AD170" s="34">
        <v>6</v>
      </c>
      <c r="AE170" s="34">
        <v>0</v>
      </c>
      <c r="AF170" s="52">
        <v>0</v>
      </c>
      <c r="AG170" s="34">
        <v>62</v>
      </c>
      <c r="AH170" s="34">
        <v>10</v>
      </c>
      <c r="AI170" s="52">
        <v>0</v>
      </c>
      <c r="AJ170" s="34">
        <v>52</v>
      </c>
      <c r="AK170" s="34">
        <v>0</v>
      </c>
      <c r="AL170" s="46">
        <v>0</v>
      </c>
      <c r="AM170" s="34">
        <v>0</v>
      </c>
      <c r="AN170" s="34">
        <v>0</v>
      </c>
      <c r="AO170" s="52">
        <v>0</v>
      </c>
      <c r="AP170" s="34">
        <v>0</v>
      </c>
      <c r="AQ170" s="34">
        <v>0</v>
      </c>
      <c r="AR170" s="52">
        <v>0</v>
      </c>
      <c r="AS170" s="34">
        <v>0</v>
      </c>
      <c r="AT170" s="34">
        <v>0</v>
      </c>
      <c r="AU170" s="52">
        <v>0</v>
      </c>
      <c r="AV170" s="34">
        <v>0</v>
      </c>
      <c r="AW170" s="34">
        <v>0</v>
      </c>
      <c r="AX170" s="46">
        <v>0</v>
      </c>
      <c r="AY170" s="34">
        <f t="shared" si="121"/>
        <v>6</v>
      </c>
      <c r="AZ170" s="34">
        <f t="shared" si="122"/>
        <v>0</v>
      </c>
      <c r="BA170" s="52">
        <f t="shared" si="123"/>
        <v>15</v>
      </c>
      <c r="BB170" s="34">
        <f t="shared" si="124"/>
        <v>6</v>
      </c>
      <c r="BC170" s="34">
        <f t="shared" si="125"/>
        <v>0</v>
      </c>
      <c r="BD170" s="52">
        <f t="shared" si="126"/>
        <v>0</v>
      </c>
      <c r="BE170" s="34">
        <f t="shared" si="127"/>
        <v>82</v>
      </c>
      <c r="BF170" s="34">
        <f t="shared" si="128"/>
        <v>10</v>
      </c>
      <c r="BG170" s="52">
        <f t="shared" si="129"/>
        <v>0</v>
      </c>
      <c r="BH170" s="34">
        <f t="shared" si="130"/>
        <v>72</v>
      </c>
      <c r="BI170" s="34">
        <f t="shared" si="131"/>
        <v>0</v>
      </c>
      <c r="BJ170" s="34">
        <f t="shared" si="132"/>
        <v>0</v>
      </c>
      <c r="BK170" s="57">
        <f t="shared" si="133"/>
        <v>191</v>
      </c>
      <c r="BL170" s="34">
        <f t="shared" si="134"/>
        <v>21</v>
      </c>
      <c r="BM170" s="34">
        <f t="shared" si="135"/>
        <v>6</v>
      </c>
      <c r="BN170" s="34">
        <f t="shared" si="136"/>
        <v>92</v>
      </c>
      <c r="BO170" s="34">
        <f t="shared" si="137"/>
        <v>72</v>
      </c>
    </row>
    <row r="171" spans="1:67" ht="13.5" customHeight="1" x14ac:dyDescent="0.25">
      <c r="A171" s="36" t="s">
        <v>446</v>
      </c>
      <c r="B171" s="67" t="s">
        <v>680</v>
      </c>
      <c r="C171" s="34">
        <v>0</v>
      </c>
      <c r="D171" s="34">
        <v>0</v>
      </c>
      <c r="E171" s="52">
        <v>0</v>
      </c>
      <c r="F171" s="34">
        <v>30</v>
      </c>
      <c r="G171" s="34">
        <v>0</v>
      </c>
      <c r="H171" s="52">
        <v>30</v>
      </c>
      <c r="I171" s="34">
        <v>25</v>
      </c>
      <c r="J171" s="34">
        <v>0</v>
      </c>
      <c r="K171" s="52">
        <v>0</v>
      </c>
      <c r="L171" s="34">
        <v>0</v>
      </c>
      <c r="M171" s="34">
        <v>0</v>
      </c>
      <c r="N171" s="46">
        <v>0</v>
      </c>
      <c r="O171" s="34">
        <v>0</v>
      </c>
      <c r="P171" s="34">
        <v>0</v>
      </c>
      <c r="Q171" s="52">
        <v>0</v>
      </c>
      <c r="R171" s="34">
        <v>0</v>
      </c>
      <c r="S171" s="34">
        <v>0</v>
      </c>
      <c r="T171" s="52">
        <v>0</v>
      </c>
      <c r="U171" s="34">
        <v>0</v>
      </c>
      <c r="V171" s="34">
        <v>0</v>
      </c>
      <c r="W171" s="52">
        <v>0</v>
      </c>
      <c r="X171" s="34">
        <v>0</v>
      </c>
      <c r="Y171" s="34">
        <v>0</v>
      </c>
      <c r="Z171" s="46">
        <v>0</v>
      </c>
      <c r="AA171" s="34">
        <v>10</v>
      </c>
      <c r="AB171" s="34">
        <v>0</v>
      </c>
      <c r="AC171" s="52">
        <v>0</v>
      </c>
      <c r="AD171" s="34">
        <v>60</v>
      </c>
      <c r="AE171" s="34">
        <v>10</v>
      </c>
      <c r="AF171" s="52">
        <v>20</v>
      </c>
      <c r="AG171" s="34">
        <v>0</v>
      </c>
      <c r="AH171" s="34">
        <v>0</v>
      </c>
      <c r="AI171" s="52">
        <v>0</v>
      </c>
      <c r="AJ171" s="34">
        <v>0</v>
      </c>
      <c r="AK171" s="34">
        <v>0</v>
      </c>
      <c r="AL171" s="46">
        <v>0</v>
      </c>
      <c r="AM171" s="34">
        <v>0</v>
      </c>
      <c r="AN171" s="34">
        <v>0</v>
      </c>
      <c r="AO171" s="52">
        <v>0</v>
      </c>
      <c r="AP171" s="34">
        <v>0</v>
      </c>
      <c r="AQ171" s="34">
        <v>0</v>
      </c>
      <c r="AR171" s="52">
        <v>0</v>
      </c>
      <c r="AS171" s="34">
        <v>0</v>
      </c>
      <c r="AT171" s="34">
        <v>0</v>
      </c>
      <c r="AU171" s="52">
        <v>0</v>
      </c>
      <c r="AV171" s="34">
        <v>0</v>
      </c>
      <c r="AW171" s="34">
        <v>0</v>
      </c>
      <c r="AX171" s="46">
        <v>0</v>
      </c>
      <c r="AY171" s="34">
        <f t="shared" si="121"/>
        <v>10</v>
      </c>
      <c r="AZ171" s="34">
        <f t="shared" si="122"/>
        <v>0</v>
      </c>
      <c r="BA171" s="52">
        <f t="shared" si="123"/>
        <v>0</v>
      </c>
      <c r="BB171" s="34">
        <f t="shared" si="124"/>
        <v>90</v>
      </c>
      <c r="BC171" s="34">
        <f t="shared" si="125"/>
        <v>10</v>
      </c>
      <c r="BD171" s="52">
        <f t="shared" si="126"/>
        <v>50</v>
      </c>
      <c r="BE171" s="34">
        <f t="shared" si="127"/>
        <v>25</v>
      </c>
      <c r="BF171" s="34">
        <f t="shared" si="128"/>
        <v>0</v>
      </c>
      <c r="BG171" s="52">
        <f t="shared" si="129"/>
        <v>0</v>
      </c>
      <c r="BH171" s="34">
        <f t="shared" si="130"/>
        <v>0</v>
      </c>
      <c r="BI171" s="34">
        <f t="shared" si="131"/>
        <v>0</v>
      </c>
      <c r="BJ171" s="34">
        <f t="shared" si="132"/>
        <v>0</v>
      </c>
      <c r="BK171" s="57">
        <f t="shared" si="133"/>
        <v>185</v>
      </c>
      <c r="BL171" s="34">
        <f t="shared" si="134"/>
        <v>10</v>
      </c>
      <c r="BM171" s="34">
        <f t="shared" si="135"/>
        <v>150</v>
      </c>
      <c r="BN171" s="34">
        <f t="shared" si="136"/>
        <v>25</v>
      </c>
      <c r="BO171" s="34">
        <f t="shared" si="137"/>
        <v>0</v>
      </c>
    </row>
    <row r="172" spans="1:67" ht="13.5" customHeight="1" x14ac:dyDescent="0.25">
      <c r="A172" s="36" t="s">
        <v>447</v>
      </c>
      <c r="B172" s="70" t="s">
        <v>117</v>
      </c>
      <c r="C172" s="34">
        <v>45</v>
      </c>
      <c r="D172" s="34">
        <v>0</v>
      </c>
      <c r="E172" s="52">
        <v>0</v>
      </c>
      <c r="F172" s="34">
        <v>0</v>
      </c>
      <c r="G172" s="34">
        <v>0</v>
      </c>
      <c r="H172" s="52">
        <v>0</v>
      </c>
      <c r="I172" s="34">
        <v>0</v>
      </c>
      <c r="J172" s="34">
        <v>0</v>
      </c>
      <c r="K172" s="52">
        <v>0</v>
      </c>
      <c r="L172" s="34">
        <v>0</v>
      </c>
      <c r="M172" s="34">
        <v>0</v>
      </c>
      <c r="N172" s="46">
        <v>0</v>
      </c>
      <c r="O172" s="34">
        <v>0</v>
      </c>
      <c r="P172" s="34">
        <v>0</v>
      </c>
      <c r="Q172" s="52">
        <v>0</v>
      </c>
      <c r="R172" s="34">
        <v>0</v>
      </c>
      <c r="S172" s="34">
        <v>0</v>
      </c>
      <c r="T172" s="52">
        <v>0</v>
      </c>
      <c r="U172" s="34">
        <v>0</v>
      </c>
      <c r="V172" s="34">
        <v>0</v>
      </c>
      <c r="W172" s="52">
        <v>0</v>
      </c>
      <c r="X172" s="34">
        <v>0</v>
      </c>
      <c r="Y172" s="34">
        <v>0</v>
      </c>
      <c r="Z172" s="46">
        <v>0</v>
      </c>
      <c r="AA172" s="34">
        <v>65</v>
      </c>
      <c r="AB172" s="34">
        <v>55</v>
      </c>
      <c r="AC172" s="52">
        <v>20</v>
      </c>
      <c r="AD172" s="34">
        <v>0</v>
      </c>
      <c r="AE172" s="34">
        <v>0</v>
      </c>
      <c r="AF172" s="52">
        <v>0</v>
      </c>
      <c r="AG172" s="34">
        <v>0</v>
      </c>
      <c r="AH172" s="34">
        <v>0</v>
      </c>
      <c r="AI172" s="52">
        <v>0</v>
      </c>
      <c r="AJ172" s="34">
        <v>0</v>
      </c>
      <c r="AK172" s="34">
        <v>0</v>
      </c>
      <c r="AL172" s="46">
        <v>0</v>
      </c>
      <c r="AM172" s="34">
        <v>0</v>
      </c>
      <c r="AN172" s="34">
        <v>0</v>
      </c>
      <c r="AO172" s="52">
        <v>0</v>
      </c>
      <c r="AP172" s="34">
        <v>0</v>
      </c>
      <c r="AQ172" s="34">
        <v>0</v>
      </c>
      <c r="AR172" s="52">
        <v>0</v>
      </c>
      <c r="AS172" s="34">
        <v>0</v>
      </c>
      <c r="AT172" s="34">
        <v>0</v>
      </c>
      <c r="AU172" s="52">
        <v>0</v>
      </c>
      <c r="AV172" s="34">
        <v>0</v>
      </c>
      <c r="AW172" s="34">
        <v>0</v>
      </c>
      <c r="AX172" s="46">
        <v>0</v>
      </c>
      <c r="AY172" s="41">
        <f t="shared" si="121"/>
        <v>110</v>
      </c>
      <c r="AZ172" s="41">
        <f t="shared" si="122"/>
        <v>55</v>
      </c>
      <c r="BA172" s="50">
        <f t="shared" si="123"/>
        <v>20</v>
      </c>
      <c r="BB172" s="41">
        <f t="shared" si="124"/>
        <v>0</v>
      </c>
      <c r="BC172" s="41">
        <f t="shared" si="125"/>
        <v>0</v>
      </c>
      <c r="BD172" s="50">
        <f t="shared" si="126"/>
        <v>0</v>
      </c>
      <c r="BE172" s="41">
        <f t="shared" si="127"/>
        <v>0</v>
      </c>
      <c r="BF172" s="41">
        <f t="shared" si="128"/>
        <v>0</v>
      </c>
      <c r="BG172" s="50">
        <f t="shared" si="129"/>
        <v>0</v>
      </c>
      <c r="BH172" s="41">
        <f t="shared" si="130"/>
        <v>0</v>
      </c>
      <c r="BI172" s="41">
        <f t="shared" si="131"/>
        <v>0</v>
      </c>
      <c r="BJ172" s="41">
        <f t="shared" si="132"/>
        <v>0</v>
      </c>
      <c r="BK172" s="56">
        <f t="shared" si="133"/>
        <v>185</v>
      </c>
      <c r="BL172" s="41">
        <f t="shared" si="134"/>
        <v>185</v>
      </c>
      <c r="BM172" s="41">
        <f t="shared" si="135"/>
        <v>0</v>
      </c>
      <c r="BN172" s="41">
        <f t="shared" si="136"/>
        <v>0</v>
      </c>
      <c r="BO172" s="41">
        <f t="shared" si="137"/>
        <v>0</v>
      </c>
    </row>
    <row r="173" spans="1:67" ht="13.5" customHeight="1" x14ac:dyDescent="0.25">
      <c r="A173" s="36" t="s">
        <v>448</v>
      </c>
      <c r="B173" s="72" t="s">
        <v>161</v>
      </c>
      <c r="C173" s="34">
        <v>0</v>
      </c>
      <c r="D173" s="34">
        <v>0</v>
      </c>
      <c r="E173" s="52">
        <v>0</v>
      </c>
      <c r="F173" s="34">
        <v>0</v>
      </c>
      <c r="G173" s="34">
        <v>0</v>
      </c>
      <c r="H173" s="52">
        <v>0</v>
      </c>
      <c r="I173" s="34">
        <v>25</v>
      </c>
      <c r="J173" s="34">
        <v>15</v>
      </c>
      <c r="K173" s="52">
        <v>0</v>
      </c>
      <c r="L173" s="34">
        <v>25</v>
      </c>
      <c r="M173" s="34">
        <v>0</v>
      </c>
      <c r="N173" s="46">
        <v>0</v>
      </c>
      <c r="O173" s="34">
        <v>0</v>
      </c>
      <c r="P173" s="34">
        <v>0</v>
      </c>
      <c r="Q173" s="52">
        <v>0</v>
      </c>
      <c r="R173" s="34">
        <v>0</v>
      </c>
      <c r="S173" s="34">
        <v>0</v>
      </c>
      <c r="T173" s="52">
        <v>0</v>
      </c>
      <c r="U173" s="34">
        <v>0</v>
      </c>
      <c r="V173" s="34">
        <v>0</v>
      </c>
      <c r="W173" s="52">
        <v>0</v>
      </c>
      <c r="X173" s="34">
        <v>0</v>
      </c>
      <c r="Y173" s="34">
        <v>0</v>
      </c>
      <c r="Z173" s="46">
        <v>0</v>
      </c>
      <c r="AA173" s="34">
        <v>0</v>
      </c>
      <c r="AB173" s="34">
        <v>0</v>
      </c>
      <c r="AC173" s="52">
        <v>0</v>
      </c>
      <c r="AD173" s="34">
        <v>0</v>
      </c>
      <c r="AE173" s="34">
        <v>0</v>
      </c>
      <c r="AF173" s="52">
        <v>0</v>
      </c>
      <c r="AG173" s="34">
        <v>65</v>
      </c>
      <c r="AH173" s="34">
        <v>10</v>
      </c>
      <c r="AI173" s="52">
        <v>35</v>
      </c>
      <c r="AJ173" s="34">
        <v>10</v>
      </c>
      <c r="AK173" s="34">
        <v>0</v>
      </c>
      <c r="AL173" s="46">
        <v>0</v>
      </c>
      <c r="AM173" s="34">
        <v>0</v>
      </c>
      <c r="AN173" s="34">
        <v>0</v>
      </c>
      <c r="AO173" s="52">
        <v>0</v>
      </c>
      <c r="AP173" s="34">
        <v>0</v>
      </c>
      <c r="AQ173" s="34">
        <v>0</v>
      </c>
      <c r="AR173" s="52">
        <v>0</v>
      </c>
      <c r="AS173" s="34">
        <v>0</v>
      </c>
      <c r="AT173" s="34">
        <v>0</v>
      </c>
      <c r="AU173" s="52">
        <v>0</v>
      </c>
      <c r="AV173" s="34">
        <v>0</v>
      </c>
      <c r="AW173" s="34">
        <v>0</v>
      </c>
      <c r="AX173" s="46">
        <v>0</v>
      </c>
      <c r="AY173" s="41">
        <f t="shared" si="121"/>
        <v>0</v>
      </c>
      <c r="AZ173" s="41">
        <f t="shared" si="122"/>
        <v>0</v>
      </c>
      <c r="BA173" s="50">
        <f t="shared" si="123"/>
        <v>0</v>
      </c>
      <c r="BB173" s="41">
        <f t="shared" si="124"/>
        <v>0</v>
      </c>
      <c r="BC173" s="41">
        <f t="shared" si="125"/>
        <v>0</v>
      </c>
      <c r="BD173" s="50">
        <f t="shared" si="126"/>
        <v>0</v>
      </c>
      <c r="BE173" s="41">
        <f t="shared" si="127"/>
        <v>90</v>
      </c>
      <c r="BF173" s="41">
        <f t="shared" si="128"/>
        <v>25</v>
      </c>
      <c r="BG173" s="50">
        <f t="shared" si="129"/>
        <v>35</v>
      </c>
      <c r="BH173" s="41">
        <f t="shared" si="130"/>
        <v>35</v>
      </c>
      <c r="BI173" s="41">
        <f t="shared" si="131"/>
        <v>0</v>
      </c>
      <c r="BJ173" s="41">
        <f t="shared" si="132"/>
        <v>0</v>
      </c>
      <c r="BK173" s="56">
        <f t="shared" si="133"/>
        <v>185</v>
      </c>
      <c r="BL173" s="41">
        <f t="shared" si="134"/>
        <v>0</v>
      </c>
      <c r="BM173" s="41">
        <f t="shared" si="135"/>
        <v>0</v>
      </c>
      <c r="BN173" s="41">
        <f t="shared" si="136"/>
        <v>150</v>
      </c>
      <c r="BO173" s="41">
        <f t="shared" si="137"/>
        <v>35</v>
      </c>
    </row>
    <row r="174" spans="1:67" ht="13.5" customHeight="1" x14ac:dyDescent="0.25">
      <c r="A174" s="36" t="s">
        <v>449</v>
      </c>
      <c r="B174" s="67" t="s">
        <v>99</v>
      </c>
      <c r="C174" s="34">
        <v>0</v>
      </c>
      <c r="D174" s="34">
        <v>0</v>
      </c>
      <c r="E174" s="52">
        <v>15</v>
      </c>
      <c r="F174" s="34">
        <v>30</v>
      </c>
      <c r="G174" s="34">
        <v>0</v>
      </c>
      <c r="H174" s="52">
        <v>15</v>
      </c>
      <c r="I174" s="34">
        <v>0</v>
      </c>
      <c r="J174" s="34">
        <v>0</v>
      </c>
      <c r="K174" s="52">
        <v>0</v>
      </c>
      <c r="L174" s="34">
        <v>0</v>
      </c>
      <c r="M174" s="34">
        <v>0</v>
      </c>
      <c r="N174" s="46">
        <v>0</v>
      </c>
      <c r="O174" s="34">
        <v>0</v>
      </c>
      <c r="P174" s="34">
        <v>0</v>
      </c>
      <c r="Q174" s="52">
        <v>0</v>
      </c>
      <c r="R174" s="34">
        <v>0</v>
      </c>
      <c r="S174" s="34">
        <v>0</v>
      </c>
      <c r="T174" s="52">
        <v>0</v>
      </c>
      <c r="U174" s="34">
        <v>0</v>
      </c>
      <c r="V174" s="34">
        <v>0</v>
      </c>
      <c r="W174" s="52">
        <v>0</v>
      </c>
      <c r="X174" s="34">
        <v>0</v>
      </c>
      <c r="Y174" s="34">
        <v>0</v>
      </c>
      <c r="Z174" s="46">
        <v>0</v>
      </c>
      <c r="AA174" s="34">
        <v>10</v>
      </c>
      <c r="AB174" s="34">
        <v>0</v>
      </c>
      <c r="AC174" s="52">
        <v>20</v>
      </c>
      <c r="AD174" s="34">
        <v>30</v>
      </c>
      <c r="AE174" s="34">
        <v>10</v>
      </c>
      <c r="AF174" s="52">
        <v>50</v>
      </c>
      <c r="AG174" s="34">
        <v>0</v>
      </c>
      <c r="AH174" s="34">
        <v>0</v>
      </c>
      <c r="AI174" s="52">
        <v>0</v>
      </c>
      <c r="AJ174" s="34">
        <v>0</v>
      </c>
      <c r="AK174" s="34">
        <v>0</v>
      </c>
      <c r="AL174" s="46">
        <v>0</v>
      </c>
      <c r="AM174" s="34">
        <v>0</v>
      </c>
      <c r="AN174" s="34">
        <v>0</v>
      </c>
      <c r="AO174" s="52">
        <v>0</v>
      </c>
      <c r="AP174" s="34">
        <v>0</v>
      </c>
      <c r="AQ174" s="34">
        <v>0</v>
      </c>
      <c r="AR174" s="52">
        <v>0</v>
      </c>
      <c r="AS174" s="34">
        <v>0</v>
      </c>
      <c r="AT174" s="34">
        <v>0</v>
      </c>
      <c r="AU174" s="52">
        <v>0</v>
      </c>
      <c r="AV174" s="34">
        <v>0</v>
      </c>
      <c r="AW174" s="34">
        <v>0</v>
      </c>
      <c r="AX174" s="46">
        <v>0</v>
      </c>
      <c r="AY174" s="34">
        <f t="shared" si="121"/>
        <v>10</v>
      </c>
      <c r="AZ174" s="34">
        <f t="shared" si="122"/>
        <v>0</v>
      </c>
      <c r="BA174" s="52">
        <f t="shared" si="123"/>
        <v>35</v>
      </c>
      <c r="BB174" s="34">
        <f t="shared" si="124"/>
        <v>60</v>
      </c>
      <c r="BC174" s="34">
        <f t="shared" si="125"/>
        <v>10</v>
      </c>
      <c r="BD174" s="52">
        <f t="shared" si="126"/>
        <v>65</v>
      </c>
      <c r="BE174" s="34">
        <f t="shared" si="127"/>
        <v>0</v>
      </c>
      <c r="BF174" s="34">
        <f t="shared" si="128"/>
        <v>0</v>
      </c>
      <c r="BG174" s="52">
        <f t="shared" si="129"/>
        <v>0</v>
      </c>
      <c r="BH174" s="34">
        <f t="shared" si="130"/>
        <v>0</v>
      </c>
      <c r="BI174" s="34">
        <f t="shared" si="131"/>
        <v>0</v>
      </c>
      <c r="BJ174" s="34">
        <f t="shared" si="132"/>
        <v>0</v>
      </c>
      <c r="BK174" s="57">
        <f t="shared" si="133"/>
        <v>180</v>
      </c>
      <c r="BL174" s="34">
        <f t="shared" si="134"/>
        <v>45</v>
      </c>
      <c r="BM174" s="34">
        <f t="shared" si="135"/>
        <v>135</v>
      </c>
      <c r="BN174" s="34">
        <f t="shared" si="136"/>
        <v>0</v>
      </c>
      <c r="BO174" s="34">
        <f t="shared" si="137"/>
        <v>0</v>
      </c>
    </row>
    <row r="175" spans="1:67" ht="13.5" customHeight="1" x14ac:dyDescent="0.25">
      <c r="A175" s="36" t="s">
        <v>450</v>
      </c>
      <c r="B175" s="67" t="s">
        <v>683</v>
      </c>
      <c r="C175" s="34">
        <v>25</v>
      </c>
      <c r="D175" s="34">
        <v>0</v>
      </c>
      <c r="E175" s="52">
        <v>0</v>
      </c>
      <c r="F175" s="34">
        <v>25</v>
      </c>
      <c r="G175" s="34">
        <v>0</v>
      </c>
      <c r="H175" s="52">
        <v>0</v>
      </c>
      <c r="I175" s="34">
        <v>10</v>
      </c>
      <c r="J175" s="34">
        <v>0</v>
      </c>
      <c r="K175" s="52">
        <v>0</v>
      </c>
      <c r="L175" s="34">
        <v>10</v>
      </c>
      <c r="M175" s="34">
        <v>0</v>
      </c>
      <c r="N175" s="46">
        <v>0</v>
      </c>
      <c r="O175" s="34">
        <v>0</v>
      </c>
      <c r="P175" s="34">
        <v>0</v>
      </c>
      <c r="Q175" s="52">
        <v>0</v>
      </c>
      <c r="R175" s="34">
        <v>0</v>
      </c>
      <c r="S175" s="34">
        <v>0</v>
      </c>
      <c r="T175" s="52">
        <v>0</v>
      </c>
      <c r="U175" s="34">
        <v>0</v>
      </c>
      <c r="V175" s="34">
        <v>0</v>
      </c>
      <c r="W175" s="52">
        <v>0</v>
      </c>
      <c r="X175" s="34">
        <v>0</v>
      </c>
      <c r="Y175" s="34">
        <v>0</v>
      </c>
      <c r="Z175" s="46">
        <v>0</v>
      </c>
      <c r="AA175" s="34">
        <v>42</v>
      </c>
      <c r="AB175" s="34">
        <v>0</v>
      </c>
      <c r="AC175" s="52">
        <v>10</v>
      </c>
      <c r="AD175" s="34">
        <v>32</v>
      </c>
      <c r="AE175" s="34">
        <v>0</v>
      </c>
      <c r="AF175" s="52">
        <v>0</v>
      </c>
      <c r="AG175" s="34">
        <v>12</v>
      </c>
      <c r="AH175" s="34">
        <v>0</v>
      </c>
      <c r="AI175" s="52">
        <v>0</v>
      </c>
      <c r="AJ175" s="34">
        <v>12</v>
      </c>
      <c r="AK175" s="34">
        <v>0</v>
      </c>
      <c r="AL175" s="46">
        <v>0</v>
      </c>
      <c r="AM175" s="34">
        <v>0</v>
      </c>
      <c r="AN175" s="34">
        <v>0</v>
      </c>
      <c r="AO175" s="52">
        <v>0</v>
      </c>
      <c r="AP175" s="34">
        <v>0</v>
      </c>
      <c r="AQ175" s="34">
        <v>0</v>
      </c>
      <c r="AR175" s="52">
        <v>0</v>
      </c>
      <c r="AS175" s="34">
        <v>0</v>
      </c>
      <c r="AT175" s="34">
        <v>0</v>
      </c>
      <c r="AU175" s="52">
        <v>0</v>
      </c>
      <c r="AV175" s="34">
        <v>0</v>
      </c>
      <c r="AW175" s="34">
        <v>0</v>
      </c>
      <c r="AX175" s="46">
        <v>0</v>
      </c>
      <c r="AY175" s="34">
        <f t="shared" si="121"/>
        <v>67</v>
      </c>
      <c r="AZ175" s="34">
        <f t="shared" si="122"/>
        <v>0</v>
      </c>
      <c r="BA175" s="52">
        <f t="shared" si="123"/>
        <v>10</v>
      </c>
      <c r="BB175" s="34">
        <f t="shared" si="124"/>
        <v>57</v>
      </c>
      <c r="BC175" s="34">
        <f t="shared" si="125"/>
        <v>0</v>
      </c>
      <c r="BD175" s="52">
        <f t="shared" si="126"/>
        <v>0</v>
      </c>
      <c r="BE175" s="34">
        <f t="shared" si="127"/>
        <v>22</v>
      </c>
      <c r="BF175" s="34">
        <f t="shared" si="128"/>
        <v>0</v>
      </c>
      <c r="BG175" s="52">
        <f t="shared" si="129"/>
        <v>0</v>
      </c>
      <c r="BH175" s="34">
        <f t="shared" si="130"/>
        <v>22</v>
      </c>
      <c r="BI175" s="34">
        <f t="shared" si="131"/>
        <v>0</v>
      </c>
      <c r="BJ175" s="34">
        <f t="shared" si="132"/>
        <v>0</v>
      </c>
      <c r="BK175" s="57">
        <f t="shared" si="133"/>
        <v>178</v>
      </c>
      <c r="BL175" s="34">
        <f t="shared" si="134"/>
        <v>77</v>
      </c>
      <c r="BM175" s="34">
        <f t="shared" si="135"/>
        <v>57</v>
      </c>
      <c r="BN175" s="34">
        <f t="shared" si="136"/>
        <v>22</v>
      </c>
      <c r="BO175" s="34">
        <f t="shared" si="137"/>
        <v>22</v>
      </c>
    </row>
    <row r="176" spans="1:67" ht="13.5" customHeight="1" x14ac:dyDescent="0.25">
      <c r="A176" s="36" t="s">
        <v>451</v>
      </c>
      <c r="B176" s="68" t="s">
        <v>334</v>
      </c>
      <c r="C176" s="34">
        <v>25</v>
      </c>
      <c r="D176" s="34">
        <v>0</v>
      </c>
      <c r="E176" s="52">
        <v>40</v>
      </c>
      <c r="F176" s="34">
        <v>0</v>
      </c>
      <c r="G176" s="34">
        <v>0</v>
      </c>
      <c r="H176" s="52">
        <v>0</v>
      </c>
      <c r="I176" s="34">
        <v>0</v>
      </c>
      <c r="J176" s="34">
        <v>0</v>
      </c>
      <c r="K176" s="52">
        <v>0</v>
      </c>
      <c r="L176" s="34">
        <v>0</v>
      </c>
      <c r="M176" s="34">
        <v>0</v>
      </c>
      <c r="N176" s="46">
        <v>0</v>
      </c>
      <c r="O176" s="34">
        <v>0</v>
      </c>
      <c r="P176" s="34">
        <v>0</v>
      </c>
      <c r="Q176" s="52">
        <v>0</v>
      </c>
      <c r="R176" s="34">
        <v>0</v>
      </c>
      <c r="S176" s="34">
        <v>0</v>
      </c>
      <c r="T176" s="52">
        <v>0</v>
      </c>
      <c r="U176" s="34">
        <v>0</v>
      </c>
      <c r="V176" s="34">
        <v>0</v>
      </c>
      <c r="W176" s="52">
        <v>0</v>
      </c>
      <c r="X176" s="34">
        <v>0</v>
      </c>
      <c r="Y176" s="34">
        <v>0</v>
      </c>
      <c r="Z176" s="46">
        <v>0</v>
      </c>
      <c r="AA176" s="34">
        <v>35</v>
      </c>
      <c r="AB176" s="34">
        <v>20</v>
      </c>
      <c r="AC176" s="52">
        <v>55</v>
      </c>
      <c r="AD176" s="34">
        <v>0</v>
      </c>
      <c r="AE176" s="34">
        <v>0</v>
      </c>
      <c r="AF176" s="52">
        <v>0</v>
      </c>
      <c r="AG176" s="34">
        <v>0</v>
      </c>
      <c r="AH176" s="34">
        <v>0</v>
      </c>
      <c r="AI176" s="52">
        <v>0</v>
      </c>
      <c r="AJ176" s="34">
        <v>0</v>
      </c>
      <c r="AK176" s="34">
        <v>0</v>
      </c>
      <c r="AL176" s="46">
        <v>0</v>
      </c>
      <c r="AM176" s="34">
        <v>0</v>
      </c>
      <c r="AN176" s="34">
        <v>0</v>
      </c>
      <c r="AO176" s="52">
        <v>0</v>
      </c>
      <c r="AP176" s="34">
        <v>0</v>
      </c>
      <c r="AQ176" s="34">
        <v>0</v>
      </c>
      <c r="AR176" s="52">
        <v>0</v>
      </c>
      <c r="AS176" s="34">
        <v>0</v>
      </c>
      <c r="AT176" s="34">
        <v>0</v>
      </c>
      <c r="AU176" s="52">
        <v>0</v>
      </c>
      <c r="AV176" s="34">
        <v>0</v>
      </c>
      <c r="AW176" s="34">
        <v>0</v>
      </c>
      <c r="AX176" s="46">
        <v>0</v>
      </c>
      <c r="AY176" s="41">
        <f t="shared" si="121"/>
        <v>60</v>
      </c>
      <c r="AZ176" s="41">
        <f t="shared" si="122"/>
        <v>20</v>
      </c>
      <c r="BA176" s="50">
        <f t="shared" si="123"/>
        <v>95</v>
      </c>
      <c r="BB176" s="41">
        <f t="shared" si="124"/>
        <v>0</v>
      </c>
      <c r="BC176" s="41">
        <f t="shared" si="125"/>
        <v>0</v>
      </c>
      <c r="BD176" s="50">
        <f t="shared" si="126"/>
        <v>0</v>
      </c>
      <c r="BE176" s="41">
        <f t="shared" si="127"/>
        <v>0</v>
      </c>
      <c r="BF176" s="41">
        <f t="shared" si="128"/>
        <v>0</v>
      </c>
      <c r="BG176" s="50">
        <f t="shared" si="129"/>
        <v>0</v>
      </c>
      <c r="BH176" s="41">
        <f t="shared" si="130"/>
        <v>0</v>
      </c>
      <c r="BI176" s="41">
        <f t="shared" si="131"/>
        <v>0</v>
      </c>
      <c r="BJ176" s="41">
        <f t="shared" si="132"/>
        <v>0</v>
      </c>
      <c r="BK176" s="56">
        <f t="shared" si="133"/>
        <v>175</v>
      </c>
      <c r="BL176" s="41">
        <f t="shared" si="134"/>
        <v>175</v>
      </c>
      <c r="BM176" s="41">
        <f t="shared" si="135"/>
        <v>0</v>
      </c>
      <c r="BN176" s="41">
        <f t="shared" si="136"/>
        <v>0</v>
      </c>
      <c r="BO176" s="41">
        <f t="shared" si="137"/>
        <v>0</v>
      </c>
    </row>
    <row r="177" spans="1:67" ht="13.5" customHeight="1" x14ac:dyDescent="0.25">
      <c r="A177" s="36" t="s">
        <v>452</v>
      </c>
      <c r="B177" s="68" t="s">
        <v>671</v>
      </c>
      <c r="C177" s="34">
        <v>0</v>
      </c>
      <c r="D177" s="34">
        <v>0</v>
      </c>
      <c r="E177" s="52">
        <v>0</v>
      </c>
      <c r="F177" s="34">
        <v>0</v>
      </c>
      <c r="G177" s="34">
        <v>0</v>
      </c>
      <c r="H177" s="52">
        <v>0</v>
      </c>
      <c r="I177" s="34">
        <v>30</v>
      </c>
      <c r="J177" s="34">
        <v>30</v>
      </c>
      <c r="K177" s="52">
        <v>0</v>
      </c>
      <c r="L177" s="34">
        <v>0</v>
      </c>
      <c r="M177" s="34">
        <v>0</v>
      </c>
      <c r="N177" s="46">
        <v>0</v>
      </c>
      <c r="O177" s="34">
        <v>0</v>
      </c>
      <c r="P177" s="34">
        <v>0</v>
      </c>
      <c r="Q177" s="52">
        <v>0</v>
      </c>
      <c r="R177" s="34">
        <v>0</v>
      </c>
      <c r="S177" s="34">
        <v>0</v>
      </c>
      <c r="T177" s="52">
        <v>0</v>
      </c>
      <c r="U177" s="34">
        <v>0</v>
      </c>
      <c r="V177" s="34">
        <v>0</v>
      </c>
      <c r="W177" s="52">
        <v>0</v>
      </c>
      <c r="X177" s="34">
        <v>0</v>
      </c>
      <c r="Y177" s="34">
        <v>0</v>
      </c>
      <c r="Z177" s="46">
        <v>0</v>
      </c>
      <c r="AA177" s="34">
        <v>6</v>
      </c>
      <c r="AB177" s="34">
        <v>0</v>
      </c>
      <c r="AC177" s="52">
        <v>0</v>
      </c>
      <c r="AD177" s="34">
        <v>6</v>
      </c>
      <c r="AE177" s="34">
        <v>0</v>
      </c>
      <c r="AF177" s="52">
        <v>0</v>
      </c>
      <c r="AG177" s="34">
        <v>62</v>
      </c>
      <c r="AH177" s="34">
        <v>20</v>
      </c>
      <c r="AI177" s="52">
        <v>10</v>
      </c>
      <c r="AJ177" s="34">
        <v>6</v>
      </c>
      <c r="AK177" s="34">
        <v>0</v>
      </c>
      <c r="AL177" s="46">
        <v>0</v>
      </c>
      <c r="AM177" s="34">
        <v>0</v>
      </c>
      <c r="AN177" s="34">
        <v>0</v>
      </c>
      <c r="AO177" s="52">
        <v>0</v>
      </c>
      <c r="AP177" s="34">
        <v>0</v>
      </c>
      <c r="AQ177" s="34">
        <v>0</v>
      </c>
      <c r="AR177" s="52">
        <v>0</v>
      </c>
      <c r="AS177" s="34">
        <v>0</v>
      </c>
      <c r="AT177" s="34">
        <v>0</v>
      </c>
      <c r="AU177" s="52">
        <v>0</v>
      </c>
      <c r="AV177" s="34">
        <v>0</v>
      </c>
      <c r="AW177" s="34">
        <v>0</v>
      </c>
      <c r="AX177" s="46">
        <v>0</v>
      </c>
      <c r="AY177" s="34">
        <f t="shared" si="121"/>
        <v>6</v>
      </c>
      <c r="AZ177" s="34">
        <f t="shared" si="122"/>
        <v>0</v>
      </c>
      <c r="BA177" s="52">
        <f t="shared" si="123"/>
        <v>0</v>
      </c>
      <c r="BB177" s="34">
        <f t="shared" si="124"/>
        <v>6</v>
      </c>
      <c r="BC177" s="34">
        <f t="shared" si="125"/>
        <v>0</v>
      </c>
      <c r="BD177" s="52">
        <f t="shared" si="126"/>
        <v>0</v>
      </c>
      <c r="BE177" s="34">
        <f t="shared" si="127"/>
        <v>92</v>
      </c>
      <c r="BF177" s="34">
        <f t="shared" si="128"/>
        <v>50</v>
      </c>
      <c r="BG177" s="52">
        <f t="shared" si="129"/>
        <v>10</v>
      </c>
      <c r="BH177" s="34">
        <f t="shared" si="130"/>
        <v>6</v>
      </c>
      <c r="BI177" s="34">
        <f t="shared" si="131"/>
        <v>0</v>
      </c>
      <c r="BJ177" s="34">
        <f t="shared" si="132"/>
        <v>0</v>
      </c>
      <c r="BK177" s="57">
        <f t="shared" si="133"/>
        <v>170</v>
      </c>
      <c r="BL177" s="34">
        <f t="shared" si="134"/>
        <v>6</v>
      </c>
      <c r="BM177" s="34">
        <f t="shared" si="135"/>
        <v>6</v>
      </c>
      <c r="BN177" s="34">
        <f t="shared" si="136"/>
        <v>152</v>
      </c>
      <c r="BO177" s="34">
        <f t="shared" si="137"/>
        <v>6</v>
      </c>
    </row>
    <row r="178" spans="1:67" ht="13.5" customHeight="1" x14ac:dyDescent="0.25">
      <c r="A178" s="36" t="s">
        <v>453</v>
      </c>
      <c r="B178" s="70" t="s">
        <v>131</v>
      </c>
      <c r="C178" s="34">
        <v>35</v>
      </c>
      <c r="D178" s="34">
        <v>0</v>
      </c>
      <c r="E178" s="52">
        <v>0</v>
      </c>
      <c r="F178" s="34">
        <v>35</v>
      </c>
      <c r="G178" s="34">
        <v>0</v>
      </c>
      <c r="H178" s="52">
        <v>0</v>
      </c>
      <c r="I178" s="34">
        <v>0</v>
      </c>
      <c r="J178" s="34">
        <v>0</v>
      </c>
      <c r="K178" s="52">
        <v>0</v>
      </c>
      <c r="L178" s="34">
        <v>0</v>
      </c>
      <c r="M178" s="34">
        <v>0</v>
      </c>
      <c r="N178" s="46">
        <v>0</v>
      </c>
      <c r="O178" s="34">
        <v>0</v>
      </c>
      <c r="P178" s="34">
        <v>0</v>
      </c>
      <c r="Q178" s="52">
        <v>0</v>
      </c>
      <c r="R178" s="34">
        <v>0</v>
      </c>
      <c r="S178" s="34">
        <v>0</v>
      </c>
      <c r="T178" s="52">
        <v>0</v>
      </c>
      <c r="U178" s="34">
        <v>0</v>
      </c>
      <c r="V178" s="34">
        <v>0</v>
      </c>
      <c r="W178" s="52">
        <v>0</v>
      </c>
      <c r="X178" s="34">
        <v>0</v>
      </c>
      <c r="Y178" s="34">
        <v>0</v>
      </c>
      <c r="Z178" s="46">
        <v>0</v>
      </c>
      <c r="AA178" s="34">
        <v>50</v>
      </c>
      <c r="AB178" s="34">
        <v>40</v>
      </c>
      <c r="AC178" s="52">
        <v>10</v>
      </c>
      <c r="AD178" s="34">
        <v>0</v>
      </c>
      <c r="AE178" s="34">
        <v>0</v>
      </c>
      <c r="AF178" s="52">
        <v>0</v>
      </c>
      <c r="AG178" s="34">
        <v>0</v>
      </c>
      <c r="AH178" s="34">
        <v>0</v>
      </c>
      <c r="AI178" s="52">
        <v>0</v>
      </c>
      <c r="AJ178" s="34">
        <v>0</v>
      </c>
      <c r="AK178" s="34">
        <v>0</v>
      </c>
      <c r="AL178" s="46">
        <v>0</v>
      </c>
      <c r="AM178" s="34">
        <v>0</v>
      </c>
      <c r="AN178" s="34">
        <v>0</v>
      </c>
      <c r="AO178" s="52">
        <v>0</v>
      </c>
      <c r="AP178" s="34">
        <v>0</v>
      </c>
      <c r="AQ178" s="34">
        <v>0</v>
      </c>
      <c r="AR178" s="52">
        <v>0</v>
      </c>
      <c r="AS178" s="34">
        <v>0</v>
      </c>
      <c r="AT178" s="34">
        <v>0</v>
      </c>
      <c r="AU178" s="52">
        <v>0</v>
      </c>
      <c r="AV178" s="34">
        <v>0</v>
      </c>
      <c r="AW178" s="34">
        <v>0</v>
      </c>
      <c r="AX178" s="46">
        <v>0</v>
      </c>
      <c r="AY178" s="41">
        <f t="shared" si="121"/>
        <v>85</v>
      </c>
      <c r="AZ178" s="41">
        <f t="shared" si="122"/>
        <v>40</v>
      </c>
      <c r="BA178" s="50">
        <f t="shared" si="123"/>
        <v>10</v>
      </c>
      <c r="BB178" s="41">
        <f t="shared" si="124"/>
        <v>35</v>
      </c>
      <c r="BC178" s="41">
        <f t="shared" si="125"/>
        <v>0</v>
      </c>
      <c r="BD178" s="50">
        <f t="shared" si="126"/>
        <v>0</v>
      </c>
      <c r="BE178" s="41">
        <f t="shared" si="127"/>
        <v>0</v>
      </c>
      <c r="BF178" s="41">
        <f t="shared" si="128"/>
        <v>0</v>
      </c>
      <c r="BG178" s="50">
        <f t="shared" si="129"/>
        <v>0</v>
      </c>
      <c r="BH178" s="41">
        <f t="shared" si="130"/>
        <v>0</v>
      </c>
      <c r="BI178" s="41">
        <f t="shared" si="131"/>
        <v>0</v>
      </c>
      <c r="BJ178" s="41">
        <f t="shared" si="132"/>
        <v>0</v>
      </c>
      <c r="BK178" s="56">
        <f t="shared" si="133"/>
        <v>170</v>
      </c>
      <c r="BL178" s="41">
        <f t="shared" si="134"/>
        <v>135</v>
      </c>
      <c r="BM178" s="41">
        <f t="shared" si="135"/>
        <v>35</v>
      </c>
      <c r="BN178" s="41">
        <f t="shared" si="136"/>
        <v>0</v>
      </c>
      <c r="BO178" s="41">
        <f t="shared" si="137"/>
        <v>0</v>
      </c>
    </row>
    <row r="179" spans="1:67" ht="13.5" customHeight="1" x14ac:dyDescent="0.25">
      <c r="A179" s="36" t="s">
        <v>454</v>
      </c>
      <c r="B179" s="71" t="s">
        <v>165</v>
      </c>
      <c r="C179" s="34">
        <v>0</v>
      </c>
      <c r="D179" s="34">
        <v>0</v>
      </c>
      <c r="E179" s="52">
        <v>0</v>
      </c>
      <c r="F179" s="34">
        <v>0</v>
      </c>
      <c r="G179" s="34">
        <v>0</v>
      </c>
      <c r="H179" s="52">
        <v>0</v>
      </c>
      <c r="I179" s="34">
        <v>20</v>
      </c>
      <c r="J179" s="34">
        <v>10</v>
      </c>
      <c r="K179" s="52">
        <v>10</v>
      </c>
      <c r="L179" s="34">
        <v>20</v>
      </c>
      <c r="M179" s="34">
        <v>0</v>
      </c>
      <c r="N179" s="46">
        <v>0</v>
      </c>
      <c r="O179" s="34">
        <v>0</v>
      </c>
      <c r="P179" s="34">
        <v>0</v>
      </c>
      <c r="Q179" s="52">
        <v>0</v>
      </c>
      <c r="R179" s="34">
        <v>0</v>
      </c>
      <c r="S179" s="34">
        <v>0</v>
      </c>
      <c r="T179" s="52">
        <v>0</v>
      </c>
      <c r="U179" s="34">
        <v>0</v>
      </c>
      <c r="V179" s="34">
        <v>0</v>
      </c>
      <c r="W179" s="52">
        <v>0</v>
      </c>
      <c r="X179" s="34">
        <v>0</v>
      </c>
      <c r="Y179" s="34">
        <v>0</v>
      </c>
      <c r="Z179" s="46">
        <v>0</v>
      </c>
      <c r="AA179" s="34">
        <v>0</v>
      </c>
      <c r="AB179" s="34">
        <v>0</v>
      </c>
      <c r="AC179" s="52">
        <v>0</v>
      </c>
      <c r="AD179" s="34">
        <v>0</v>
      </c>
      <c r="AE179" s="34">
        <v>0</v>
      </c>
      <c r="AF179" s="52">
        <v>0</v>
      </c>
      <c r="AG179" s="34">
        <v>30</v>
      </c>
      <c r="AH179" s="34">
        <v>20</v>
      </c>
      <c r="AI179" s="52">
        <v>30</v>
      </c>
      <c r="AJ179" s="34">
        <v>20</v>
      </c>
      <c r="AK179" s="34">
        <v>0</v>
      </c>
      <c r="AL179" s="46">
        <v>10</v>
      </c>
      <c r="AM179" s="34">
        <v>0</v>
      </c>
      <c r="AN179" s="34">
        <v>0</v>
      </c>
      <c r="AO179" s="52">
        <v>0</v>
      </c>
      <c r="AP179" s="34">
        <v>0</v>
      </c>
      <c r="AQ179" s="34">
        <v>0</v>
      </c>
      <c r="AR179" s="52">
        <v>0</v>
      </c>
      <c r="AS179" s="34">
        <v>0</v>
      </c>
      <c r="AT179" s="34">
        <v>0</v>
      </c>
      <c r="AU179" s="52">
        <v>0</v>
      </c>
      <c r="AV179" s="34">
        <v>0</v>
      </c>
      <c r="AW179" s="34">
        <v>0</v>
      </c>
      <c r="AX179" s="46">
        <v>0</v>
      </c>
      <c r="AY179" s="41">
        <f t="shared" si="121"/>
        <v>0</v>
      </c>
      <c r="AZ179" s="41">
        <f t="shared" si="122"/>
        <v>0</v>
      </c>
      <c r="BA179" s="50">
        <f t="shared" si="123"/>
        <v>0</v>
      </c>
      <c r="BB179" s="41">
        <f t="shared" si="124"/>
        <v>0</v>
      </c>
      <c r="BC179" s="41">
        <f t="shared" si="125"/>
        <v>0</v>
      </c>
      <c r="BD179" s="50">
        <f t="shared" si="126"/>
        <v>0</v>
      </c>
      <c r="BE179" s="41">
        <f t="shared" si="127"/>
        <v>50</v>
      </c>
      <c r="BF179" s="41">
        <f t="shared" si="128"/>
        <v>30</v>
      </c>
      <c r="BG179" s="50">
        <f t="shared" si="129"/>
        <v>40</v>
      </c>
      <c r="BH179" s="41">
        <f t="shared" si="130"/>
        <v>40</v>
      </c>
      <c r="BI179" s="41">
        <f t="shared" si="131"/>
        <v>0</v>
      </c>
      <c r="BJ179" s="41">
        <f t="shared" si="132"/>
        <v>10</v>
      </c>
      <c r="BK179" s="56">
        <f t="shared" si="133"/>
        <v>170</v>
      </c>
      <c r="BL179" s="41">
        <f t="shared" si="134"/>
        <v>0</v>
      </c>
      <c r="BM179" s="41">
        <f t="shared" si="135"/>
        <v>0</v>
      </c>
      <c r="BN179" s="41">
        <f t="shared" si="136"/>
        <v>120</v>
      </c>
      <c r="BO179" s="41">
        <f t="shared" si="137"/>
        <v>50</v>
      </c>
    </row>
    <row r="180" spans="1:67" ht="13.5" customHeight="1" x14ac:dyDescent="0.25">
      <c r="A180" s="36" t="s">
        <v>455</v>
      </c>
      <c r="B180" s="68" t="s">
        <v>687</v>
      </c>
      <c r="C180" s="34">
        <v>0</v>
      </c>
      <c r="D180" s="34">
        <v>0</v>
      </c>
      <c r="E180" s="52">
        <v>0</v>
      </c>
      <c r="F180" s="34">
        <v>0</v>
      </c>
      <c r="G180" s="34">
        <v>0</v>
      </c>
      <c r="H180" s="52">
        <v>0</v>
      </c>
      <c r="I180" s="34">
        <v>50</v>
      </c>
      <c r="J180" s="34">
        <v>0</v>
      </c>
      <c r="K180" s="52">
        <v>0</v>
      </c>
      <c r="L180" s="34">
        <v>0</v>
      </c>
      <c r="M180" s="34">
        <v>0</v>
      </c>
      <c r="N180" s="46">
        <v>0</v>
      </c>
      <c r="O180" s="34">
        <v>0</v>
      </c>
      <c r="P180" s="34">
        <v>0</v>
      </c>
      <c r="Q180" s="52">
        <v>0</v>
      </c>
      <c r="R180" s="34">
        <v>0</v>
      </c>
      <c r="S180" s="34">
        <v>0</v>
      </c>
      <c r="T180" s="52">
        <v>0</v>
      </c>
      <c r="U180" s="34">
        <v>0</v>
      </c>
      <c r="V180" s="34">
        <v>0</v>
      </c>
      <c r="W180" s="52">
        <v>0</v>
      </c>
      <c r="X180" s="34">
        <v>0</v>
      </c>
      <c r="Y180" s="34">
        <v>0</v>
      </c>
      <c r="Z180" s="46">
        <v>0</v>
      </c>
      <c r="AA180" s="34">
        <v>6</v>
      </c>
      <c r="AB180" s="34">
        <v>0</v>
      </c>
      <c r="AC180" s="52">
        <v>0</v>
      </c>
      <c r="AD180" s="34">
        <v>6</v>
      </c>
      <c r="AE180" s="34">
        <v>0</v>
      </c>
      <c r="AF180" s="52">
        <v>0</v>
      </c>
      <c r="AG180" s="34">
        <v>51</v>
      </c>
      <c r="AH180" s="34">
        <v>0</v>
      </c>
      <c r="AI180" s="52">
        <v>10</v>
      </c>
      <c r="AJ180" s="34">
        <v>41</v>
      </c>
      <c r="AK180" s="34">
        <v>0</v>
      </c>
      <c r="AL180" s="46">
        <v>0</v>
      </c>
      <c r="AM180" s="34">
        <v>0</v>
      </c>
      <c r="AN180" s="34">
        <v>0</v>
      </c>
      <c r="AO180" s="52">
        <v>0</v>
      </c>
      <c r="AP180" s="34">
        <v>0</v>
      </c>
      <c r="AQ180" s="34">
        <v>0</v>
      </c>
      <c r="AR180" s="52">
        <v>0</v>
      </c>
      <c r="AS180" s="34">
        <v>0</v>
      </c>
      <c r="AT180" s="34">
        <v>0</v>
      </c>
      <c r="AU180" s="52">
        <v>0</v>
      </c>
      <c r="AV180" s="34">
        <v>0</v>
      </c>
      <c r="AW180" s="34">
        <v>0</v>
      </c>
      <c r="AX180" s="46">
        <v>0</v>
      </c>
      <c r="AY180" s="34">
        <f t="shared" ref="AY180:AY211" si="138">C180+AA180+AM180</f>
        <v>6</v>
      </c>
      <c r="AZ180" s="34">
        <f t="shared" ref="AZ180:AZ211" si="139">D180+AB180+AN180</f>
        <v>0</v>
      </c>
      <c r="BA180" s="52">
        <f t="shared" ref="BA180:BA211" si="140">E180+AC180+AO180</f>
        <v>0</v>
      </c>
      <c r="BB180" s="34">
        <f t="shared" ref="BB180:BB211" si="141">F180+AD180+AP180</f>
        <v>6</v>
      </c>
      <c r="BC180" s="34">
        <f t="shared" ref="BC180:BC211" si="142">G180+AE180+AQ180</f>
        <v>0</v>
      </c>
      <c r="BD180" s="52">
        <f t="shared" ref="BD180:BD211" si="143">H180+AF180+AR180</f>
        <v>0</v>
      </c>
      <c r="BE180" s="34">
        <f t="shared" ref="BE180:BE211" si="144">I180+AG180+AS180</f>
        <v>101</v>
      </c>
      <c r="BF180" s="34">
        <f t="shared" ref="BF180:BF211" si="145">J180+AH180+AT180</f>
        <v>0</v>
      </c>
      <c r="BG180" s="52">
        <f t="shared" ref="BG180:BG211" si="146">K180+AI180+AU180</f>
        <v>10</v>
      </c>
      <c r="BH180" s="34">
        <f t="shared" ref="BH180:BH211" si="147">L180+AJ180+AV180</f>
        <v>41</v>
      </c>
      <c r="BI180" s="34">
        <f t="shared" ref="BI180:BI211" si="148">M180+AK180+AW180</f>
        <v>0</v>
      </c>
      <c r="BJ180" s="34">
        <f t="shared" ref="BJ180:BJ211" si="149">N180+AL180+AX180</f>
        <v>0</v>
      </c>
      <c r="BK180" s="57">
        <f t="shared" ref="BK180:BK211" si="150">BL180+BM180+BN180+BO180</f>
        <v>164</v>
      </c>
      <c r="BL180" s="34">
        <f t="shared" ref="BL180:BL211" si="151">AY180+AZ180+BA180</f>
        <v>6</v>
      </c>
      <c r="BM180" s="34">
        <f t="shared" ref="BM180:BM211" si="152">BB180+BC180+BD180</f>
        <v>6</v>
      </c>
      <c r="BN180" s="34">
        <f t="shared" ref="BN180:BN211" si="153">BE180+BF180+BG180</f>
        <v>111</v>
      </c>
      <c r="BO180" s="34">
        <f t="shared" ref="BO180:BO211" si="154">BH180+BI180+BJ180</f>
        <v>41</v>
      </c>
    </row>
    <row r="181" spans="1:67" ht="13.5" customHeight="1" x14ac:dyDescent="0.25">
      <c r="A181" s="36" t="s">
        <v>456</v>
      </c>
      <c r="B181" s="68" t="s">
        <v>184</v>
      </c>
      <c r="C181" s="34">
        <v>30</v>
      </c>
      <c r="D181" s="34">
        <v>0</v>
      </c>
      <c r="E181" s="52">
        <v>0</v>
      </c>
      <c r="F181" s="34">
        <v>0</v>
      </c>
      <c r="G181" s="34">
        <v>0</v>
      </c>
      <c r="H181" s="52">
        <v>0</v>
      </c>
      <c r="I181" s="34">
        <v>0</v>
      </c>
      <c r="J181" s="34">
        <v>0</v>
      </c>
      <c r="K181" s="52">
        <v>0</v>
      </c>
      <c r="L181" s="34">
        <v>30</v>
      </c>
      <c r="M181" s="34">
        <v>0</v>
      </c>
      <c r="N181" s="46">
        <v>0</v>
      </c>
      <c r="O181" s="34">
        <v>0</v>
      </c>
      <c r="P181" s="34">
        <v>0</v>
      </c>
      <c r="Q181" s="52">
        <v>0</v>
      </c>
      <c r="R181" s="34">
        <v>0</v>
      </c>
      <c r="S181" s="34">
        <v>0</v>
      </c>
      <c r="T181" s="52">
        <v>0</v>
      </c>
      <c r="U181" s="34">
        <v>0</v>
      </c>
      <c r="V181" s="34">
        <v>0</v>
      </c>
      <c r="W181" s="52">
        <v>0</v>
      </c>
      <c r="X181" s="34">
        <v>0</v>
      </c>
      <c r="Y181" s="34">
        <v>0</v>
      </c>
      <c r="Z181" s="46">
        <v>0</v>
      </c>
      <c r="AA181" s="34">
        <v>26</v>
      </c>
      <c r="AB181" s="34">
        <v>0</v>
      </c>
      <c r="AC181" s="52">
        <v>0</v>
      </c>
      <c r="AD181" s="34">
        <v>0</v>
      </c>
      <c r="AE181" s="34">
        <v>0</v>
      </c>
      <c r="AF181" s="52">
        <v>0</v>
      </c>
      <c r="AG181" s="34">
        <v>0</v>
      </c>
      <c r="AH181" s="34">
        <v>0</v>
      </c>
      <c r="AI181" s="52">
        <v>0</v>
      </c>
      <c r="AJ181" s="34">
        <v>46</v>
      </c>
      <c r="AK181" s="34">
        <v>10</v>
      </c>
      <c r="AL181" s="46">
        <v>20</v>
      </c>
      <c r="AM181" s="34">
        <v>0</v>
      </c>
      <c r="AN181" s="34">
        <v>0</v>
      </c>
      <c r="AO181" s="52">
        <v>0</v>
      </c>
      <c r="AP181" s="34">
        <v>0</v>
      </c>
      <c r="AQ181" s="34">
        <v>0</v>
      </c>
      <c r="AR181" s="52">
        <v>0</v>
      </c>
      <c r="AS181" s="34">
        <v>0</v>
      </c>
      <c r="AT181" s="34">
        <v>0</v>
      </c>
      <c r="AU181" s="52">
        <v>0</v>
      </c>
      <c r="AV181" s="34">
        <v>0</v>
      </c>
      <c r="AW181" s="34">
        <v>0</v>
      </c>
      <c r="AX181" s="46">
        <v>0</v>
      </c>
      <c r="AY181" s="41">
        <f t="shared" si="138"/>
        <v>56</v>
      </c>
      <c r="AZ181" s="41">
        <f t="shared" si="139"/>
        <v>0</v>
      </c>
      <c r="BA181" s="50">
        <f t="shared" si="140"/>
        <v>0</v>
      </c>
      <c r="BB181" s="41">
        <f t="shared" si="141"/>
        <v>0</v>
      </c>
      <c r="BC181" s="41">
        <f t="shared" si="142"/>
        <v>0</v>
      </c>
      <c r="BD181" s="50">
        <f t="shared" si="143"/>
        <v>0</v>
      </c>
      <c r="BE181" s="41">
        <f t="shared" si="144"/>
        <v>0</v>
      </c>
      <c r="BF181" s="41">
        <f t="shared" si="145"/>
        <v>0</v>
      </c>
      <c r="BG181" s="50">
        <f t="shared" si="146"/>
        <v>0</v>
      </c>
      <c r="BH181" s="41">
        <f t="shared" si="147"/>
        <v>76</v>
      </c>
      <c r="BI181" s="41">
        <f t="shared" si="148"/>
        <v>10</v>
      </c>
      <c r="BJ181" s="41">
        <f t="shared" si="149"/>
        <v>20</v>
      </c>
      <c r="BK181" s="56">
        <f t="shared" si="150"/>
        <v>162</v>
      </c>
      <c r="BL181" s="41">
        <f t="shared" si="151"/>
        <v>56</v>
      </c>
      <c r="BM181" s="41">
        <f t="shared" si="152"/>
        <v>0</v>
      </c>
      <c r="BN181" s="41">
        <f t="shared" si="153"/>
        <v>0</v>
      </c>
      <c r="BO181" s="41">
        <f t="shared" si="154"/>
        <v>106</v>
      </c>
    </row>
    <row r="182" spans="1:67" ht="13.5" customHeight="1" x14ac:dyDescent="0.25">
      <c r="A182" s="36" t="s">
        <v>457</v>
      </c>
      <c r="B182" s="68" t="s">
        <v>128</v>
      </c>
      <c r="C182" s="34">
        <v>40</v>
      </c>
      <c r="D182" s="34">
        <v>0</v>
      </c>
      <c r="E182" s="52">
        <v>0</v>
      </c>
      <c r="F182" s="34">
        <v>0</v>
      </c>
      <c r="G182" s="34">
        <v>0</v>
      </c>
      <c r="H182" s="52">
        <v>0</v>
      </c>
      <c r="I182" s="34">
        <v>0</v>
      </c>
      <c r="J182" s="34">
        <v>0</v>
      </c>
      <c r="K182" s="52">
        <v>0</v>
      </c>
      <c r="L182" s="34">
        <v>0</v>
      </c>
      <c r="M182" s="34">
        <v>0</v>
      </c>
      <c r="N182" s="46">
        <v>0</v>
      </c>
      <c r="O182" s="34">
        <v>0</v>
      </c>
      <c r="P182" s="34">
        <v>0</v>
      </c>
      <c r="Q182" s="52">
        <v>0</v>
      </c>
      <c r="R182" s="34">
        <v>0</v>
      </c>
      <c r="S182" s="34">
        <v>0</v>
      </c>
      <c r="T182" s="52">
        <v>0</v>
      </c>
      <c r="U182" s="34">
        <v>0</v>
      </c>
      <c r="V182" s="34">
        <v>0</v>
      </c>
      <c r="W182" s="52">
        <v>0</v>
      </c>
      <c r="X182" s="34">
        <v>0</v>
      </c>
      <c r="Y182" s="34">
        <v>0</v>
      </c>
      <c r="Z182" s="46">
        <v>0</v>
      </c>
      <c r="AA182" s="34">
        <v>66</v>
      </c>
      <c r="AB182" s="34">
        <v>10</v>
      </c>
      <c r="AC182" s="52">
        <v>20</v>
      </c>
      <c r="AD182" s="34">
        <v>0</v>
      </c>
      <c r="AE182" s="34">
        <v>0</v>
      </c>
      <c r="AF182" s="52">
        <v>0</v>
      </c>
      <c r="AG182" s="34">
        <v>0</v>
      </c>
      <c r="AH182" s="34">
        <v>0</v>
      </c>
      <c r="AI182" s="52">
        <v>0</v>
      </c>
      <c r="AJ182" s="34">
        <v>0</v>
      </c>
      <c r="AK182" s="34">
        <v>0</v>
      </c>
      <c r="AL182" s="46">
        <v>0</v>
      </c>
      <c r="AM182" s="34">
        <v>10</v>
      </c>
      <c r="AN182" s="34">
        <v>15</v>
      </c>
      <c r="AO182" s="52">
        <v>0</v>
      </c>
      <c r="AP182" s="34">
        <v>0</v>
      </c>
      <c r="AQ182" s="34">
        <v>0</v>
      </c>
      <c r="AR182" s="52">
        <v>0</v>
      </c>
      <c r="AS182" s="34">
        <v>0</v>
      </c>
      <c r="AT182" s="34">
        <v>0</v>
      </c>
      <c r="AU182" s="52">
        <v>0</v>
      </c>
      <c r="AV182" s="34">
        <v>0</v>
      </c>
      <c r="AW182" s="34">
        <v>0</v>
      </c>
      <c r="AX182" s="46">
        <v>0</v>
      </c>
      <c r="AY182" s="41">
        <f t="shared" si="138"/>
        <v>116</v>
      </c>
      <c r="AZ182" s="41">
        <f t="shared" si="139"/>
        <v>25</v>
      </c>
      <c r="BA182" s="50">
        <f t="shared" si="140"/>
        <v>20</v>
      </c>
      <c r="BB182" s="41">
        <f t="shared" si="141"/>
        <v>0</v>
      </c>
      <c r="BC182" s="41">
        <f t="shared" si="142"/>
        <v>0</v>
      </c>
      <c r="BD182" s="50">
        <f t="shared" si="143"/>
        <v>0</v>
      </c>
      <c r="BE182" s="41">
        <f t="shared" si="144"/>
        <v>0</v>
      </c>
      <c r="BF182" s="41">
        <f t="shared" si="145"/>
        <v>0</v>
      </c>
      <c r="BG182" s="50">
        <f t="shared" si="146"/>
        <v>0</v>
      </c>
      <c r="BH182" s="41">
        <f t="shared" si="147"/>
        <v>0</v>
      </c>
      <c r="BI182" s="41">
        <f t="shared" si="148"/>
        <v>0</v>
      </c>
      <c r="BJ182" s="41">
        <f t="shared" si="149"/>
        <v>0</v>
      </c>
      <c r="BK182" s="56">
        <f t="shared" si="150"/>
        <v>161</v>
      </c>
      <c r="BL182" s="41">
        <f t="shared" si="151"/>
        <v>161</v>
      </c>
      <c r="BM182" s="41">
        <f t="shared" si="152"/>
        <v>0</v>
      </c>
      <c r="BN182" s="41">
        <f t="shared" si="153"/>
        <v>0</v>
      </c>
      <c r="BO182" s="41">
        <f t="shared" si="154"/>
        <v>0</v>
      </c>
    </row>
    <row r="183" spans="1:67" ht="13.5" customHeight="1" x14ac:dyDescent="0.25">
      <c r="A183" s="36" t="s">
        <v>458</v>
      </c>
      <c r="B183" s="70" t="s">
        <v>123</v>
      </c>
      <c r="C183" s="34">
        <v>35</v>
      </c>
      <c r="D183" s="34">
        <v>10</v>
      </c>
      <c r="E183" s="52">
        <v>10</v>
      </c>
      <c r="F183" s="34">
        <v>0</v>
      </c>
      <c r="G183" s="34">
        <v>0</v>
      </c>
      <c r="H183" s="52">
        <v>0</v>
      </c>
      <c r="I183" s="34">
        <v>0</v>
      </c>
      <c r="J183" s="34">
        <v>0</v>
      </c>
      <c r="K183" s="52">
        <v>0</v>
      </c>
      <c r="L183" s="34">
        <v>0</v>
      </c>
      <c r="M183" s="34">
        <v>0</v>
      </c>
      <c r="N183" s="46">
        <v>0</v>
      </c>
      <c r="O183" s="34">
        <v>0</v>
      </c>
      <c r="P183" s="34">
        <v>0</v>
      </c>
      <c r="Q183" s="52">
        <v>0</v>
      </c>
      <c r="R183" s="34">
        <v>0</v>
      </c>
      <c r="S183" s="34">
        <v>0</v>
      </c>
      <c r="T183" s="52">
        <v>0</v>
      </c>
      <c r="U183" s="34">
        <v>0</v>
      </c>
      <c r="V183" s="34">
        <v>0</v>
      </c>
      <c r="W183" s="52">
        <v>0</v>
      </c>
      <c r="X183" s="34">
        <v>0</v>
      </c>
      <c r="Y183" s="34">
        <v>0</v>
      </c>
      <c r="Z183" s="46">
        <v>0</v>
      </c>
      <c r="AA183" s="34">
        <v>45</v>
      </c>
      <c r="AB183" s="34">
        <v>35</v>
      </c>
      <c r="AC183" s="52">
        <v>25</v>
      </c>
      <c r="AD183" s="34">
        <v>0</v>
      </c>
      <c r="AE183" s="34">
        <v>0</v>
      </c>
      <c r="AF183" s="52">
        <v>0</v>
      </c>
      <c r="AG183" s="34">
        <v>0</v>
      </c>
      <c r="AH183" s="34">
        <v>0</v>
      </c>
      <c r="AI183" s="52">
        <v>0</v>
      </c>
      <c r="AJ183" s="34">
        <v>0</v>
      </c>
      <c r="AK183" s="34">
        <v>0</v>
      </c>
      <c r="AL183" s="46">
        <v>0</v>
      </c>
      <c r="AM183" s="34">
        <v>0</v>
      </c>
      <c r="AN183" s="34">
        <v>0</v>
      </c>
      <c r="AO183" s="52">
        <v>0</v>
      </c>
      <c r="AP183" s="34">
        <v>0</v>
      </c>
      <c r="AQ183" s="34">
        <v>0</v>
      </c>
      <c r="AR183" s="52">
        <v>0</v>
      </c>
      <c r="AS183" s="34">
        <v>0</v>
      </c>
      <c r="AT183" s="34">
        <v>0</v>
      </c>
      <c r="AU183" s="52">
        <v>0</v>
      </c>
      <c r="AV183" s="34">
        <v>0</v>
      </c>
      <c r="AW183" s="34">
        <v>0</v>
      </c>
      <c r="AX183" s="46">
        <v>0</v>
      </c>
      <c r="AY183" s="41">
        <f t="shared" si="138"/>
        <v>80</v>
      </c>
      <c r="AZ183" s="41">
        <f t="shared" si="139"/>
        <v>45</v>
      </c>
      <c r="BA183" s="50">
        <f t="shared" si="140"/>
        <v>35</v>
      </c>
      <c r="BB183" s="41">
        <f t="shared" si="141"/>
        <v>0</v>
      </c>
      <c r="BC183" s="41">
        <f t="shared" si="142"/>
        <v>0</v>
      </c>
      <c r="BD183" s="50">
        <f t="shared" si="143"/>
        <v>0</v>
      </c>
      <c r="BE183" s="41">
        <f t="shared" si="144"/>
        <v>0</v>
      </c>
      <c r="BF183" s="41">
        <f t="shared" si="145"/>
        <v>0</v>
      </c>
      <c r="BG183" s="50">
        <f t="shared" si="146"/>
        <v>0</v>
      </c>
      <c r="BH183" s="41">
        <f t="shared" si="147"/>
        <v>0</v>
      </c>
      <c r="BI183" s="41">
        <f t="shared" si="148"/>
        <v>0</v>
      </c>
      <c r="BJ183" s="41">
        <f t="shared" si="149"/>
        <v>0</v>
      </c>
      <c r="BK183" s="56">
        <f t="shared" si="150"/>
        <v>160</v>
      </c>
      <c r="BL183" s="41">
        <f t="shared" si="151"/>
        <v>160</v>
      </c>
      <c r="BM183" s="41">
        <f t="shared" si="152"/>
        <v>0</v>
      </c>
      <c r="BN183" s="41">
        <f t="shared" si="153"/>
        <v>0</v>
      </c>
      <c r="BO183" s="41">
        <f t="shared" si="154"/>
        <v>0</v>
      </c>
    </row>
    <row r="184" spans="1:67" ht="13.5" customHeight="1" x14ac:dyDescent="0.25">
      <c r="A184" s="36" t="s">
        <v>459</v>
      </c>
      <c r="B184" s="68" t="s">
        <v>673</v>
      </c>
      <c r="C184" s="34">
        <v>15</v>
      </c>
      <c r="D184" s="34">
        <v>0</v>
      </c>
      <c r="E184" s="52">
        <v>0</v>
      </c>
      <c r="F184" s="34">
        <v>15</v>
      </c>
      <c r="G184" s="34">
        <v>0</v>
      </c>
      <c r="H184" s="52">
        <v>0</v>
      </c>
      <c r="I184" s="34">
        <v>0</v>
      </c>
      <c r="J184" s="34">
        <v>0</v>
      </c>
      <c r="K184" s="52">
        <v>0</v>
      </c>
      <c r="L184" s="34">
        <v>0</v>
      </c>
      <c r="M184" s="34">
        <v>0</v>
      </c>
      <c r="N184" s="46">
        <v>0</v>
      </c>
      <c r="O184" s="34">
        <v>0</v>
      </c>
      <c r="P184" s="34">
        <v>0</v>
      </c>
      <c r="Q184" s="52">
        <v>0</v>
      </c>
      <c r="R184" s="34">
        <v>0</v>
      </c>
      <c r="S184" s="34">
        <v>0</v>
      </c>
      <c r="T184" s="52">
        <v>0</v>
      </c>
      <c r="U184" s="34">
        <v>0</v>
      </c>
      <c r="V184" s="34">
        <v>0</v>
      </c>
      <c r="W184" s="52">
        <v>0</v>
      </c>
      <c r="X184" s="34">
        <v>0</v>
      </c>
      <c r="Y184" s="34">
        <v>0</v>
      </c>
      <c r="Z184" s="46">
        <v>0</v>
      </c>
      <c r="AA184" s="34">
        <v>32</v>
      </c>
      <c r="AB184" s="34">
        <v>0</v>
      </c>
      <c r="AC184" s="52">
        <v>0</v>
      </c>
      <c r="AD184" s="34">
        <v>42</v>
      </c>
      <c r="AE184" s="34">
        <v>20</v>
      </c>
      <c r="AF184" s="52">
        <v>20</v>
      </c>
      <c r="AG184" s="34">
        <v>6</v>
      </c>
      <c r="AH184" s="34">
        <v>0</v>
      </c>
      <c r="AI184" s="52">
        <v>0</v>
      </c>
      <c r="AJ184" s="34">
        <v>6</v>
      </c>
      <c r="AK184" s="34">
        <v>0</v>
      </c>
      <c r="AL184" s="46">
        <v>0</v>
      </c>
      <c r="AM184" s="34">
        <v>0</v>
      </c>
      <c r="AN184" s="34">
        <v>0</v>
      </c>
      <c r="AO184" s="52">
        <v>0</v>
      </c>
      <c r="AP184" s="34">
        <v>0</v>
      </c>
      <c r="AQ184" s="34">
        <v>0</v>
      </c>
      <c r="AR184" s="52">
        <v>0</v>
      </c>
      <c r="AS184" s="34">
        <v>0</v>
      </c>
      <c r="AT184" s="34">
        <v>0</v>
      </c>
      <c r="AU184" s="52">
        <v>0</v>
      </c>
      <c r="AV184" s="34">
        <v>0</v>
      </c>
      <c r="AW184" s="34">
        <v>0</v>
      </c>
      <c r="AX184" s="46">
        <v>0</v>
      </c>
      <c r="AY184" s="34">
        <f t="shared" si="138"/>
        <v>47</v>
      </c>
      <c r="AZ184" s="34">
        <f t="shared" si="139"/>
        <v>0</v>
      </c>
      <c r="BA184" s="52">
        <f t="shared" si="140"/>
        <v>0</v>
      </c>
      <c r="BB184" s="34">
        <f t="shared" si="141"/>
        <v>57</v>
      </c>
      <c r="BC184" s="34">
        <f t="shared" si="142"/>
        <v>20</v>
      </c>
      <c r="BD184" s="52">
        <f t="shared" si="143"/>
        <v>20</v>
      </c>
      <c r="BE184" s="34">
        <f t="shared" si="144"/>
        <v>6</v>
      </c>
      <c r="BF184" s="34">
        <f t="shared" si="145"/>
        <v>0</v>
      </c>
      <c r="BG184" s="52">
        <f t="shared" si="146"/>
        <v>0</v>
      </c>
      <c r="BH184" s="34">
        <f t="shared" si="147"/>
        <v>6</v>
      </c>
      <c r="BI184" s="34">
        <f t="shared" si="148"/>
        <v>0</v>
      </c>
      <c r="BJ184" s="34">
        <f t="shared" si="149"/>
        <v>0</v>
      </c>
      <c r="BK184" s="57">
        <f t="shared" si="150"/>
        <v>156</v>
      </c>
      <c r="BL184" s="34">
        <f t="shared" si="151"/>
        <v>47</v>
      </c>
      <c r="BM184" s="34">
        <f t="shared" si="152"/>
        <v>97</v>
      </c>
      <c r="BN184" s="34">
        <f t="shared" si="153"/>
        <v>6</v>
      </c>
      <c r="BO184" s="34">
        <f t="shared" si="154"/>
        <v>6</v>
      </c>
    </row>
    <row r="185" spans="1:67" ht="13.5" customHeight="1" x14ac:dyDescent="0.25">
      <c r="A185" s="36" t="s">
        <v>460</v>
      </c>
      <c r="B185" s="71" t="s">
        <v>164</v>
      </c>
      <c r="C185" s="34">
        <v>0</v>
      </c>
      <c r="D185" s="34">
        <v>0</v>
      </c>
      <c r="E185" s="52">
        <v>0</v>
      </c>
      <c r="F185" s="34">
        <v>0</v>
      </c>
      <c r="G185" s="34">
        <v>0</v>
      </c>
      <c r="H185" s="52">
        <v>0</v>
      </c>
      <c r="I185" s="34">
        <v>40</v>
      </c>
      <c r="J185" s="34">
        <v>0</v>
      </c>
      <c r="K185" s="52">
        <v>0</v>
      </c>
      <c r="L185" s="34">
        <v>0</v>
      </c>
      <c r="M185" s="34">
        <v>0</v>
      </c>
      <c r="N185" s="46">
        <v>0</v>
      </c>
      <c r="O185" s="34">
        <v>0</v>
      </c>
      <c r="P185" s="34">
        <v>0</v>
      </c>
      <c r="Q185" s="52">
        <v>0</v>
      </c>
      <c r="R185" s="34">
        <v>0</v>
      </c>
      <c r="S185" s="34">
        <v>0</v>
      </c>
      <c r="T185" s="52">
        <v>0</v>
      </c>
      <c r="U185" s="34">
        <v>0</v>
      </c>
      <c r="V185" s="34">
        <v>0</v>
      </c>
      <c r="W185" s="52">
        <v>0</v>
      </c>
      <c r="X185" s="34">
        <v>0</v>
      </c>
      <c r="Y185" s="34">
        <v>0</v>
      </c>
      <c r="Z185" s="46">
        <v>0</v>
      </c>
      <c r="AA185" s="34">
        <v>0</v>
      </c>
      <c r="AB185" s="34">
        <v>0</v>
      </c>
      <c r="AC185" s="52">
        <v>0</v>
      </c>
      <c r="AD185" s="34">
        <v>0</v>
      </c>
      <c r="AE185" s="34">
        <v>0</v>
      </c>
      <c r="AF185" s="52">
        <v>0</v>
      </c>
      <c r="AG185" s="34">
        <v>76</v>
      </c>
      <c r="AH185" s="34">
        <v>10</v>
      </c>
      <c r="AI185" s="52">
        <v>20</v>
      </c>
      <c r="AJ185" s="34">
        <v>10</v>
      </c>
      <c r="AK185" s="34">
        <v>0</v>
      </c>
      <c r="AL185" s="46">
        <v>0</v>
      </c>
      <c r="AM185" s="34">
        <v>0</v>
      </c>
      <c r="AN185" s="34">
        <v>0</v>
      </c>
      <c r="AO185" s="52">
        <v>0</v>
      </c>
      <c r="AP185" s="34">
        <v>0</v>
      </c>
      <c r="AQ185" s="34">
        <v>0</v>
      </c>
      <c r="AR185" s="52">
        <v>0</v>
      </c>
      <c r="AS185" s="34">
        <v>0</v>
      </c>
      <c r="AT185" s="34">
        <v>0</v>
      </c>
      <c r="AU185" s="52">
        <v>0</v>
      </c>
      <c r="AV185" s="34">
        <v>0</v>
      </c>
      <c r="AW185" s="34">
        <v>0</v>
      </c>
      <c r="AX185" s="46">
        <v>0</v>
      </c>
      <c r="AY185" s="41">
        <f t="shared" si="138"/>
        <v>0</v>
      </c>
      <c r="AZ185" s="41">
        <f t="shared" si="139"/>
        <v>0</v>
      </c>
      <c r="BA185" s="50">
        <f t="shared" si="140"/>
        <v>0</v>
      </c>
      <c r="BB185" s="41">
        <f t="shared" si="141"/>
        <v>0</v>
      </c>
      <c r="BC185" s="41">
        <f t="shared" si="142"/>
        <v>0</v>
      </c>
      <c r="BD185" s="50">
        <f t="shared" si="143"/>
        <v>0</v>
      </c>
      <c r="BE185" s="41">
        <f t="shared" si="144"/>
        <v>116</v>
      </c>
      <c r="BF185" s="41">
        <f t="shared" si="145"/>
        <v>10</v>
      </c>
      <c r="BG185" s="50">
        <f t="shared" si="146"/>
        <v>20</v>
      </c>
      <c r="BH185" s="41">
        <f t="shared" si="147"/>
        <v>10</v>
      </c>
      <c r="BI185" s="41">
        <f t="shared" si="148"/>
        <v>0</v>
      </c>
      <c r="BJ185" s="41">
        <f t="shared" si="149"/>
        <v>0</v>
      </c>
      <c r="BK185" s="56">
        <f t="shared" si="150"/>
        <v>156</v>
      </c>
      <c r="BL185" s="41">
        <f t="shared" si="151"/>
        <v>0</v>
      </c>
      <c r="BM185" s="41">
        <f t="shared" si="152"/>
        <v>0</v>
      </c>
      <c r="BN185" s="41">
        <f t="shared" si="153"/>
        <v>146</v>
      </c>
      <c r="BO185" s="41">
        <f t="shared" si="154"/>
        <v>10</v>
      </c>
    </row>
    <row r="186" spans="1:67" ht="13.5" customHeight="1" x14ac:dyDescent="0.25">
      <c r="A186" s="36" t="s">
        <v>461</v>
      </c>
      <c r="B186" s="68" t="s">
        <v>295</v>
      </c>
      <c r="C186" s="34">
        <v>20</v>
      </c>
      <c r="D186" s="34">
        <v>0</v>
      </c>
      <c r="E186" s="52">
        <v>0</v>
      </c>
      <c r="F186" s="34">
        <v>20</v>
      </c>
      <c r="G186" s="34">
        <v>0</v>
      </c>
      <c r="H186" s="52">
        <v>0</v>
      </c>
      <c r="I186" s="34">
        <v>0</v>
      </c>
      <c r="J186" s="34">
        <v>0</v>
      </c>
      <c r="K186" s="52">
        <v>0</v>
      </c>
      <c r="L186" s="34">
        <v>0</v>
      </c>
      <c r="M186" s="34">
        <v>0</v>
      </c>
      <c r="N186" s="46">
        <v>0</v>
      </c>
      <c r="O186" s="34">
        <v>0</v>
      </c>
      <c r="P186" s="34">
        <v>0</v>
      </c>
      <c r="Q186" s="52">
        <v>0</v>
      </c>
      <c r="R186" s="34">
        <v>0</v>
      </c>
      <c r="S186" s="34">
        <v>0</v>
      </c>
      <c r="T186" s="52">
        <v>0</v>
      </c>
      <c r="U186" s="34">
        <v>0</v>
      </c>
      <c r="V186" s="34">
        <v>0</v>
      </c>
      <c r="W186" s="52">
        <v>0</v>
      </c>
      <c r="X186" s="34">
        <v>0</v>
      </c>
      <c r="Y186" s="34">
        <v>0</v>
      </c>
      <c r="Z186" s="46">
        <v>0</v>
      </c>
      <c r="AA186" s="34">
        <v>42</v>
      </c>
      <c r="AB186" s="34">
        <v>0</v>
      </c>
      <c r="AC186" s="52">
        <v>20</v>
      </c>
      <c r="AD186" s="34">
        <v>32</v>
      </c>
      <c r="AE186" s="34">
        <v>0</v>
      </c>
      <c r="AF186" s="52">
        <v>10</v>
      </c>
      <c r="AG186" s="34">
        <v>6</v>
      </c>
      <c r="AH186" s="34">
        <v>0</v>
      </c>
      <c r="AI186" s="52">
        <v>0</v>
      </c>
      <c r="AJ186" s="34">
        <v>6</v>
      </c>
      <c r="AK186" s="34">
        <v>0</v>
      </c>
      <c r="AL186" s="46">
        <v>0</v>
      </c>
      <c r="AM186" s="34">
        <v>0</v>
      </c>
      <c r="AN186" s="34">
        <v>0</v>
      </c>
      <c r="AO186" s="52">
        <v>0</v>
      </c>
      <c r="AP186" s="34">
        <v>0</v>
      </c>
      <c r="AQ186" s="34">
        <v>0</v>
      </c>
      <c r="AR186" s="52">
        <v>0</v>
      </c>
      <c r="AS186" s="34">
        <v>0</v>
      </c>
      <c r="AT186" s="34">
        <v>0</v>
      </c>
      <c r="AU186" s="52">
        <v>0</v>
      </c>
      <c r="AV186" s="34">
        <v>0</v>
      </c>
      <c r="AW186" s="34">
        <v>0</v>
      </c>
      <c r="AX186" s="46">
        <v>0</v>
      </c>
      <c r="AY186" s="34">
        <f t="shared" si="138"/>
        <v>62</v>
      </c>
      <c r="AZ186" s="34">
        <f t="shared" si="139"/>
        <v>0</v>
      </c>
      <c r="BA186" s="52">
        <f t="shared" si="140"/>
        <v>20</v>
      </c>
      <c r="BB186" s="34">
        <f t="shared" si="141"/>
        <v>52</v>
      </c>
      <c r="BC186" s="34">
        <f t="shared" si="142"/>
        <v>0</v>
      </c>
      <c r="BD186" s="52">
        <f t="shared" si="143"/>
        <v>10</v>
      </c>
      <c r="BE186" s="34">
        <f t="shared" si="144"/>
        <v>6</v>
      </c>
      <c r="BF186" s="34">
        <f t="shared" si="145"/>
        <v>0</v>
      </c>
      <c r="BG186" s="52">
        <f t="shared" si="146"/>
        <v>0</v>
      </c>
      <c r="BH186" s="34">
        <f t="shared" si="147"/>
        <v>6</v>
      </c>
      <c r="BI186" s="34">
        <f t="shared" si="148"/>
        <v>0</v>
      </c>
      <c r="BJ186" s="34">
        <f t="shared" si="149"/>
        <v>0</v>
      </c>
      <c r="BK186" s="57">
        <f t="shared" si="150"/>
        <v>156</v>
      </c>
      <c r="BL186" s="34">
        <f t="shared" si="151"/>
        <v>82</v>
      </c>
      <c r="BM186" s="34">
        <f t="shared" si="152"/>
        <v>62</v>
      </c>
      <c r="BN186" s="34">
        <f t="shared" si="153"/>
        <v>6</v>
      </c>
      <c r="BO186" s="34">
        <f t="shared" si="154"/>
        <v>6</v>
      </c>
    </row>
    <row r="187" spans="1:67" ht="13.5" customHeight="1" x14ac:dyDescent="0.25">
      <c r="A187" s="36" t="s">
        <v>462</v>
      </c>
      <c r="B187" s="70" t="s">
        <v>182</v>
      </c>
      <c r="C187" s="34">
        <v>0</v>
      </c>
      <c r="D187" s="34">
        <v>0</v>
      </c>
      <c r="E187" s="52">
        <v>0</v>
      </c>
      <c r="F187" s="34">
        <v>0</v>
      </c>
      <c r="G187" s="34">
        <v>0</v>
      </c>
      <c r="H187" s="52">
        <v>0</v>
      </c>
      <c r="I187" s="34">
        <v>0</v>
      </c>
      <c r="J187" s="34">
        <v>0</v>
      </c>
      <c r="K187" s="52">
        <v>0</v>
      </c>
      <c r="L187" s="34">
        <v>35</v>
      </c>
      <c r="M187" s="34">
        <v>0</v>
      </c>
      <c r="N187" s="46">
        <v>20</v>
      </c>
      <c r="O187" s="34">
        <v>0</v>
      </c>
      <c r="P187" s="34">
        <v>0</v>
      </c>
      <c r="Q187" s="52">
        <v>0</v>
      </c>
      <c r="R187" s="34">
        <v>0</v>
      </c>
      <c r="S187" s="34">
        <v>0</v>
      </c>
      <c r="T187" s="52">
        <v>0</v>
      </c>
      <c r="U187" s="34">
        <v>0</v>
      </c>
      <c r="V187" s="34">
        <v>0</v>
      </c>
      <c r="W187" s="52">
        <v>0</v>
      </c>
      <c r="X187" s="34">
        <v>0</v>
      </c>
      <c r="Y187" s="34">
        <v>0</v>
      </c>
      <c r="Z187" s="46">
        <v>0</v>
      </c>
      <c r="AA187" s="34">
        <v>0</v>
      </c>
      <c r="AB187" s="34">
        <v>0</v>
      </c>
      <c r="AC187" s="52">
        <v>0</v>
      </c>
      <c r="AD187" s="34">
        <v>0</v>
      </c>
      <c r="AE187" s="34">
        <v>0</v>
      </c>
      <c r="AF187" s="52">
        <v>0</v>
      </c>
      <c r="AG187" s="34">
        <v>0</v>
      </c>
      <c r="AH187" s="34">
        <v>0</v>
      </c>
      <c r="AI187" s="52">
        <v>0</v>
      </c>
      <c r="AJ187" s="34">
        <v>50</v>
      </c>
      <c r="AK187" s="34">
        <v>40</v>
      </c>
      <c r="AL187" s="46">
        <v>10</v>
      </c>
      <c r="AM187" s="34">
        <v>0</v>
      </c>
      <c r="AN187" s="34">
        <v>0</v>
      </c>
      <c r="AO187" s="52">
        <v>0</v>
      </c>
      <c r="AP187" s="34">
        <v>0</v>
      </c>
      <c r="AQ187" s="34">
        <v>0</v>
      </c>
      <c r="AR187" s="52">
        <v>0</v>
      </c>
      <c r="AS187" s="34">
        <v>0</v>
      </c>
      <c r="AT187" s="34">
        <v>0</v>
      </c>
      <c r="AU187" s="52">
        <v>0</v>
      </c>
      <c r="AV187" s="34">
        <v>0</v>
      </c>
      <c r="AW187" s="34">
        <v>0</v>
      </c>
      <c r="AX187" s="46">
        <v>0</v>
      </c>
      <c r="AY187" s="41">
        <f t="shared" si="138"/>
        <v>0</v>
      </c>
      <c r="AZ187" s="41">
        <f t="shared" si="139"/>
        <v>0</v>
      </c>
      <c r="BA187" s="50">
        <f t="shared" si="140"/>
        <v>0</v>
      </c>
      <c r="BB187" s="41">
        <f t="shared" si="141"/>
        <v>0</v>
      </c>
      <c r="BC187" s="41">
        <f t="shared" si="142"/>
        <v>0</v>
      </c>
      <c r="BD187" s="50">
        <f t="shared" si="143"/>
        <v>0</v>
      </c>
      <c r="BE187" s="41">
        <f t="shared" si="144"/>
        <v>0</v>
      </c>
      <c r="BF187" s="41">
        <f t="shared" si="145"/>
        <v>0</v>
      </c>
      <c r="BG187" s="50">
        <f t="shared" si="146"/>
        <v>0</v>
      </c>
      <c r="BH187" s="41">
        <f t="shared" si="147"/>
        <v>85</v>
      </c>
      <c r="BI187" s="41">
        <f t="shared" si="148"/>
        <v>40</v>
      </c>
      <c r="BJ187" s="41">
        <f t="shared" si="149"/>
        <v>30</v>
      </c>
      <c r="BK187" s="56">
        <f t="shared" si="150"/>
        <v>155</v>
      </c>
      <c r="BL187" s="41">
        <f t="shared" si="151"/>
        <v>0</v>
      </c>
      <c r="BM187" s="41">
        <f t="shared" si="152"/>
        <v>0</v>
      </c>
      <c r="BN187" s="41">
        <f t="shared" si="153"/>
        <v>0</v>
      </c>
      <c r="BO187" s="41">
        <f t="shared" si="154"/>
        <v>155</v>
      </c>
    </row>
    <row r="188" spans="1:67" ht="13.5" customHeight="1" x14ac:dyDescent="0.25">
      <c r="A188" s="36" t="s">
        <v>463</v>
      </c>
      <c r="B188" s="70" t="s">
        <v>188</v>
      </c>
      <c r="C188" s="34">
        <v>0</v>
      </c>
      <c r="D188" s="34">
        <v>0</v>
      </c>
      <c r="E188" s="52">
        <v>0</v>
      </c>
      <c r="F188" s="34">
        <v>0</v>
      </c>
      <c r="G188" s="34">
        <v>0</v>
      </c>
      <c r="H188" s="52">
        <v>0</v>
      </c>
      <c r="I188" s="34">
        <v>0</v>
      </c>
      <c r="J188" s="34">
        <v>0</v>
      </c>
      <c r="K188" s="52">
        <v>0</v>
      </c>
      <c r="L188" s="34">
        <v>40</v>
      </c>
      <c r="M188" s="34">
        <v>0</v>
      </c>
      <c r="N188" s="46">
        <v>0</v>
      </c>
      <c r="O188" s="34">
        <v>0</v>
      </c>
      <c r="P188" s="34">
        <v>0</v>
      </c>
      <c r="Q188" s="52">
        <v>0</v>
      </c>
      <c r="R188" s="34">
        <v>0</v>
      </c>
      <c r="S188" s="34">
        <v>0</v>
      </c>
      <c r="T188" s="52">
        <v>0</v>
      </c>
      <c r="U188" s="34">
        <v>0</v>
      </c>
      <c r="V188" s="34">
        <v>0</v>
      </c>
      <c r="W188" s="52">
        <v>0</v>
      </c>
      <c r="X188" s="34">
        <v>0</v>
      </c>
      <c r="Y188" s="34">
        <v>0</v>
      </c>
      <c r="Z188" s="46">
        <v>0</v>
      </c>
      <c r="AA188" s="34">
        <v>0</v>
      </c>
      <c r="AB188" s="34">
        <v>0</v>
      </c>
      <c r="AC188" s="52">
        <v>0</v>
      </c>
      <c r="AD188" s="34">
        <v>0</v>
      </c>
      <c r="AE188" s="34">
        <v>0</v>
      </c>
      <c r="AF188" s="52">
        <v>0</v>
      </c>
      <c r="AG188" s="34">
        <v>0</v>
      </c>
      <c r="AH188" s="34">
        <v>0</v>
      </c>
      <c r="AI188" s="52">
        <v>0</v>
      </c>
      <c r="AJ188" s="34">
        <v>45</v>
      </c>
      <c r="AK188" s="34">
        <v>30</v>
      </c>
      <c r="AL188" s="46">
        <v>40</v>
      </c>
      <c r="AM188" s="34">
        <v>0</v>
      </c>
      <c r="AN188" s="34">
        <v>0</v>
      </c>
      <c r="AO188" s="52">
        <v>0</v>
      </c>
      <c r="AP188" s="34">
        <v>0</v>
      </c>
      <c r="AQ188" s="34">
        <v>0</v>
      </c>
      <c r="AR188" s="52">
        <v>0</v>
      </c>
      <c r="AS188" s="34">
        <v>0</v>
      </c>
      <c r="AT188" s="34">
        <v>0</v>
      </c>
      <c r="AU188" s="52">
        <v>0</v>
      </c>
      <c r="AV188" s="34">
        <v>0</v>
      </c>
      <c r="AW188" s="34">
        <v>0</v>
      </c>
      <c r="AX188" s="46">
        <v>0</v>
      </c>
      <c r="AY188" s="41">
        <f t="shared" si="138"/>
        <v>0</v>
      </c>
      <c r="AZ188" s="41">
        <f t="shared" si="139"/>
        <v>0</v>
      </c>
      <c r="BA188" s="50">
        <f t="shared" si="140"/>
        <v>0</v>
      </c>
      <c r="BB188" s="41">
        <f t="shared" si="141"/>
        <v>0</v>
      </c>
      <c r="BC188" s="41">
        <f t="shared" si="142"/>
        <v>0</v>
      </c>
      <c r="BD188" s="50">
        <f t="shared" si="143"/>
        <v>0</v>
      </c>
      <c r="BE188" s="41">
        <f t="shared" si="144"/>
        <v>0</v>
      </c>
      <c r="BF188" s="41">
        <f t="shared" si="145"/>
        <v>0</v>
      </c>
      <c r="BG188" s="50">
        <f t="shared" si="146"/>
        <v>0</v>
      </c>
      <c r="BH188" s="41">
        <f t="shared" si="147"/>
        <v>85</v>
      </c>
      <c r="BI188" s="41">
        <f t="shared" si="148"/>
        <v>30</v>
      </c>
      <c r="BJ188" s="41">
        <f t="shared" si="149"/>
        <v>40</v>
      </c>
      <c r="BK188" s="56">
        <f t="shared" si="150"/>
        <v>155</v>
      </c>
      <c r="BL188" s="41">
        <f t="shared" si="151"/>
        <v>0</v>
      </c>
      <c r="BM188" s="41">
        <f t="shared" si="152"/>
        <v>0</v>
      </c>
      <c r="BN188" s="41">
        <f t="shared" si="153"/>
        <v>0</v>
      </c>
      <c r="BO188" s="41">
        <f t="shared" si="154"/>
        <v>155</v>
      </c>
    </row>
    <row r="189" spans="1:67" ht="13.5" customHeight="1" x14ac:dyDescent="0.25">
      <c r="A189" s="36" t="s">
        <v>464</v>
      </c>
      <c r="B189" s="68" t="s">
        <v>669</v>
      </c>
      <c r="C189" s="34">
        <v>20</v>
      </c>
      <c r="D189" s="34">
        <v>0</v>
      </c>
      <c r="E189" s="52">
        <v>0</v>
      </c>
      <c r="F189" s="34">
        <v>0</v>
      </c>
      <c r="G189" s="34">
        <v>0</v>
      </c>
      <c r="H189" s="52">
        <v>0</v>
      </c>
      <c r="I189" s="34">
        <v>35</v>
      </c>
      <c r="J189" s="34">
        <v>0</v>
      </c>
      <c r="K189" s="52">
        <v>0</v>
      </c>
      <c r="L189" s="34">
        <v>0</v>
      </c>
      <c r="M189" s="34">
        <v>0</v>
      </c>
      <c r="N189" s="46">
        <v>0</v>
      </c>
      <c r="O189" s="34">
        <v>0</v>
      </c>
      <c r="P189" s="34">
        <v>0</v>
      </c>
      <c r="Q189" s="52">
        <v>0</v>
      </c>
      <c r="R189" s="34">
        <v>0</v>
      </c>
      <c r="S189" s="34">
        <v>0</v>
      </c>
      <c r="T189" s="52">
        <v>0</v>
      </c>
      <c r="U189" s="34">
        <v>0</v>
      </c>
      <c r="V189" s="34">
        <v>0</v>
      </c>
      <c r="W189" s="52">
        <v>0</v>
      </c>
      <c r="X189" s="34">
        <v>0</v>
      </c>
      <c r="Y189" s="34">
        <v>0</v>
      </c>
      <c r="Z189" s="46">
        <v>0</v>
      </c>
      <c r="AA189" s="34">
        <v>6</v>
      </c>
      <c r="AB189" s="34">
        <v>0</v>
      </c>
      <c r="AC189" s="52">
        <v>0</v>
      </c>
      <c r="AD189" s="34">
        <v>6</v>
      </c>
      <c r="AE189" s="34">
        <v>0</v>
      </c>
      <c r="AF189" s="52">
        <v>0</v>
      </c>
      <c r="AG189" s="34">
        <v>51</v>
      </c>
      <c r="AH189" s="34">
        <v>10</v>
      </c>
      <c r="AI189" s="52">
        <v>20</v>
      </c>
      <c r="AJ189" s="34">
        <v>6</v>
      </c>
      <c r="AK189" s="34">
        <v>0</v>
      </c>
      <c r="AL189" s="46">
        <v>0</v>
      </c>
      <c r="AM189" s="34">
        <v>0</v>
      </c>
      <c r="AN189" s="34">
        <v>0</v>
      </c>
      <c r="AO189" s="52">
        <v>0</v>
      </c>
      <c r="AP189" s="34">
        <v>0</v>
      </c>
      <c r="AQ189" s="34">
        <v>0</v>
      </c>
      <c r="AR189" s="52">
        <v>0</v>
      </c>
      <c r="AS189" s="34">
        <v>0</v>
      </c>
      <c r="AT189" s="34">
        <v>0</v>
      </c>
      <c r="AU189" s="52">
        <v>0</v>
      </c>
      <c r="AV189" s="34">
        <v>0</v>
      </c>
      <c r="AW189" s="34">
        <v>0</v>
      </c>
      <c r="AX189" s="46">
        <v>0</v>
      </c>
      <c r="AY189" s="34">
        <f t="shared" si="138"/>
        <v>26</v>
      </c>
      <c r="AZ189" s="34">
        <f t="shared" si="139"/>
        <v>0</v>
      </c>
      <c r="BA189" s="52">
        <f t="shared" si="140"/>
        <v>0</v>
      </c>
      <c r="BB189" s="34">
        <f t="shared" si="141"/>
        <v>6</v>
      </c>
      <c r="BC189" s="34">
        <f t="shared" si="142"/>
        <v>0</v>
      </c>
      <c r="BD189" s="52">
        <f t="shared" si="143"/>
        <v>0</v>
      </c>
      <c r="BE189" s="34">
        <f t="shared" si="144"/>
        <v>86</v>
      </c>
      <c r="BF189" s="34">
        <f t="shared" si="145"/>
        <v>10</v>
      </c>
      <c r="BG189" s="52">
        <f t="shared" si="146"/>
        <v>20</v>
      </c>
      <c r="BH189" s="34">
        <f t="shared" si="147"/>
        <v>6</v>
      </c>
      <c r="BI189" s="34">
        <f t="shared" si="148"/>
        <v>0</v>
      </c>
      <c r="BJ189" s="34">
        <f t="shared" si="149"/>
        <v>0</v>
      </c>
      <c r="BK189" s="57">
        <f t="shared" si="150"/>
        <v>154</v>
      </c>
      <c r="BL189" s="34">
        <f t="shared" si="151"/>
        <v>26</v>
      </c>
      <c r="BM189" s="34">
        <f t="shared" si="152"/>
        <v>6</v>
      </c>
      <c r="BN189" s="34">
        <f t="shared" si="153"/>
        <v>116</v>
      </c>
      <c r="BO189" s="34">
        <f t="shared" si="154"/>
        <v>6</v>
      </c>
    </row>
    <row r="190" spans="1:67" ht="13.5" customHeight="1" x14ac:dyDescent="0.25">
      <c r="A190" s="36" t="s">
        <v>465</v>
      </c>
      <c r="B190" s="72" t="s">
        <v>167</v>
      </c>
      <c r="C190" s="34">
        <v>0</v>
      </c>
      <c r="D190" s="34">
        <v>0</v>
      </c>
      <c r="E190" s="52">
        <v>0</v>
      </c>
      <c r="F190" s="34">
        <v>0</v>
      </c>
      <c r="G190" s="34">
        <v>0</v>
      </c>
      <c r="H190" s="52">
        <v>0</v>
      </c>
      <c r="I190" s="34">
        <v>30</v>
      </c>
      <c r="J190" s="34">
        <v>10</v>
      </c>
      <c r="K190" s="52">
        <v>10</v>
      </c>
      <c r="L190" s="34">
        <v>0</v>
      </c>
      <c r="M190" s="34">
        <v>0</v>
      </c>
      <c r="N190" s="46">
        <v>0</v>
      </c>
      <c r="O190" s="34">
        <v>0</v>
      </c>
      <c r="P190" s="34">
        <v>0</v>
      </c>
      <c r="Q190" s="52">
        <v>0</v>
      </c>
      <c r="R190" s="34">
        <v>0</v>
      </c>
      <c r="S190" s="34">
        <v>0</v>
      </c>
      <c r="T190" s="52">
        <v>0</v>
      </c>
      <c r="U190" s="34">
        <v>0</v>
      </c>
      <c r="V190" s="34">
        <v>0</v>
      </c>
      <c r="W190" s="52">
        <v>0</v>
      </c>
      <c r="X190" s="34">
        <v>0</v>
      </c>
      <c r="Y190" s="34">
        <v>0</v>
      </c>
      <c r="Z190" s="46">
        <v>0</v>
      </c>
      <c r="AA190" s="34">
        <v>6</v>
      </c>
      <c r="AB190" s="34">
        <v>0</v>
      </c>
      <c r="AC190" s="52">
        <v>0</v>
      </c>
      <c r="AD190" s="34">
        <v>6</v>
      </c>
      <c r="AE190" s="34">
        <v>0</v>
      </c>
      <c r="AF190" s="52">
        <v>0</v>
      </c>
      <c r="AG190" s="34">
        <v>46</v>
      </c>
      <c r="AH190" s="34">
        <v>10</v>
      </c>
      <c r="AI190" s="52">
        <v>0</v>
      </c>
      <c r="AJ190" s="34">
        <v>36</v>
      </c>
      <c r="AK190" s="34">
        <v>0</v>
      </c>
      <c r="AL190" s="46">
        <v>0</v>
      </c>
      <c r="AM190" s="34">
        <v>0</v>
      </c>
      <c r="AN190" s="34">
        <v>0</v>
      </c>
      <c r="AO190" s="52">
        <v>0</v>
      </c>
      <c r="AP190" s="34">
        <v>0</v>
      </c>
      <c r="AQ190" s="34">
        <v>0</v>
      </c>
      <c r="AR190" s="52">
        <v>0</v>
      </c>
      <c r="AS190" s="34">
        <v>0</v>
      </c>
      <c r="AT190" s="34">
        <v>0</v>
      </c>
      <c r="AU190" s="52">
        <v>0</v>
      </c>
      <c r="AV190" s="34">
        <v>0</v>
      </c>
      <c r="AW190" s="34">
        <v>0</v>
      </c>
      <c r="AX190" s="46">
        <v>0</v>
      </c>
      <c r="AY190" s="41">
        <f t="shared" si="138"/>
        <v>6</v>
      </c>
      <c r="AZ190" s="41">
        <f t="shared" si="139"/>
        <v>0</v>
      </c>
      <c r="BA190" s="50">
        <f t="shared" si="140"/>
        <v>0</v>
      </c>
      <c r="BB190" s="41">
        <f t="shared" si="141"/>
        <v>6</v>
      </c>
      <c r="BC190" s="41">
        <f t="shared" si="142"/>
        <v>0</v>
      </c>
      <c r="BD190" s="50">
        <f t="shared" si="143"/>
        <v>0</v>
      </c>
      <c r="BE190" s="41">
        <f t="shared" si="144"/>
        <v>76</v>
      </c>
      <c r="BF190" s="41">
        <f t="shared" si="145"/>
        <v>20</v>
      </c>
      <c r="BG190" s="50">
        <f t="shared" si="146"/>
        <v>10</v>
      </c>
      <c r="BH190" s="41">
        <f t="shared" si="147"/>
        <v>36</v>
      </c>
      <c r="BI190" s="41">
        <f t="shared" si="148"/>
        <v>0</v>
      </c>
      <c r="BJ190" s="41">
        <f t="shared" si="149"/>
        <v>0</v>
      </c>
      <c r="BK190" s="56">
        <f t="shared" si="150"/>
        <v>154</v>
      </c>
      <c r="BL190" s="41">
        <f t="shared" si="151"/>
        <v>6</v>
      </c>
      <c r="BM190" s="41">
        <f t="shared" si="152"/>
        <v>6</v>
      </c>
      <c r="BN190" s="41">
        <f t="shared" si="153"/>
        <v>106</v>
      </c>
      <c r="BO190" s="41">
        <f t="shared" si="154"/>
        <v>36</v>
      </c>
    </row>
    <row r="191" spans="1:67" ht="13.5" customHeight="1" x14ac:dyDescent="0.25">
      <c r="A191" s="36" t="s">
        <v>466</v>
      </c>
      <c r="B191" s="68" t="s">
        <v>96</v>
      </c>
      <c r="C191" s="34">
        <v>0</v>
      </c>
      <c r="D191" s="34">
        <v>0</v>
      </c>
      <c r="E191" s="52">
        <v>0</v>
      </c>
      <c r="F191" s="34">
        <v>15</v>
      </c>
      <c r="G191" s="34">
        <v>15</v>
      </c>
      <c r="H191" s="52">
        <v>20</v>
      </c>
      <c r="I191" s="34">
        <v>0</v>
      </c>
      <c r="J191" s="34">
        <v>0</v>
      </c>
      <c r="K191" s="52">
        <v>0</v>
      </c>
      <c r="L191" s="34">
        <v>0</v>
      </c>
      <c r="M191" s="34">
        <v>0</v>
      </c>
      <c r="N191" s="46">
        <v>0</v>
      </c>
      <c r="O191" s="34">
        <v>0</v>
      </c>
      <c r="P191" s="34">
        <v>0</v>
      </c>
      <c r="Q191" s="52">
        <v>0</v>
      </c>
      <c r="R191" s="34">
        <v>0</v>
      </c>
      <c r="S191" s="34">
        <v>0</v>
      </c>
      <c r="T191" s="52">
        <v>0</v>
      </c>
      <c r="U191" s="34">
        <v>0</v>
      </c>
      <c r="V191" s="34">
        <v>0</v>
      </c>
      <c r="W191" s="52">
        <v>0</v>
      </c>
      <c r="X191" s="34">
        <v>0</v>
      </c>
      <c r="Y191" s="34">
        <v>0</v>
      </c>
      <c r="Z191" s="46">
        <v>0</v>
      </c>
      <c r="AA191" s="34">
        <v>10</v>
      </c>
      <c r="AB191" s="34">
        <v>0</v>
      </c>
      <c r="AC191" s="52">
        <v>0</v>
      </c>
      <c r="AD191" s="34">
        <v>46</v>
      </c>
      <c r="AE191" s="34">
        <v>10</v>
      </c>
      <c r="AF191" s="52">
        <v>36</v>
      </c>
      <c r="AG191" s="34">
        <v>0</v>
      </c>
      <c r="AH191" s="34">
        <v>0</v>
      </c>
      <c r="AI191" s="52">
        <v>0</v>
      </c>
      <c r="AJ191" s="34">
        <v>0</v>
      </c>
      <c r="AK191" s="34">
        <v>0</v>
      </c>
      <c r="AL191" s="46">
        <v>0</v>
      </c>
      <c r="AM191" s="34">
        <v>0</v>
      </c>
      <c r="AN191" s="34">
        <v>0</v>
      </c>
      <c r="AO191" s="52">
        <v>0</v>
      </c>
      <c r="AP191" s="34">
        <v>0</v>
      </c>
      <c r="AQ191" s="34">
        <v>0</v>
      </c>
      <c r="AR191" s="52">
        <v>0</v>
      </c>
      <c r="AS191" s="34">
        <v>0</v>
      </c>
      <c r="AT191" s="34">
        <v>0</v>
      </c>
      <c r="AU191" s="52">
        <v>0</v>
      </c>
      <c r="AV191" s="34">
        <v>0</v>
      </c>
      <c r="AW191" s="34">
        <v>0</v>
      </c>
      <c r="AX191" s="46">
        <v>0</v>
      </c>
      <c r="AY191" s="34">
        <f t="shared" si="138"/>
        <v>10</v>
      </c>
      <c r="AZ191" s="34">
        <f t="shared" si="139"/>
        <v>0</v>
      </c>
      <c r="BA191" s="52">
        <f t="shared" si="140"/>
        <v>0</v>
      </c>
      <c r="BB191" s="34">
        <f t="shared" si="141"/>
        <v>61</v>
      </c>
      <c r="BC191" s="34">
        <f t="shared" si="142"/>
        <v>25</v>
      </c>
      <c r="BD191" s="52">
        <f t="shared" si="143"/>
        <v>56</v>
      </c>
      <c r="BE191" s="34">
        <f t="shared" si="144"/>
        <v>0</v>
      </c>
      <c r="BF191" s="34">
        <f t="shared" si="145"/>
        <v>0</v>
      </c>
      <c r="BG191" s="52">
        <f t="shared" si="146"/>
        <v>0</v>
      </c>
      <c r="BH191" s="34">
        <f t="shared" si="147"/>
        <v>0</v>
      </c>
      <c r="BI191" s="34">
        <f t="shared" si="148"/>
        <v>0</v>
      </c>
      <c r="BJ191" s="34">
        <f t="shared" si="149"/>
        <v>0</v>
      </c>
      <c r="BK191" s="57">
        <f t="shared" si="150"/>
        <v>152</v>
      </c>
      <c r="BL191" s="34">
        <f t="shared" si="151"/>
        <v>10</v>
      </c>
      <c r="BM191" s="34">
        <f t="shared" si="152"/>
        <v>142</v>
      </c>
      <c r="BN191" s="34">
        <f t="shared" si="153"/>
        <v>0</v>
      </c>
      <c r="BO191" s="34">
        <f t="shared" si="154"/>
        <v>0</v>
      </c>
    </row>
    <row r="192" spans="1:67" ht="13.5" customHeight="1" x14ac:dyDescent="0.25">
      <c r="A192" s="36" t="s">
        <v>467</v>
      </c>
      <c r="B192" s="68" t="s">
        <v>672</v>
      </c>
      <c r="C192" s="34">
        <v>30</v>
      </c>
      <c r="D192" s="34">
        <v>0</v>
      </c>
      <c r="E192" s="52">
        <v>0</v>
      </c>
      <c r="F192" s="34">
        <v>0</v>
      </c>
      <c r="G192" s="34">
        <v>0</v>
      </c>
      <c r="H192" s="52">
        <v>0</v>
      </c>
      <c r="I192" s="34">
        <v>0</v>
      </c>
      <c r="J192" s="34">
        <v>0</v>
      </c>
      <c r="K192" s="52">
        <v>0</v>
      </c>
      <c r="L192" s="34">
        <v>25</v>
      </c>
      <c r="M192" s="34">
        <v>0</v>
      </c>
      <c r="N192" s="46">
        <v>0</v>
      </c>
      <c r="O192" s="34">
        <v>0</v>
      </c>
      <c r="P192" s="34">
        <v>0</v>
      </c>
      <c r="Q192" s="52">
        <v>0</v>
      </c>
      <c r="R192" s="34">
        <v>0</v>
      </c>
      <c r="S192" s="34">
        <v>0</v>
      </c>
      <c r="T192" s="52">
        <v>0</v>
      </c>
      <c r="U192" s="34">
        <v>0</v>
      </c>
      <c r="V192" s="34">
        <v>0</v>
      </c>
      <c r="W192" s="52">
        <v>0</v>
      </c>
      <c r="X192" s="34">
        <v>0</v>
      </c>
      <c r="Y192" s="34">
        <v>0</v>
      </c>
      <c r="Z192" s="46">
        <v>0</v>
      </c>
      <c r="AA192" s="34">
        <v>56</v>
      </c>
      <c r="AB192" s="34">
        <v>20</v>
      </c>
      <c r="AC192" s="52">
        <v>10</v>
      </c>
      <c r="AD192" s="34">
        <v>10</v>
      </c>
      <c r="AE192" s="34">
        <v>0</v>
      </c>
      <c r="AF192" s="52">
        <v>0</v>
      </c>
      <c r="AG192" s="34">
        <v>0</v>
      </c>
      <c r="AH192" s="34">
        <v>0</v>
      </c>
      <c r="AI192" s="52">
        <v>0</v>
      </c>
      <c r="AJ192" s="34">
        <v>0</v>
      </c>
      <c r="AK192" s="34">
        <v>0</v>
      </c>
      <c r="AL192" s="46">
        <v>0</v>
      </c>
      <c r="AM192" s="34">
        <v>0</v>
      </c>
      <c r="AN192" s="34">
        <v>0</v>
      </c>
      <c r="AO192" s="52">
        <v>0</v>
      </c>
      <c r="AP192" s="34">
        <v>0</v>
      </c>
      <c r="AQ192" s="34">
        <v>0</v>
      </c>
      <c r="AR192" s="52">
        <v>0</v>
      </c>
      <c r="AS192" s="34">
        <v>0</v>
      </c>
      <c r="AT192" s="34">
        <v>0</v>
      </c>
      <c r="AU192" s="52">
        <v>0</v>
      </c>
      <c r="AV192" s="34">
        <v>0</v>
      </c>
      <c r="AW192" s="34">
        <v>0</v>
      </c>
      <c r="AX192" s="46">
        <v>0</v>
      </c>
      <c r="AY192" s="34">
        <f t="shared" si="138"/>
        <v>86</v>
      </c>
      <c r="AZ192" s="34">
        <f t="shared" si="139"/>
        <v>20</v>
      </c>
      <c r="BA192" s="52">
        <f t="shared" si="140"/>
        <v>10</v>
      </c>
      <c r="BB192" s="34">
        <f t="shared" si="141"/>
        <v>10</v>
      </c>
      <c r="BC192" s="34">
        <f t="shared" si="142"/>
        <v>0</v>
      </c>
      <c r="BD192" s="52">
        <f t="shared" si="143"/>
        <v>0</v>
      </c>
      <c r="BE192" s="34">
        <f t="shared" si="144"/>
        <v>0</v>
      </c>
      <c r="BF192" s="34">
        <f t="shared" si="145"/>
        <v>0</v>
      </c>
      <c r="BG192" s="52">
        <f t="shared" si="146"/>
        <v>0</v>
      </c>
      <c r="BH192" s="34">
        <f t="shared" si="147"/>
        <v>25</v>
      </c>
      <c r="BI192" s="34">
        <f t="shared" si="148"/>
        <v>0</v>
      </c>
      <c r="BJ192" s="34">
        <f t="shared" si="149"/>
        <v>0</v>
      </c>
      <c r="BK192" s="57">
        <f t="shared" si="150"/>
        <v>151</v>
      </c>
      <c r="BL192" s="34">
        <f t="shared" si="151"/>
        <v>116</v>
      </c>
      <c r="BM192" s="34">
        <f t="shared" si="152"/>
        <v>10</v>
      </c>
      <c r="BN192" s="34">
        <f t="shared" si="153"/>
        <v>0</v>
      </c>
      <c r="BO192" s="34">
        <f t="shared" si="154"/>
        <v>25</v>
      </c>
    </row>
    <row r="193" spans="1:67" ht="13.5" customHeight="1" x14ac:dyDescent="0.25">
      <c r="A193" s="36" t="s">
        <v>468</v>
      </c>
      <c r="B193" s="68" t="s">
        <v>674</v>
      </c>
      <c r="C193" s="34">
        <v>0</v>
      </c>
      <c r="D193" s="34">
        <v>0</v>
      </c>
      <c r="E193" s="52">
        <v>0</v>
      </c>
      <c r="F193" s="34">
        <v>0</v>
      </c>
      <c r="G193" s="34">
        <v>0</v>
      </c>
      <c r="H193" s="52">
        <v>20</v>
      </c>
      <c r="I193" s="34">
        <v>0</v>
      </c>
      <c r="J193" s="34">
        <v>0</v>
      </c>
      <c r="K193" s="52">
        <v>0</v>
      </c>
      <c r="L193" s="34">
        <v>30</v>
      </c>
      <c r="M193" s="34">
        <v>0</v>
      </c>
      <c r="N193" s="46">
        <v>0</v>
      </c>
      <c r="O193" s="34">
        <v>0</v>
      </c>
      <c r="P193" s="34">
        <v>0</v>
      </c>
      <c r="Q193" s="52">
        <v>0</v>
      </c>
      <c r="R193" s="34">
        <v>0</v>
      </c>
      <c r="S193" s="34">
        <v>0</v>
      </c>
      <c r="T193" s="52">
        <v>0</v>
      </c>
      <c r="U193" s="34">
        <v>0</v>
      </c>
      <c r="V193" s="34">
        <v>0</v>
      </c>
      <c r="W193" s="52">
        <v>0</v>
      </c>
      <c r="X193" s="34">
        <v>0</v>
      </c>
      <c r="Y193" s="34">
        <v>0</v>
      </c>
      <c r="Z193" s="46">
        <v>0</v>
      </c>
      <c r="AA193" s="34">
        <v>0</v>
      </c>
      <c r="AB193" s="34">
        <v>0</v>
      </c>
      <c r="AC193" s="52">
        <v>0</v>
      </c>
      <c r="AD193" s="34">
        <v>0</v>
      </c>
      <c r="AE193" s="34">
        <v>0</v>
      </c>
      <c r="AF193" s="52">
        <v>0</v>
      </c>
      <c r="AG193" s="34">
        <v>10</v>
      </c>
      <c r="AH193" s="34">
        <v>0</v>
      </c>
      <c r="AI193" s="52">
        <v>0</v>
      </c>
      <c r="AJ193" s="34">
        <v>60</v>
      </c>
      <c r="AK193" s="34">
        <v>20</v>
      </c>
      <c r="AL193" s="46">
        <v>10</v>
      </c>
      <c r="AM193" s="34">
        <v>0</v>
      </c>
      <c r="AN193" s="34">
        <v>0</v>
      </c>
      <c r="AO193" s="52">
        <v>0</v>
      </c>
      <c r="AP193" s="34">
        <v>0</v>
      </c>
      <c r="AQ193" s="34">
        <v>0</v>
      </c>
      <c r="AR193" s="52">
        <v>0</v>
      </c>
      <c r="AS193" s="34">
        <v>0</v>
      </c>
      <c r="AT193" s="34">
        <v>0</v>
      </c>
      <c r="AU193" s="52">
        <v>0</v>
      </c>
      <c r="AV193" s="34">
        <v>0</v>
      </c>
      <c r="AW193" s="34">
        <v>0</v>
      </c>
      <c r="AX193" s="46">
        <v>0</v>
      </c>
      <c r="AY193" s="34">
        <f t="shared" si="138"/>
        <v>0</v>
      </c>
      <c r="AZ193" s="34">
        <f t="shared" si="139"/>
        <v>0</v>
      </c>
      <c r="BA193" s="52">
        <f t="shared" si="140"/>
        <v>0</v>
      </c>
      <c r="BB193" s="34">
        <f t="shared" si="141"/>
        <v>0</v>
      </c>
      <c r="BC193" s="34">
        <f t="shared" si="142"/>
        <v>0</v>
      </c>
      <c r="BD193" s="52">
        <f t="shared" si="143"/>
        <v>20</v>
      </c>
      <c r="BE193" s="34">
        <f t="shared" si="144"/>
        <v>10</v>
      </c>
      <c r="BF193" s="34">
        <f t="shared" si="145"/>
        <v>0</v>
      </c>
      <c r="BG193" s="52">
        <f t="shared" si="146"/>
        <v>0</v>
      </c>
      <c r="BH193" s="34">
        <f t="shared" si="147"/>
        <v>90</v>
      </c>
      <c r="BI193" s="34">
        <f t="shared" si="148"/>
        <v>20</v>
      </c>
      <c r="BJ193" s="34">
        <f t="shared" si="149"/>
        <v>10</v>
      </c>
      <c r="BK193" s="57">
        <f t="shared" si="150"/>
        <v>150</v>
      </c>
      <c r="BL193" s="34">
        <f t="shared" si="151"/>
        <v>0</v>
      </c>
      <c r="BM193" s="34">
        <f t="shared" si="152"/>
        <v>20</v>
      </c>
      <c r="BN193" s="34">
        <f t="shared" si="153"/>
        <v>10</v>
      </c>
      <c r="BO193" s="34">
        <f t="shared" si="154"/>
        <v>120</v>
      </c>
    </row>
    <row r="194" spans="1:67" ht="13.5" customHeight="1" x14ac:dyDescent="0.25">
      <c r="A194" s="36" t="s">
        <v>469</v>
      </c>
      <c r="B194" s="68" t="s">
        <v>189</v>
      </c>
      <c r="C194" s="34">
        <v>20</v>
      </c>
      <c r="D194" s="34">
        <v>0</v>
      </c>
      <c r="E194" s="52">
        <v>0</v>
      </c>
      <c r="F194" s="34">
        <v>0</v>
      </c>
      <c r="G194" s="34">
        <v>0</v>
      </c>
      <c r="H194" s="52">
        <v>0</v>
      </c>
      <c r="I194" s="34">
        <v>0</v>
      </c>
      <c r="J194" s="34">
        <v>0</v>
      </c>
      <c r="K194" s="52">
        <v>0</v>
      </c>
      <c r="L194" s="34">
        <v>20</v>
      </c>
      <c r="M194" s="34">
        <v>0</v>
      </c>
      <c r="N194" s="46">
        <v>0</v>
      </c>
      <c r="O194" s="34">
        <v>0</v>
      </c>
      <c r="P194" s="34">
        <v>0</v>
      </c>
      <c r="Q194" s="52">
        <v>0</v>
      </c>
      <c r="R194" s="34">
        <v>0</v>
      </c>
      <c r="S194" s="34">
        <v>0</v>
      </c>
      <c r="T194" s="52">
        <v>0</v>
      </c>
      <c r="U194" s="34">
        <v>0</v>
      </c>
      <c r="V194" s="34">
        <v>0</v>
      </c>
      <c r="W194" s="52">
        <v>0</v>
      </c>
      <c r="X194" s="34">
        <v>0</v>
      </c>
      <c r="Y194" s="34">
        <v>0</v>
      </c>
      <c r="Z194" s="46">
        <v>0</v>
      </c>
      <c r="AA194" s="34">
        <v>20</v>
      </c>
      <c r="AB194" s="34">
        <v>0</v>
      </c>
      <c r="AC194" s="52">
        <v>0</v>
      </c>
      <c r="AD194" s="34">
        <v>0</v>
      </c>
      <c r="AE194" s="34">
        <v>0</v>
      </c>
      <c r="AF194" s="52">
        <v>0</v>
      </c>
      <c r="AG194" s="34">
        <v>10</v>
      </c>
      <c r="AH194" s="34">
        <v>0</v>
      </c>
      <c r="AI194" s="52">
        <v>0</v>
      </c>
      <c r="AJ194" s="34">
        <v>50</v>
      </c>
      <c r="AK194" s="34">
        <v>10</v>
      </c>
      <c r="AL194" s="46">
        <v>20</v>
      </c>
      <c r="AM194" s="34">
        <v>0</v>
      </c>
      <c r="AN194" s="34">
        <v>0</v>
      </c>
      <c r="AO194" s="52">
        <v>0</v>
      </c>
      <c r="AP194" s="34">
        <v>0</v>
      </c>
      <c r="AQ194" s="34">
        <v>0</v>
      </c>
      <c r="AR194" s="52">
        <v>0</v>
      </c>
      <c r="AS194" s="34">
        <v>0</v>
      </c>
      <c r="AT194" s="34">
        <v>0</v>
      </c>
      <c r="AU194" s="52">
        <v>0</v>
      </c>
      <c r="AV194" s="34">
        <v>0</v>
      </c>
      <c r="AW194" s="34">
        <v>0</v>
      </c>
      <c r="AX194" s="46">
        <v>0</v>
      </c>
      <c r="AY194" s="41">
        <f t="shared" si="138"/>
        <v>40</v>
      </c>
      <c r="AZ194" s="41">
        <f t="shared" si="139"/>
        <v>0</v>
      </c>
      <c r="BA194" s="50">
        <f t="shared" si="140"/>
        <v>0</v>
      </c>
      <c r="BB194" s="41">
        <f t="shared" si="141"/>
        <v>0</v>
      </c>
      <c r="BC194" s="41">
        <f t="shared" si="142"/>
        <v>0</v>
      </c>
      <c r="BD194" s="50">
        <f t="shared" si="143"/>
        <v>0</v>
      </c>
      <c r="BE194" s="41">
        <f t="shared" si="144"/>
        <v>10</v>
      </c>
      <c r="BF194" s="41">
        <f t="shared" si="145"/>
        <v>0</v>
      </c>
      <c r="BG194" s="50">
        <f t="shared" si="146"/>
        <v>0</v>
      </c>
      <c r="BH194" s="41">
        <f t="shared" si="147"/>
        <v>70</v>
      </c>
      <c r="BI194" s="41">
        <f t="shared" si="148"/>
        <v>10</v>
      </c>
      <c r="BJ194" s="41">
        <f t="shared" si="149"/>
        <v>20</v>
      </c>
      <c r="BK194" s="56">
        <f t="shared" si="150"/>
        <v>150</v>
      </c>
      <c r="BL194" s="41">
        <f t="shared" si="151"/>
        <v>40</v>
      </c>
      <c r="BM194" s="41">
        <f t="shared" si="152"/>
        <v>0</v>
      </c>
      <c r="BN194" s="41">
        <f t="shared" si="153"/>
        <v>10</v>
      </c>
      <c r="BO194" s="41">
        <f t="shared" si="154"/>
        <v>100</v>
      </c>
    </row>
    <row r="195" spans="1:67" ht="13.5" customHeight="1" x14ac:dyDescent="0.25">
      <c r="A195" s="36" t="s">
        <v>470</v>
      </c>
      <c r="B195" s="68" t="s">
        <v>191</v>
      </c>
      <c r="C195" s="34">
        <v>0</v>
      </c>
      <c r="D195" s="34">
        <v>0</v>
      </c>
      <c r="E195" s="52">
        <v>0</v>
      </c>
      <c r="F195" s="34">
        <v>0</v>
      </c>
      <c r="G195" s="34">
        <v>0</v>
      </c>
      <c r="H195" s="52">
        <v>0</v>
      </c>
      <c r="I195" s="34">
        <v>20</v>
      </c>
      <c r="J195" s="34">
        <v>0</v>
      </c>
      <c r="K195" s="52">
        <v>0</v>
      </c>
      <c r="L195" s="34">
        <v>20</v>
      </c>
      <c r="M195" s="34">
        <v>0</v>
      </c>
      <c r="N195" s="46">
        <v>0</v>
      </c>
      <c r="O195" s="34">
        <v>0</v>
      </c>
      <c r="P195" s="34">
        <v>0</v>
      </c>
      <c r="Q195" s="52">
        <v>0</v>
      </c>
      <c r="R195" s="34">
        <v>0</v>
      </c>
      <c r="S195" s="34">
        <v>0</v>
      </c>
      <c r="T195" s="52">
        <v>0</v>
      </c>
      <c r="U195" s="34">
        <v>0</v>
      </c>
      <c r="V195" s="34">
        <v>0</v>
      </c>
      <c r="W195" s="52">
        <v>0</v>
      </c>
      <c r="X195" s="34">
        <v>0</v>
      </c>
      <c r="Y195" s="34">
        <v>0</v>
      </c>
      <c r="Z195" s="46">
        <v>0</v>
      </c>
      <c r="AA195" s="34">
        <v>0</v>
      </c>
      <c r="AB195" s="34">
        <v>0</v>
      </c>
      <c r="AC195" s="52">
        <v>0</v>
      </c>
      <c r="AD195" s="34">
        <v>0</v>
      </c>
      <c r="AE195" s="34">
        <v>0</v>
      </c>
      <c r="AF195" s="52">
        <v>0</v>
      </c>
      <c r="AG195" s="34">
        <v>36</v>
      </c>
      <c r="AH195" s="34">
        <v>30</v>
      </c>
      <c r="AI195" s="52">
        <v>10</v>
      </c>
      <c r="AJ195" s="34">
        <v>16</v>
      </c>
      <c r="AK195" s="34">
        <v>10</v>
      </c>
      <c r="AL195" s="46">
        <v>0</v>
      </c>
      <c r="AM195" s="34">
        <v>0</v>
      </c>
      <c r="AN195" s="34">
        <v>0</v>
      </c>
      <c r="AO195" s="52">
        <v>0</v>
      </c>
      <c r="AP195" s="34">
        <v>0</v>
      </c>
      <c r="AQ195" s="34">
        <v>0</v>
      </c>
      <c r="AR195" s="52">
        <v>0</v>
      </c>
      <c r="AS195" s="34">
        <v>0</v>
      </c>
      <c r="AT195" s="34">
        <v>0</v>
      </c>
      <c r="AU195" s="52">
        <v>0</v>
      </c>
      <c r="AV195" s="34">
        <v>0</v>
      </c>
      <c r="AW195" s="34">
        <v>0</v>
      </c>
      <c r="AX195" s="46">
        <v>0</v>
      </c>
      <c r="AY195" s="41">
        <f t="shared" si="138"/>
        <v>0</v>
      </c>
      <c r="AZ195" s="41">
        <f t="shared" si="139"/>
        <v>0</v>
      </c>
      <c r="BA195" s="50">
        <f t="shared" si="140"/>
        <v>0</v>
      </c>
      <c r="BB195" s="41">
        <f t="shared" si="141"/>
        <v>0</v>
      </c>
      <c r="BC195" s="41">
        <f t="shared" si="142"/>
        <v>0</v>
      </c>
      <c r="BD195" s="50">
        <f t="shared" si="143"/>
        <v>0</v>
      </c>
      <c r="BE195" s="41">
        <f t="shared" si="144"/>
        <v>56</v>
      </c>
      <c r="BF195" s="41">
        <f t="shared" si="145"/>
        <v>30</v>
      </c>
      <c r="BG195" s="50">
        <f t="shared" si="146"/>
        <v>10</v>
      </c>
      <c r="BH195" s="41">
        <f t="shared" si="147"/>
        <v>36</v>
      </c>
      <c r="BI195" s="41">
        <f t="shared" si="148"/>
        <v>10</v>
      </c>
      <c r="BJ195" s="41">
        <f t="shared" si="149"/>
        <v>0</v>
      </c>
      <c r="BK195" s="56">
        <f t="shared" si="150"/>
        <v>142</v>
      </c>
      <c r="BL195" s="41">
        <f t="shared" si="151"/>
        <v>0</v>
      </c>
      <c r="BM195" s="41">
        <f t="shared" si="152"/>
        <v>0</v>
      </c>
      <c r="BN195" s="41">
        <f t="shared" si="153"/>
        <v>96</v>
      </c>
      <c r="BO195" s="41">
        <f t="shared" si="154"/>
        <v>46</v>
      </c>
    </row>
    <row r="196" spans="1:67" ht="13.5" customHeight="1" x14ac:dyDescent="0.25">
      <c r="A196" s="36" t="s">
        <v>471</v>
      </c>
      <c r="B196" s="68" t="s">
        <v>136</v>
      </c>
      <c r="C196" s="34">
        <v>35</v>
      </c>
      <c r="D196" s="34">
        <v>0</v>
      </c>
      <c r="E196" s="52">
        <v>0</v>
      </c>
      <c r="F196" s="34">
        <v>0</v>
      </c>
      <c r="G196" s="34">
        <v>0</v>
      </c>
      <c r="H196" s="52">
        <v>0</v>
      </c>
      <c r="I196" s="34">
        <v>0</v>
      </c>
      <c r="J196" s="34">
        <v>0</v>
      </c>
      <c r="K196" s="52">
        <v>0</v>
      </c>
      <c r="L196" s="34">
        <v>0</v>
      </c>
      <c r="M196" s="34">
        <v>0</v>
      </c>
      <c r="N196" s="46">
        <v>0</v>
      </c>
      <c r="O196" s="34">
        <v>0</v>
      </c>
      <c r="P196" s="34">
        <v>0</v>
      </c>
      <c r="Q196" s="52">
        <v>0</v>
      </c>
      <c r="R196" s="34">
        <v>0</v>
      </c>
      <c r="S196" s="34">
        <v>0</v>
      </c>
      <c r="T196" s="52">
        <v>0</v>
      </c>
      <c r="U196" s="34">
        <v>0</v>
      </c>
      <c r="V196" s="34">
        <v>0</v>
      </c>
      <c r="W196" s="52">
        <v>0</v>
      </c>
      <c r="X196" s="34">
        <v>0</v>
      </c>
      <c r="Y196" s="34">
        <v>0</v>
      </c>
      <c r="Z196" s="46">
        <v>0</v>
      </c>
      <c r="AA196" s="34">
        <v>46</v>
      </c>
      <c r="AB196" s="34">
        <v>36</v>
      </c>
      <c r="AC196" s="52">
        <v>10</v>
      </c>
      <c r="AD196" s="34">
        <v>10</v>
      </c>
      <c r="AE196" s="34">
        <v>0</v>
      </c>
      <c r="AF196" s="52">
        <v>0</v>
      </c>
      <c r="AG196" s="34">
        <v>0</v>
      </c>
      <c r="AH196" s="34">
        <v>0</v>
      </c>
      <c r="AI196" s="52">
        <v>0</v>
      </c>
      <c r="AJ196" s="34">
        <v>0</v>
      </c>
      <c r="AK196" s="34">
        <v>0</v>
      </c>
      <c r="AL196" s="46">
        <v>0</v>
      </c>
      <c r="AM196" s="34">
        <v>0</v>
      </c>
      <c r="AN196" s="34">
        <v>0</v>
      </c>
      <c r="AO196" s="52">
        <v>0</v>
      </c>
      <c r="AP196" s="34">
        <v>0</v>
      </c>
      <c r="AQ196" s="34">
        <v>0</v>
      </c>
      <c r="AR196" s="52">
        <v>0</v>
      </c>
      <c r="AS196" s="34">
        <v>0</v>
      </c>
      <c r="AT196" s="34">
        <v>0</v>
      </c>
      <c r="AU196" s="52">
        <v>0</v>
      </c>
      <c r="AV196" s="34">
        <v>0</v>
      </c>
      <c r="AW196" s="34">
        <v>0</v>
      </c>
      <c r="AX196" s="46">
        <v>0</v>
      </c>
      <c r="AY196" s="41">
        <f t="shared" si="138"/>
        <v>81</v>
      </c>
      <c r="AZ196" s="41">
        <f t="shared" si="139"/>
        <v>36</v>
      </c>
      <c r="BA196" s="50">
        <f t="shared" si="140"/>
        <v>10</v>
      </c>
      <c r="BB196" s="41">
        <f t="shared" si="141"/>
        <v>10</v>
      </c>
      <c r="BC196" s="41">
        <f t="shared" si="142"/>
        <v>0</v>
      </c>
      <c r="BD196" s="50">
        <f t="shared" si="143"/>
        <v>0</v>
      </c>
      <c r="BE196" s="41">
        <f t="shared" si="144"/>
        <v>0</v>
      </c>
      <c r="BF196" s="41">
        <f t="shared" si="145"/>
        <v>0</v>
      </c>
      <c r="BG196" s="50">
        <f t="shared" si="146"/>
        <v>0</v>
      </c>
      <c r="BH196" s="41">
        <f t="shared" si="147"/>
        <v>0</v>
      </c>
      <c r="BI196" s="41">
        <f t="shared" si="148"/>
        <v>0</v>
      </c>
      <c r="BJ196" s="41">
        <f t="shared" si="149"/>
        <v>0</v>
      </c>
      <c r="BK196" s="56">
        <f t="shared" si="150"/>
        <v>137</v>
      </c>
      <c r="BL196" s="41">
        <f t="shared" si="151"/>
        <v>127</v>
      </c>
      <c r="BM196" s="41">
        <f t="shared" si="152"/>
        <v>10</v>
      </c>
      <c r="BN196" s="41">
        <f t="shared" si="153"/>
        <v>0</v>
      </c>
      <c r="BO196" s="41">
        <f t="shared" si="154"/>
        <v>0</v>
      </c>
    </row>
    <row r="197" spans="1:67" ht="13.5" customHeight="1" x14ac:dyDescent="0.25">
      <c r="A197" s="36" t="s">
        <v>472</v>
      </c>
      <c r="B197" s="68" t="s">
        <v>133</v>
      </c>
      <c r="C197" s="34">
        <v>25</v>
      </c>
      <c r="D197" s="34">
        <v>0</v>
      </c>
      <c r="E197" s="52">
        <v>0</v>
      </c>
      <c r="F197" s="34">
        <v>0</v>
      </c>
      <c r="G197" s="34">
        <v>0</v>
      </c>
      <c r="H197" s="52">
        <v>0</v>
      </c>
      <c r="I197" s="34">
        <v>0</v>
      </c>
      <c r="J197" s="34">
        <v>0</v>
      </c>
      <c r="K197" s="52">
        <v>0</v>
      </c>
      <c r="L197" s="34">
        <v>0</v>
      </c>
      <c r="M197" s="34">
        <v>0</v>
      </c>
      <c r="N197" s="46">
        <v>0</v>
      </c>
      <c r="O197" s="34">
        <v>0</v>
      </c>
      <c r="P197" s="34">
        <v>0</v>
      </c>
      <c r="Q197" s="52">
        <v>0</v>
      </c>
      <c r="R197" s="34">
        <v>0</v>
      </c>
      <c r="S197" s="34">
        <v>0</v>
      </c>
      <c r="T197" s="52">
        <v>0</v>
      </c>
      <c r="U197" s="34">
        <v>0</v>
      </c>
      <c r="V197" s="34">
        <v>0</v>
      </c>
      <c r="W197" s="52">
        <v>0</v>
      </c>
      <c r="X197" s="34">
        <v>0</v>
      </c>
      <c r="Y197" s="34">
        <v>0</v>
      </c>
      <c r="Z197" s="46">
        <v>0</v>
      </c>
      <c r="AA197" s="34">
        <v>30</v>
      </c>
      <c r="AB197" s="34">
        <v>20</v>
      </c>
      <c r="AC197" s="52">
        <v>30</v>
      </c>
      <c r="AD197" s="34">
        <v>10</v>
      </c>
      <c r="AE197" s="34">
        <v>10</v>
      </c>
      <c r="AF197" s="52">
        <v>10</v>
      </c>
      <c r="AG197" s="34">
        <v>0</v>
      </c>
      <c r="AH197" s="34">
        <v>0</v>
      </c>
      <c r="AI197" s="52">
        <v>0</v>
      </c>
      <c r="AJ197" s="34">
        <v>0</v>
      </c>
      <c r="AK197" s="34">
        <v>0</v>
      </c>
      <c r="AL197" s="46">
        <v>0</v>
      </c>
      <c r="AM197" s="34">
        <v>0</v>
      </c>
      <c r="AN197" s="34">
        <v>0</v>
      </c>
      <c r="AO197" s="52">
        <v>0</v>
      </c>
      <c r="AP197" s="34">
        <v>0</v>
      </c>
      <c r="AQ197" s="34">
        <v>0</v>
      </c>
      <c r="AR197" s="52">
        <v>0</v>
      </c>
      <c r="AS197" s="34">
        <v>0</v>
      </c>
      <c r="AT197" s="34">
        <v>0</v>
      </c>
      <c r="AU197" s="52">
        <v>0</v>
      </c>
      <c r="AV197" s="34">
        <v>0</v>
      </c>
      <c r="AW197" s="34">
        <v>0</v>
      </c>
      <c r="AX197" s="46">
        <v>0</v>
      </c>
      <c r="AY197" s="41">
        <f t="shared" si="138"/>
        <v>55</v>
      </c>
      <c r="AZ197" s="41">
        <f t="shared" si="139"/>
        <v>20</v>
      </c>
      <c r="BA197" s="50">
        <f t="shared" si="140"/>
        <v>30</v>
      </c>
      <c r="BB197" s="41">
        <f t="shared" si="141"/>
        <v>10</v>
      </c>
      <c r="BC197" s="41">
        <f t="shared" si="142"/>
        <v>10</v>
      </c>
      <c r="BD197" s="50">
        <f t="shared" si="143"/>
        <v>10</v>
      </c>
      <c r="BE197" s="41">
        <f t="shared" si="144"/>
        <v>0</v>
      </c>
      <c r="BF197" s="41">
        <f t="shared" si="145"/>
        <v>0</v>
      </c>
      <c r="BG197" s="50">
        <f t="shared" si="146"/>
        <v>0</v>
      </c>
      <c r="BH197" s="41">
        <f t="shared" si="147"/>
        <v>0</v>
      </c>
      <c r="BI197" s="41">
        <f t="shared" si="148"/>
        <v>0</v>
      </c>
      <c r="BJ197" s="41">
        <f t="shared" si="149"/>
        <v>0</v>
      </c>
      <c r="BK197" s="56">
        <f t="shared" si="150"/>
        <v>135</v>
      </c>
      <c r="BL197" s="41">
        <f t="shared" si="151"/>
        <v>105</v>
      </c>
      <c r="BM197" s="41">
        <f t="shared" si="152"/>
        <v>30</v>
      </c>
      <c r="BN197" s="41">
        <f t="shared" si="153"/>
        <v>0</v>
      </c>
      <c r="BO197" s="41">
        <f t="shared" si="154"/>
        <v>0</v>
      </c>
    </row>
    <row r="198" spans="1:67" ht="13.5" customHeight="1" x14ac:dyDescent="0.25">
      <c r="A198" s="36" t="s">
        <v>473</v>
      </c>
      <c r="B198" s="72" t="s">
        <v>297</v>
      </c>
      <c r="C198" s="34">
        <v>0</v>
      </c>
      <c r="D198" s="34">
        <v>0</v>
      </c>
      <c r="E198" s="52">
        <v>0</v>
      </c>
      <c r="F198" s="34">
        <v>0</v>
      </c>
      <c r="G198" s="34">
        <v>0</v>
      </c>
      <c r="H198" s="52">
        <v>0</v>
      </c>
      <c r="I198" s="34">
        <v>25</v>
      </c>
      <c r="J198" s="34">
        <v>0</v>
      </c>
      <c r="K198" s="52">
        <v>0</v>
      </c>
      <c r="L198" s="34">
        <v>0</v>
      </c>
      <c r="M198" s="34">
        <v>0</v>
      </c>
      <c r="N198" s="46">
        <v>0</v>
      </c>
      <c r="O198" s="34">
        <v>0</v>
      </c>
      <c r="P198" s="34">
        <v>0</v>
      </c>
      <c r="Q198" s="52">
        <v>0</v>
      </c>
      <c r="R198" s="34">
        <v>0</v>
      </c>
      <c r="S198" s="34">
        <v>0</v>
      </c>
      <c r="T198" s="52">
        <v>0</v>
      </c>
      <c r="U198" s="34">
        <v>0</v>
      </c>
      <c r="V198" s="34">
        <v>0</v>
      </c>
      <c r="W198" s="52">
        <v>0</v>
      </c>
      <c r="X198" s="34">
        <v>0</v>
      </c>
      <c r="Y198" s="34">
        <v>0</v>
      </c>
      <c r="Z198" s="46">
        <v>0</v>
      </c>
      <c r="AA198" s="34">
        <v>0</v>
      </c>
      <c r="AB198" s="34">
        <v>0</v>
      </c>
      <c r="AC198" s="52">
        <v>0</v>
      </c>
      <c r="AD198" s="34">
        <v>0</v>
      </c>
      <c r="AE198" s="34">
        <v>0</v>
      </c>
      <c r="AF198" s="52">
        <v>0</v>
      </c>
      <c r="AG198" s="34">
        <v>46</v>
      </c>
      <c r="AH198" s="34">
        <v>10</v>
      </c>
      <c r="AI198" s="52">
        <v>46</v>
      </c>
      <c r="AJ198" s="34">
        <v>0</v>
      </c>
      <c r="AK198" s="34">
        <v>0</v>
      </c>
      <c r="AL198" s="46">
        <v>0</v>
      </c>
      <c r="AM198" s="34">
        <v>0</v>
      </c>
      <c r="AN198" s="34">
        <v>0</v>
      </c>
      <c r="AO198" s="52">
        <v>0</v>
      </c>
      <c r="AP198" s="34">
        <v>0</v>
      </c>
      <c r="AQ198" s="34">
        <v>0</v>
      </c>
      <c r="AR198" s="52">
        <v>0</v>
      </c>
      <c r="AS198" s="34">
        <v>0</v>
      </c>
      <c r="AT198" s="34">
        <v>0</v>
      </c>
      <c r="AU198" s="52">
        <v>0</v>
      </c>
      <c r="AV198" s="34">
        <v>0</v>
      </c>
      <c r="AW198" s="34">
        <v>0</v>
      </c>
      <c r="AX198" s="46">
        <v>0</v>
      </c>
      <c r="AY198" s="41">
        <f t="shared" si="138"/>
        <v>0</v>
      </c>
      <c r="AZ198" s="41">
        <f t="shared" si="139"/>
        <v>0</v>
      </c>
      <c r="BA198" s="50">
        <f t="shared" si="140"/>
        <v>0</v>
      </c>
      <c r="BB198" s="41">
        <f t="shared" si="141"/>
        <v>0</v>
      </c>
      <c r="BC198" s="41">
        <f t="shared" si="142"/>
        <v>0</v>
      </c>
      <c r="BD198" s="50">
        <f t="shared" si="143"/>
        <v>0</v>
      </c>
      <c r="BE198" s="41">
        <f t="shared" si="144"/>
        <v>71</v>
      </c>
      <c r="BF198" s="41">
        <f t="shared" si="145"/>
        <v>10</v>
      </c>
      <c r="BG198" s="50">
        <f t="shared" si="146"/>
        <v>46</v>
      </c>
      <c r="BH198" s="41">
        <f t="shared" si="147"/>
        <v>0</v>
      </c>
      <c r="BI198" s="41">
        <f t="shared" si="148"/>
        <v>0</v>
      </c>
      <c r="BJ198" s="41">
        <f t="shared" si="149"/>
        <v>0</v>
      </c>
      <c r="BK198" s="56">
        <f t="shared" si="150"/>
        <v>127</v>
      </c>
      <c r="BL198" s="41">
        <f t="shared" si="151"/>
        <v>0</v>
      </c>
      <c r="BM198" s="41">
        <f t="shared" si="152"/>
        <v>0</v>
      </c>
      <c r="BN198" s="41">
        <f t="shared" si="153"/>
        <v>127</v>
      </c>
      <c r="BO198" s="41">
        <f t="shared" si="154"/>
        <v>0</v>
      </c>
    </row>
    <row r="199" spans="1:67" ht="13.5" customHeight="1" x14ac:dyDescent="0.25">
      <c r="A199" s="36" t="s">
        <v>493</v>
      </c>
      <c r="B199" s="70" t="s">
        <v>196</v>
      </c>
      <c r="C199" s="34">
        <v>10</v>
      </c>
      <c r="D199" s="34">
        <v>0</v>
      </c>
      <c r="E199" s="52">
        <v>0</v>
      </c>
      <c r="F199" s="34">
        <v>10</v>
      </c>
      <c r="G199" s="34">
        <v>0</v>
      </c>
      <c r="H199" s="52">
        <v>0</v>
      </c>
      <c r="I199" s="34">
        <v>10</v>
      </c>
      <c r="J199" s="34">
        <v>0</v>
      </c>
      <c r="K199" s="52">
        <v>0</v>
      </c>
      <c r="L199" s="34">
        <v>10</v>
      </c>
      <c r="M199" s="34">
        <v>0</v>
      </c>
      <c r="N199" s="46">
        <v>0</v>
      </c>
      <c r="O199" s="34">
        <v>0</v>
      </c>
      <c r="P199" s="34">
        <v>0</v>
      </c>
      <c r="Q199" s="52">
        <v>0</v>
      </c>
      <c r="R199" s="34">
        <v>0</v>
      </c>
      <c r="S199" s="34">
        <v>0</v>
      </c>
      <c r="T199" s="52">
        <v>0</v>
      </c>
      <c r="U199" s="34">
        <v>0</v>
      </c>
      <c r="V199" s="34">
        <v>0</v>
      </c>
      <c r="W199" s="52">
        <v>0</v>
      </c>
      <c r="X199" s="34">
        <v>0</v>
      </c>
      <c r="Y199" s="34">
        <v>0</v>
      </c>
      <c r="Z199" s="46">
        <v>0</v>
      </c>
      <c r="AA199" s="34">
        <v>10</v>
      </c>
      <c r="AB199" s="34">
        <v>0</v>
      </c>
      <c r="AC199" s="52">
        <v>0</v>
      </c>
      <c r="AD199" s="34">
        <v>10</v>
      </c>
      <c r="AE199" s="34">
        <v>0</v>
      </c>
      <c r="AF199" s="52">
        <v>0</v>
      </c>
      <c r="AG199" s="34">
        <v>20</v>
      </c>
      <c r="AH199" s="34">
        <v>0</v>
      </c>
      <c r="AI199" s="52">
        <v>0</v>
      </c>
      <c r="AJ199" s="34">
        <v>30</v>
      </c>
      <c r="AK199" s="34">
        <v>0</v>
      </c>
      <c r="AL199" s="46">
        <v>10</v>
      </c>
      <c r="AM199" s="34">
        <v>0</v>
      </c>
      <c r="AN199" s="34">
        <v>0</v>
      </c>
      <c r="AO199" s="52">
        <v>0</v>
      </c>
      <c r="AP199" s="34">
        <v>0</v>
      </c>
      <c r="AQ199" s="34">
        <v>0</v>
      </c>
      <c r="AR199" s="52">
        <v>0</v>
      </c>
      <c r="AS199" s="34">
        <v>0</v>
      </c>
      <c r="AT199" s="34">
        <v>0</v>
      </c>
      <c r="AU199" s="52">
        <v>0</v>
      </c>
      <c r="AV199" s="34">
        <v>0</v>
      </c>
      <c r="AW199" s="34">
        <v>0</v>
      </c>
      <c r="AX199" s="46">
        <v>0</v>
      </c>
      <c r="AY199" s="41">
        <f t="shared" si="138"/>
        <v>20</v>
      </c>
      <c r="AZ199" s="41">
        <f t="shared" si="139"/>
        <v>0</v>
      </c>
      <c r="BA199" s="50">
        <f t="shared" si="140"/>
        <v>0</v>
      </c>
      <c r="BB199" s="41">
        <f t="shared" si="141"/>
        <v>20</v>
      </c>
      <c r="BC199" s="41">
        <f t="shared" si="142"/>
        <v>0</v>
      </c>
      <c r="BD199" s="50">
        <f t="shared" si="143"/>
        <v>0</v>
      </c>
      <c r="BE199" s="41">
        <f t="shared" si="144"/>
        <v>30</v>
      </c>
      <c r="BF199" s="41">
        <f t="shared" si="145"/>
        <v>0</v>
      </c>
      <c r="BG199" s="50">
        <f t="shared" si="146"/>
        <v>0</v>
      </c>
      <c r="BH199" s="41">
        <f t="shared" si="147"/>
        <v>40</v>
      </c>
      <c r="BI199" s="41">
        <f t="shared" si="148"/>
        <v>0</v>
      </c>
      <c r="BJ199" s="41">
        <f t="shared" si="149"/>
        <v>10</v>
      </c>
      <c r="BK199" s="56">
        <f t="shared" si="150"/>
        <v>120</v>
      </c>
      <c r="BL199" s="41">
        <f t="shared" si="151"/>
        <v>20</v>
      </c>
      <c r="BM199" s="41">
        <f t="shared" si="152"/>
        <v>20</v>
      </c>
      <c r="BN199" s="41">
        <f t="shared" si="153"/>
        <v>30</v>
      </c>
      <c r="BO199" s="41">
        <f t="shared" si="154"/>
        <v>50</v>
      </c>
    </row>
    <row r="200" spans="1:67" ht="13.5" customHeight="1" x14ac:dyDescent="0.25">
      <c r="A200" s="36" t="s">
        <v>494</v>
      </c>
      <c r="B200" s="70" t="s">
        <v>195</v>
      </c>
      <c r="C200" s="34">
        <v>0</v>
      </c>
      <c r="D200" s="34">
        <v>0</v>
      </c>
      <c r="E200" s="52">
        <v>0</v>
      </c>
      <c r="F200" s="34">
        <v>0</v>
      </c>
      <c r="G200" s="34">
        <v>0</v>
      </c>
      <c r="H200" s="52">
        <v>10</v>
      </c>
      <c r="I200" s="34">
        <v>0</v>
      </c>
      <c r="J200" s="34">
        <v>0</v>
      </c>
      <c r="K200" s="52">
        <v>0</v>
      </c>
      <c r="L200" s="34">
        <v>20</v>
      </c>
      <c r="M200" s="34">
        <v>20</v>
      </c>
      <c r="N200" s="46">
        <v>0</v>
      </c>
      <c r="O200" s="34">
        <v>0</v>
      </c>
      <c r="P200" s="34">
        <v>0</v>
      </c>
      <c r="Q200" s="52">
        <v>0</v>
      </c>
      <c r="R200" s="34">
        <v>0</v>
      </c>
      <c r="S200" s="34">
        <v>0</v>
      </c>
      <c r="T200" s="52">
        <v>0</v>
      </c>
      <c r="U200" s="34">
        <v>0</v>
      </c>
      <c r="V200" s="34">
        <v>0</v>
      </c>
      <c r="W200" s="52">
        <v>0</v>
      </c>
      <c r="X200" s="34">
        <v>0</v>
      </c>
      <c r="Y200" s="34">
        <v>0</v>
      </c>
      <c r="Z200" s="46">
        <v>0</v>
      </c>
      <c r="AA200" s="34">
        <v>0</v>
      </c>
      <c r="AB200" s="34">
        <v>0</v>
      </c>
      <c r="AC200" s="52">
        <v>0</v>
      </c>
      <c r="AD200" s="34">
        <v>0</v>
      </c>
      <c r="AE200" s="34">
        <v>0</v>
      </c>
      <c r="AF200" s="52">
        <v>0</v>
      </c>
      <c r="AG200" s="34">
        <v>10</v>
      </c>
      <c r="AH200" s="34">
        <v>0</v>
      </c>
      <c r="AI200" s="52">
        <v>0</v>
      </c>
      <c r="AJ200" s="34">
        <v>30</v>
      </c>
      <c r="AK200" s="34">
        <v>20</v>
      </c>
      <c r="AL200" s="46">
        <v>10</v>
      </c>
      <c r="AM200" s="34">
        <v>0</v>
      </c>
      <c r="AN200" s="34">
        <v>0</v>
      </c>
      <c r="AO200" s="52">
        <v>0</v>
      </c>
      <c r="AP200" s="34">
        <v>0</v>
      </c>
      <c r="AQ200" s="34">
        <v>0</v>
      </c>
      <c r="AR200" s="52">
        <v>0</v>
      </c>
      <c r="AS200" s="34">
        <v>0</v>
      </c>
      <c r="AT200" s="34">
        <v>0</v>
      </c>
      <c r="AU200" s="52">
        <v>0</v>
      </c>
      <c r="AV200" s="34">
        <v>0</v>
      </c>
      <c r="AW200" s="34">
        <v>0</v>
      </c>
      <c r="AX200" s="46">
        <v>0</v>
      </c>
      <c r="AY200" s="41">
        <f t="shared" si="138"/>
        <v>0</v>
      </c>
      <c r="AZ200" s="41">
        <f t="shared" si="139"/>
        <v>0</v>
      </c>
      <c r="BA200" s="50">
        <f t="shared" si="140"/>
        <v>0</v>
      </c>
      <c r="BB200" s="41">
        <f t="shared" si="141"/>
        <v>0</v>
      </c>
      <c r="BC200" s="41">
        <f t="shared" si="142"/>
        <v>0</v>
      </c>
      <c r="BD200" s="50">
        <f t="shared" si="143"/>
        <v>10</v>
      </c>
      <c r="BE200" s="41">
        <f t="shared" si="144"/>
        <v>10</v>
      </c>
      <c r="BF200" s="41">
        <f t="shared" si="145"/>
        <v>0</v>
      </c>
      <c r="BG200" s="50">
        <f t="shared" si="146"/>
        <v>0</v>
      </c>
      <c r="BH200" s="41">
        <f t="shared" si="147"/>
        <v>50</v>
      </c>
      <c r="BI200" s="41">
        <f t="shared" si="148"/>
        <v>40</v>
      </c>
      <c r="BJ200" s="41">
        <f t="shared" si="149"/>
        <v>10</v>
      </c>
      <c r="BK200" s="56">
        <f t="shared" si="150"/>
        <v>120</v>
      </c>
      <c r="BL200" s="41">
        <f t="shared" si="151"/>
        <v>0</v>
      </c>
      <c r="BM200" s="41">
        <f t="shared" si="152"/>
        <v>10</v>
      </c>
      <c r="BN200" s="41">
        <f t="shared" si="153"/>
        <v>10</v>
      </c>
      <c r="BO200" s="41">
        <f t="shared" si="154"/>
        <v>100</v>
      </c>
    </row>
    <row r="201" spans="1:67" ht="13.5" customHeight="1" x14ac:dyDescent="0.25">
      <c r="A201" s="36" t="s">
        <v>495</v>
      </c>
      <c r="B201" s="68" t="s">
        <v>102</v>
      </c>
      <c r="C201" s="34">
        <v>0</v>
      </c>
      <c r="D201" s="34">
        <v>0</v>
      </c>
      <c r="E201" s="52">
        <v>0</v>
      </c>
      <c r="F201" s="34">
        <v>35</v>
      </c>
      <c r="G201" s="34">
        <v>0</v>
      </c>
      <c r="H201" s="52">
        <v>0</v>
      </c>
      <c r="I201" s="34">
        <v>0</v>
      </c>
      <c r="J201" s="34">
        <v>0</v>
      </c>
      <c r="K201" s="52">
        <v>0</v>
      </c>
      <c r="L201" s="34">
        <v>0</v>
      </c>
      <c r="M201" s="34">
        <v>0</v>
      </c>
      <c r="N201" s="46">
        <v>0</v>
      </c>
      <c r="O201" s="34">
        <v>0</v>
      </c>
      <c r="P201" s="34">
        <v>0</v>
      </c>
      <c r="Q201" s="52">
        <v>0</v>
      </c>
      <c r="R201" s="34">
        <v>0</v>
      </c>
      <c r="S201" s="34">
        <v>0</v>
      </c>
      <c r="T201" s="52">
        <v>0</v>
      </c>
      <c r="U201" s="34">
        <v>0</v>
      </c>
      <c r="V201" s="34">
        <v>0</v>
      </c>
      <c r="W201" s="52">
        <v>0</v>
      </c>
      <c r="X201" s="34">
        <v>0</v>
      </c>
      <c r="Y201" s="34">
        <v>0</v>
      </c>
      <c r="Z201" s="46">
        <v>0</v>
      </c>
      <c r="AA201" s="34">
        <v>6</v>
      </c>
      <c r="AB201" s="34">
        <v>0</v>
      </c>
      <c r="AC201" s="52">
        <v>0</v>
      </c>
      <c r="AD201" s="34">
        <v>36</v>
      </c>
      <c r="AE201" s="34">
        <v>0</v>
      </c>
      <c r="AF201" s="52">
        <v>30</v>
      </c>
      <c r="AG201" s="34">
        <v>6</v>
      </c>
      <c r="AH201" s="34">
        <v>0</v>
      </c>
      <c r="AI201" s="52">
        <v>0</v>
      </c>
      <c r="AJ201" s="34">
        <v>6</v>
      </c>
      <c r="AK201" s="34">
        <v>0</v>
      </c>
      <c r="AL201" s="46">
        <v>0</v>
      </c>
      <c r="AM201" s="34">
        <v>0</v>
      </c>
      <c r="AN201" s="34">
        <v>0</v>
      </c>
      <c r="AO201" s="52">
        <v>0</v>
      </c>
      <c r="AP201" s="34">
        <v>0</v>
      </c>
      <c r="AQ201" s="34">
        <v>0</v>
      </c>
      <c r="AR201" s="52">
        <v>0</v>
      </c>
      <c r="AS201" s="34">
        <v>0</v>
      </c>
      <c r="AT201" s="34">
        <v>0</v>
      </c>
      <c r="AU201" s="52">
        <v>0</v>
      </c>
      <c r="AV201" s="34">
        <v>0</v>
      </c>
      <c r="AW201" s="34">
        <v>0</v>
      </c>
      <c r="AX201" s="46">
        <v>0</v>
      </c>
      <c r="AY201" s="34">
        <f t="shared" si="138"/>
        <v>6</v>
      </c>
      <c r="AZ201" s="34">
        <f t="shared" si="139"/>
        <v>0</v>
      </c>
      <c r="BA201" s="52">
        <f t="shared" si="140"/>
        <v>0</v>
      </c>
      <c r="BB201" s="34">
        <f t="shared" si="141"/>
        <v>71</v>
      </c>
      <c r="BC201" s="34">
        <f t="shared" si="142"/>
        <v>0</v>
      </c>
      <c r="BD201" s="52">
        <f t="shared" si="143"/>
        <v>30</v>
      </c>
      <c r="BE201" s="34">
        <f t="shared" si="144"/>
        <v>6</v>
      </c>
      <c r="BF201" s="34">
        <f t="shared" si="145"/>
        <v>0</v>
      </c>
      <c r="BG201" s="52">
        <f t="shared" si="146"/>
        <v>0</v>
      </c>
      <c r="BH201" s="34">
        <f t="shared" si="147"/>
        <v>6</v>
      </c>
      <c r="BI201" s="34">
        <f t="shared" si="148"/>
        <v>0</v>
      </c>
      <c r="BJ201" s="34">
        <f t="shared" si="149"/>
        <v>0</v>
      </c>
      <c r="BK201" s="57">
        <f t="shared" si="150"/>
        <v>119</v>
      </c>
      <c r="BL201" s="34">
        <f t="shared" si="151"/>
        <v>6</v>
      </c>
      <c r="BM201" s="34">
        <f t="shared" si="152"/>
        <v>101</v>
      </c>
      <c r="BN201" s="34">
        <f t="shared" si="153"/>
        <v>6</v>
      </c>
      <c r="BO201" s="34">
        <f t="shared" si="154"/>
        <v>6</v>
      </c>
    </row>
    <row r="202" spans="1:67" ht="13.5" customHeight="1" x14ac:dyDescent="0.25">
      <c r="A202" s="36" t="s">
        <v>496</v>
      </c>
      <c r="B202" s="68" t="s">
        <v>40</v>
      </c>
      <c r="C202" s="34">
        <v>0</v>
      </c>
      <c r="D202" s="34">
        <v>10</v>
      </c>
      <c r="E202" s="52">
        <v>0</v>
      </c>
      <c r="F202" s="34">
        <v>0</v>
      </c>
      <c r="G202" s="34">
        <v>10</v>
      </c>
      <c r="H202" s="52">
        <v>0</v>
      </c>
      <c r="I202" s="34">
        <v>0</v>
      </c>
      <c r="J202" s="34">
        <v>0</v>
      </c>
      <c r="K202" s="52">
        <v>0</v>
      </c>
      <c r="L202" s="34">
        <v>0</v>
      </c>
      <c r="M202" s="34">
        <v>0</v>
      </c>
      <c r="N202" s="46">
        <v>0</v>
      </c>
      <c r="O202" s="34">
        <v>0</v>
      </c>
      <c r="P202" s="34">
        <v>0</v>
      </c>
      <c r="Q202" s="52">
        <v>0</v>
      </c>
      <c r="R202" s="34">
        <v>0</v>
      </c>
      <c r="S202" s="34">
        <v>0</v>
      </c>
      <c r="T202" s="52">
        <v>0</v>
      </c>
      <c r="U202" s="34">
        <v>0</v>
      </c>
      <c r="V202" s="34">
        <v>0</v>
      </c>
      <c r="W202" s="52">
        <v>0</v>
      </c>
      <c r="X202" s="34">
        <v>0</v>
      </c>
      <c r="Y202" s="34">
        <v>0</v>
      </c>
      <c r="Z202" s="46">
        <v>0</v>
      </c>
      <c r="AA202" s="34">
        <v>6</v>
      </c>
      <c r="AB202" s="34">
        <v>0</v>
      </c>
      <c r="AC202" s="52">
        <v>26</v>
      </c>
      <c r="AD202" s="34">
        <v>6</v>
      </c>
      <c r="AE202" s="34">
        <v>10</v>
      </c>
      <c r="AF202" s="52">
        <v>36</v>
      </c>
      <c r="AG202" s="34">
        <v>6</v>
      </c>
      <c r="AH202" s="34">
        <v>0</v>
      </c>
      <c r="AI202" s="52">
        <v>0</v>
      </c>
      <c r="AJ202" s="34">
        <v>6</v>
      </c>
      <c r="AK202" s="34">
        <v>0</v>
      </c>
      <c r="AL202" s="46">
        <v>0</v>
      </c>
      <c r="AM202" s="34">
        <v>0</v>
      </c>
      <c r="AN202" s="34">
        <v>0</v>
      </c>
      <c r="AO202" s="52">
        <v>0</v>
      </c>
      <c r="AP202" s="34">
        <v>0</v>
      </c>
      <c r="AQ202" s="34">
        <v>0</v>
      </c>
      <c r="AR202" s="52">
        <v>0</v>
      </c>
      <c r="AS202" s="34">
        <v>0</v>
      </c>
      <c r="AT202" s="34">
        <v>0</v>
      </c>
      <c r="AU202" s="52">
        <v>0</v>
      </c>
      <c r="AV202" s="34">
        <v>0</v>
      </c>
      <c r="AW202" s="34">
        <v>0</v>
      </c>
      <c r="AX202" s="46">
        <v>0</v>
      </c>
      <c r="AY202" s="34">
        <f t="shared" si="138"/>
        <v>6</v>
      </c>
      <c r="AZ202" s="34">
        <f t="shared" si="139"/>
        <v>10</v>
      </c>
      <c r="BA202" s="52">
        <f t="shared" si="140"/>
        <v>26</v>
      </c>
      <c r="BB202" s="34">
        <f t="shared" si="141"/>
        <v>6</v>
      </c>
      <c r="BC202" s="34">
        <f t="shared" si="142"/>
        <v>20</v>
      </c>
      <c r="BD202" s="52">
        <f t="shared" si="143"/>
        <v>36</v>
      </c>
      <c r="BE202" s="34">
        <f t="shared" si="144"/>
        <v>6</v>
      </c>
      <c r="BF202" s="34">
        <f t="shared" si="145"/>
        <v>0</v>
      </c>
      <c r="BG202" s="52">
        <f t="shared" si="146"/>
        <v>0</v>
      </c>
      <c r="BH202" s="34">
        <f t="shared" si="147"/>
        <v>6</v>
      </c>
      <c r="BI202" s="34">
        <f t="shared" si="148"/>
        <v>0</v>
      </c>
      <c r="BJ202" s="34">
        <f t="shared" si="149"/>
        <v>0</v>
      </c>
      <c r="BK202" s="57">
        <f t="shared" si="150"/>
        <v>116</v>
      </c>
      <c r="BL202" s="34">
        <f t="shared" si="151"/>
        <v>42</v>
      </c>
      <c r="BM202" s="34">
        <f t="shared" si="152"/>
        <v>62</v>
      </c>
      <c r="BN202" s="34">
        <f t="shared" si="153"/>
        <v>6</v>
      </c>
      <c r="BO202" s="34">
        <f t="shared" si="154"/>
        <v>6</v>
      </c>
    </row>
    <row r="203" spans="1:67" ht="13.5" customHeight="1" x14ac:dyDescent="0.25">
      <c r="A203" s="36" t="s">
        <v>497</v>
      </c>
      <c r="B203" s="68" t="s">
        <v>137</v>
      </c>
      <c r="C203" s="34">
        <v>35</v>
      </c>
      <c r="D203" s="34">
        <v>0</v>
      </c>
      <c r="E203" s="52">
        <v>0</v>
      </c>
      <c r="F203" s="34">
        <v>0</v>
      </c>
      <c r="G203" s="34">
        <v>0</v>
      </c>
      <c r="H203" s="52">
        <v>0</v>
      </c>
      <c r="I203" s="34">
        <v>0</v>
      </c>
      <c r="J203" s="34">
        <v>0</v>
      </c>
      <c r="K203" s="52">
        <v>0</v>
      </c>
      <c r="L203" s="34">
        <v>0</v>
      </c>
      <c r="M203" s="34">
        <v>0</v>
      </c>
      <c r="N203" s="46">
        <v>0</v>
      </c>
      <c r="O203" s="34">
        <v>0</v>
      </c>
      <c r="P203" s="34">
        <v>0</v>
      </c>
      <c r="Q203" s="52">
        <v>0</v>
      </c>
      <c r="R203" s="34">
        <v>0</v>
      </c>
      <c r="S203" s="34">
        <v>0</v>
      </c>
      <c r="T203" s="52">
        <v>0</v>
      </c>
      <c r="U203" s="34">
        <v>0</v>
      </c>
      <c r="V203" s="34">
        <v>0</v>
      </c>
      <c r="W203" s="52">
        <v>0</v>
      </c>
      <c r="X203" s="34">
        <v>0</v>
      </c>
      <c r="Y203" s="34">
        <v>0</v>
      </c>
      <c r="Z203" s="46">
        <v>0</v>
      </c>
      <c r="AA203" s="34">
        <v>50</v>
      </c>
      <c r="AB203" s="34">
        <v>20</v>
      </c>
      <c r="AC203" s="52">
        <v>10</v>
      </c>
      <c r="AD203" s="34">
        <v>0</v>
      </c>
      <c r="AE203" s="34">
        <v>0</v>
      </c>
      <c r="AF203" s="52">
        <v>0</v>
      </c>
      <c r="AG203" s="34">
        <v>0</v>
      </c>
      <c r="AH203" s="34">
        <v>0</v>
      </c>
      <c r="AI203" s="52">
        <v>0</v>
      </c>
      <c r="AJ203" s="34">
        <v>0</v>
      </c>
      <c r="AK203" s="34">
        <v>0</v>
      </c>
      <c r="AL203" s="46">
        <v>0</v>
      </c>
      <c r="AM203" s="34">
        <v>0</v>
      </c>
      <c r="AN203" s="34">
        <v>0</v>
      </c>
      <c r="AO203" s="52">
        <v>0</v>
      </c>
      <c r="AP203" s="34">
        <v>0</v>
      </c>
      <c r="AQ203" s="34">
        <v>0</v>
      </c>
      <c r="AR203" s="52">
        <v>0</v>
      </c>
      <c r="AS203" s="34">
        <v>0</v>
      </c>
      <c r="AT203" s="34">
        <v>0</v>
      </c>
      <c r="AU203" s="52">
        <v>0</v>
      </c>
      <c r="AV203" s="34">
        <v>0</v>
      </c>
      <c r="AW203" s="34">
        <v>0</v>
      </c>
      <c r="AX203" s="46">
        <v>0</v>
      </c>
      <c r="AY203" s="41">
        <f t="shared" si="138"/>
        <v>85</v>
      </c>
      <c r="AZ203" s="41">
        <f t="shared" si="139"/>
        <v>20</v>
      </c>
      <c r="BA203" s="50">
        <f t="shared" si="140"/>
        <v>10</v>
      </c>
      <c r="BB203" s="41">
        <f t="shared" si="141"/>
        <v>0</v>
      </c>
      <c r="BC203" s="41">
        <f t="shared" si="142"/>
        <v>0</v>
      </c>
      <c r="BD203" s="50">
        <f t="shared" si="143"/>
        <v>0</v>
      </c>
      <c r="BE203" s="41">
        <f t="shared" si="144"/>
        <v>0</v>
      </c>
      <c r="BF203" s="41">
        <f t="shared" si="145"/>
        <v>0</v>
      </c>
      <c r="BG203" s="50">
        <f t="shared" si="146"/>
        <v>0</v>
      </c>
      <c r="BH203" s="41">
        <f t="shared" si="147"/>
        <v>0</v>
      </c>
      <c r="BI203" s="41">
        <f t="shared" si="148"/>
        <v>0</v>
      </c>
      <c r="BJ203" s="41">
        <f t="shared" si="149"/>
        <v>0</v>
      </c>
      <c r="BK203" s="56">
        <f t="shared" si="150"/>
        <v>115</v>
      </c>
      <c r="BL203" s="41">
        <f t="shared" si="151"/>
        <v>115</v>
      </c>
      <c r="BM203" s="41">
        <f t="shared" si="152"/>
        <v>0</v>
      </c>
      <c r="BN203" s="41">
        <f t="shared" si="153"/>
        <v>0</v>
      </c>
      <c r="BO203" s="41">
        <f t="shared" si="154"/>
        <v>0</v>
      </c>
    </row>
    <row r="204" spans="1:67" ht="13.5" customHeight="1" x14ac:dyDescent="0.25">
      <c r="A204" s="36" t="s">
        <v>498</v>
      </c>
      <c r="B204" s="68" t="s">
        <v>107</v>
      </c>
      <c r="C204" s="34">
        <v>0</v>
      </c>
      <c r="D204" s="34">
        <v>0</v>
      </c>
      <c r="E204" s="52">
        <v>0</v>
      </c>
      <c r="F204" s="34">
        <v>0</v>
      </c>
      <c r="G204" s="34">
        <v>0</v>
      </c>
      <c r="H204" s="52">
        <v>35</v>
      </c>
      <c r="I204" s="34">
        <v>0</v>
      </c>
      <c r="J204" s="34">
        <v>0</v>
      </c>
      <c r="K204" s="52">
        <v>0</v>
      </c>
      <c r="L204" s="34">
        <v>0</v>
      </c>
      <c r="M204" s="34">
        <v>0</v>
      </c>
      <c r="N204" s="46">
        <v>0</v>
      </c>
      <c r="O204" s="34">
        <v>0</v>
      </c>
      <c r="P204" s="34">
        <v>0</v>
      </c>
      <c r="Q204" s="52">
        <v>0</v>
      </c>
      <c r="R204" s="34">
        <v>0</v>
      </c>
      <c r="S204" s="34">
        <v>0</v>
      </c>
      <c r="T204" s="52">
        <v>0</v>
      </c>
      <c r="U204" s="34">
        <v>0</v>
      </c>
      <c r="V204" s="34">
        <v>0</v>
      </c>
      <c r="W204" s="52">
        <v>0</v>
      </c>
      <c r="X204" s="34">
        <v>0</v>
      </c>
      <c r="Y204" s="34">
        <v>0</v>
      </c>
      <c r="Z204" s="46">
        <v>0</v>
      </c>
      <c r="AA204" s="34">
        <v>10</v>
      </c>
      <c r="AB204" s="34">
        <v>0</v>
      </c>
      <c r="AC204" s="52">
        <v>0</v>
      </c>
      <c r="AD204" s="34">
        <v>20</v>
      </c>
      <c r="AE204" s="34">
        <v>30</v>
      </c>
      <c r="AF204" s="52">
        <v>20</v>
      </c>
      <c r="AG204" s="34">
        <v>0</v>
      </c>
      <c r="AH204" s="34">
        <v>0</v>
      </c>
      <c r="AI204" s="52">
        <v>0</v>
      </c>
      <c r="AJ204" s="34">
        <v>0</v>
      </c>
      <c r="AK204" s="34">
        <v>0</v>
      </c>
      <c r="AL204" s="46">
        <v>0</v>
      </c>
      <c r="AM204" s="34">
        <v>0</v>
      </c>
      <c r="AN204" s="34">
        <v>0</v>
      </c>
      <c r="AO204" s="52">
        <v>0</v>
      </c>
      <c r="AP204" s="34">
        <v>0</v>
      </c>
      <c r="AQ204" s="34">
        <v>0</v>
      </c>
      <c r="AR204" s="52">
        <v>0</v>
      </c>
      <c r="AS204" s="34">
        <v>0</v>
      </c>
      <c r="AT204" s="34">
        <v>0</v>
      </c>
      <c r="AU204" s="52">
        <v>0</v>
      </c>
      <c r="AV204" s="34">
        <v>0</v>
      </c>
      <c r="AW204" s="34">
        <v>0</v>
      </c>
      <c r="AX204" s="46">
        <v>0</v>
      </c>
      <c r="AY204" s="34">
        <f t="shared" si="138"/>
        <v>10</v>
      </c>
      <c r="AZ204" s="34">
        <f t="shared" si="139"/>
        <v>0</v>
      </c>
      <c r="BA204" s="52">
        <f t="shared" si="140"/>
        <v>0</v>
      </c>
      <c r="BB204" s="34">
        <f t="shared" si="141"/>
        <v>20</v>
      </c>
      <c r="BC204" s="34">
        <f t="shared" si="142"/>
        <v>30</v>
      </c>
      <c r="BD204" s="52">
        <f t="shared" si="143"/>
        <v>55</v>
      </c>
      <c r="BE204" s="34">
        <f t="shared" si="144"/>
        <v>0</v>
      </c>
      <c r="BF204" s="34">
        <f t="shared" si="145"/>
        <v>0</v>
      </c>
      <c r="BG204" s="52">
        <f t="shared" si="146"/>
        <v>0</v>
      </c>
      <c r="BH204" s="34">
        <f t="shared" si="147"/>
        <v>0</v>
      </c>
      <c r="BI204" s="34">
        <f t="shared" si="148"/>
        <v>0</v>
      </c>
      <c r="BJ204" s="34">
        <f t="shared" si="149"/>
        <v>0</v>
      </c>
      <c r="BK204" s="57">
        <f t="shared" si="150"/>
        <v>115</v>
      </c>
      <c r="BL204" s="34">
        <f t="shared" si="151"/>
        <v>10</v>
      </c>
      <c r="BM204" s="34">
        <f t="shared" si="152"/>
        <v>105</v>
      </c>
      <c r="BN204" s="34">
        <f t="shared" si="153"/>
        <v>0</v>
      </c>
      <c r="BO204" s="34">
        <f t="shared" si="154"/>
        <v>0</v>
      </c>
    </row>
    <row r="205" spans="1:67" ht="13.5" customHeight="1" x14ac:dyDescent="0.25">
      <c r="A205" s="36" t="s">
        <v>499</v>
      </c>
      <c r="B205" s="68" t="s">
        <v>26</v>
      </c>
      <c r="C205" s="34">
        <v>0</v>
      </c>
      <c r="D205" s="34">
        <v>0</v>
      </c>
      <c r="E205" s="52">
        <v>0</v>
      </c>
      <c r="F205" s="34">
        <v>0</v>
      </c>
      <c r="G205" s="34">
        <v>0</v>
      </c>
      <c r="H205" s="52">
        <v>0</v>
      </c>
      <c r="I205" s="34">
        <v>0</v>
      </c>
      <c r="J205" s="34">
        <v>0</v>
      </c>
      <c r="K205" s="52">
        <v>0</v>
      </c>
      <c r="L205" s="34">
        <v>20</v>
      </c>
      <c r="M205" s="34">
        <v>0</v>
      </c>
      <c r="N205" s="46">
        <v>0</v>
      </c>
      <c r="O205" s="34">
        <v>0</v>
      </c>
      <c r="P205" s="34">
        <v>0</v>
      </c>
      <c r="Q205" s="52">
        <v>0</v>
      </c>
      <c r="R205" s="34">
        <v>0</v>
      </c>
      <c r="S205" s="34">
        <v>0</v>
      </c>
      <c r="T205" s="52">
        <v>0</v>
      </c>
      <c r="U205" s="34">
        <v>0</v>
      </c>
      <c r="V205" s="34">
        <v>0</v>
      </c>
      <c r="W205" s="52">
        <v>0</v>
      </c>
      <c r="X205" s="34">
        <v>0</v>
      </c>
      <c r="Y205" s="34">
        <v>0</v>
      </c>
      <c r="Z205" s="46">
        <v>0</v>
      </c>
      <c r="AA205" s="34">
        <v>0</v>
      </c>
      <c r="AB205" s="34">
        <v>0</v>
      </c>
      <c r="AC205" s="52">
        <v>0</v>
      </c>
      <c r="AD205" s="34">
        <v>0</v>
      </c>
      <c r="AE205" s="34">
        <v>0</v>
      </c>
      <c r="AF205" s="52">
        <v>0</v>
      </c>
      <c r="AG205" s="34">
        <v>10</v>
      </c>
      <c r="AH205" s="34">
        <v>0</v>
      </c>
      <c r="AI205" s="52">
        <v>0</v>
      </c>
      <c r="AJ205" s="34">
        <v>46</v>
      </c>
      <c r="AK205" s="34">
        <v>0</v>
      </c>
      <c r="AL205" s="46">
        <v>36</v>
      </c>
      <c r="AM205" s="34">
        <v>0</v>
      </c>
      <c r="AN205" s="34">
        <v>0</v>
      </c>
      <c r="AO205" s="52">
        <v>0</v>
      </c>
      <c r="AP205" s="34">
        <v>0</v>
      </c>
      <c r="AQ205" s="34">
        <v>0</v>
      </c>
      <c r="AR205" s="52">
        <v>0</v>
      </c>
      <c r="AS205" s="34">
        <v>0</v>
      </c>
      <c r="AT205" s="34">
        <v>0</v>
      </c>
      <c r="AU205" s="52">
        <v>0</v>
      </c>
      <c r="AV205" s="34">
        <v>0</v>
      </c>
      <c r="AW205" s="34">
        <v>0</v>
      </c>
      <c r="AX205" s="46">
        <v>0</v>
      </c>
      <c r="AY205" s="41">
        <f t="shared" si="138"/>
        <v>0</v>
      </c>
      <c r="AZ205" s="41">
        <f t="shared" si="139"/>
        <v>0</v>
      </c>
      <c r="BA205" s="50">
        <f t="shared" si="140"/>
        <v>0</v>
      </c>
      <c r="BB205" s="41">
        <f t="shared" si="141"/>
        <v>0</v>
      </c>
      <c r="BC205" s="41">
        <f t="shared" si="142"/>
        <v>0</v>
      </c>
      <c r="BD205" s="50">
        <f t="shared" si="143"/>
        <v>0</v>
      </c>
      <c r="BE205" s="41">
        <f t="shared" si="144"/>
        <v>10</v>
      </c>
      <c r="BF205" s="41">
        <f t="shared" si="145"/>
        <v>0</v>
      </c>
      <c r="BG205" s="50">
        <f t="shared" si="146"/>
        <v>0</v>
      </c>
      <c r="BH205" s="41">
        <f t="shared" si="147"/>
        <v>66</v>
      </c>
      <c r="BI205" s="41">
        <f t="shared" si="148"/>
        <v>0</v>
      </c>
      <c r="BJ205" s="41">
        <f t="shared" si="149"/>
        <v>36</v>
      </c>
      <c r="BK205" s="56">
        <f t="shared" si="150"/>
        <v>112</v>
      </c>
      <c r="BL205" s="41">
        <f t="shared" si="151"/>
        <v>0</v>
      </c>
      <c r="BM205" s="41">
        <f t="shared" si="152"/>
        <v>0</v>
      </c>
      <c r="BN205" s="41">
        <f t="shared" si="153"/>
        <v>10</v>
      </c>
      <c r="BO205" s="41">
        <f t="shared" si="154"/>
        <v>102</v>
      </c>
    </row>
    <row r="206" spans="1:67" ht="13.5" customHeight="1" x14ac:dyDescent="0.25">
      <c r="A206" s="36" t="s">
        <v>635</v>
      </c>
      <c r="B206" s="68" t="s">
        <v>288</v>
      </c>
      <c r="C206" s="34">
        <v>0</v>
      </c>
      <c r="D206" s="34">
        <v>0</v>
      </c>
      <c r="E206" s="52">
        <v>0</v>
      </c>
      <c r="F206" s="34">
        <v>0</v>
      </c>
      <c r="G206" s="34">
        <v>0</v>
      </c>
      <c r="H206" s="52">
        <v>0</v>
      </c>
      <c r="I206" s="34">
        <v>0</v>
      </c>
      <c r="J206" s="34">
        <v>0</v>
      </c>
      <c r="K206" s="52">
        <v>0</v>
      </c>
      <c r="L206" s="34">
        <v>35</v>
      </c>
      <c r="M206" s="34">
        <v>0</v>
      </c>
      <c r="N206" s="46">
        <v>0</v>
      </c>
      <c r="O206" s="34">
        <v>0</v>
      </c>
      <c r="P206" s="34">
        <v>0</v>
      </c>
      <c r="Q206" s="52">
        <v>0</v>
      </c>
      <c r="R206" s="34">
        <v>0</v>
      </c>
      <c r="S206" s="34">
        <v>0</v>
      </c>
      <c r="T206" s="52">
        <v>0</v>
      </c>
      <c r="U206" s="34">
        <v>0</v>
      </c>
      <c r="V206" s="34">
        <v>0</v>
      </c>
      <c r="W206" s="52">
        <v>0</v>
      </c>
      <c r="X206" s="34">
        <v>0</v>
      </c>
      <c r="Y206" s="34">
        <v>0</v>
      </c>
      <c r="Z206" s="46">
        <v>0</v>
      </c>
      <c r="AA206" s="34">
        <v>0</v>
      </c>
      <c r="AB206" s="34">
        <v>0</v>
      </c>
      <c r="AC206" s="52">
        <v>0</v>
      </c>
      <c r="AD206" s="34">
        <v>0</v>
      </c>
      <c r="AE206" s="34">
        <v>0</v>
      </c>
      <c r="AF206" s="52">
        <v>0</v>
      </c>
      <c r="AG206" s="34">
        <v>0</v>
      </c>
      <c r="AH206" s="34">
        <v>0</v>
      </c>
      <c r="AI206" s="52">
        <v>0</v>
      </c>
      <c r="AJ206" s="34">
        <v>36</v>
      </c>
      <c r="AK206" s="34">
        <v>36</v>
      </c>
      <c r="AL206" s="46">
        <v>0</v>
      </c>
      <c r="AM206" s="34">
        <v>0</v>
      </c>
      <c r="AN206" s="34">
        <v>0</v>
      </c>
      <c r="AO206" s="52">
        <v>0</v>
      </c>
      <c r="AP206" s="34">
        <v>0</v>
      </c>
      <c r="AQ206" s="34">
        <v>0</v>
      </c>
      <c r="AR206" s="52">
        <v>0</v>
      </c>
      <c r="AS206" s="34">
        <v>0</v>
      </c>
      <c r="AT206" s="34">
        <v>0</v>
      </c>
      <c r="AU206" s="52">
        <v>0</v>
      </c>
      <c r="AV206" s="34">
        <v>0</v>
      </c>
      <c r="AW206" s="34">
        <v>0</v>
      </c>
      <c r="AX206" s="46">
        <v>0</v>
      </c>
      <c r="AY206" s="41">
        <f t="shared" si="138"/>
        <v>0</v>
      </c>
      <c r="AZ206" s="41">
        <f t="shared" si="139"/>
        <v>0</v>
      </c>
      <c r="BA206" s="50">
        <f t="shared" si="140"/>
        <v>0</v>
      </c>
      <c r="BB206" s="41">
        <f t="shared" si="141"/>
        <v>0</v>
      </c>
      <c r="BC206" s="41">
        <f t="shared" si="142"/>
        <v>0</v>
      </c>
      <c r="BD206" s="50">
        <f t="shared" si="143"/>
        <v>0</v>
      </c>
      <c r="BE206" s="41">
        <f t="shared" si="144"/>
        <v>0</v>
      </c>
      <c r="BF206" s="41">
        <f t="shared" si="145"/>
        <v>0</v>
      </c>
      <c r="BG206" s="50">
        <f t="shared" si="146"/>
        <v>0</v>
      </c>
      <c r="BH206" s="41">
        <f t="shared" si="147"/>
        <v>71</v>
      </c>
      <c r="BI206" s="41">
        <f t="shared" si="148"/>
        <v>36</v>
      </c>
      <c r="BJ206" s="41">
        <f t="shared" si="149"/>
        <v>0</v>
      </c>
      <c r="BK206" s="56">
        <f t="shared" si="150"/>
        <v>107</v>
      </c>
      <c r="BL206" s="41">
        <f t="shared" si="151"/>
        <v>0</v>
      </c>
      <c r="BM206" s="41">
        <f t="shared" si="152"/>
        <v>0</v>
      </c>
      <c r="BN206" s="41">
        <f t="shared" si="153"/>
        <v>0</v>
      </c>
      <c r="BO206" s="41">
        <f t="shared" si="154"/>
        <v>107</v>
      </c>
    </row>
    <row r="207" spans="1:67" ht="13.5" customHeight="1" x14ac:dyDescent="0.25">
      <c r="A207" s="36" t="s">
        <v>636</v>
      </c>
      <c r="B207" s="72" t="s">
        <v>151</v>
      </c>
      <c r="C207" s="34">
        <v>5</v>
      </c>
      <c r="D207" s="34">
        <v>0</v>
      </c>
      <c r="E207" s="52">
        <v>0</v>
      </c>
      <c r="F207" s="34">
        <v>5</v>
      </c>
      <c r="G207" s="34">
        <v>0</v>
      </c>
      <c r="H207" s="52">
        <v>0</v>
      </c>
      <c r="I207" s="34">
        <v>25</v>
      </c>
      <c r="J207" s="34">
        <v>0</v>
      </c>
      <c r="K207" s="52">
        <v>0</v>
      </c>
      <c r="L207" s="34">
        <v>5</v>
      </c>
      <c r="M207" s="34">
        <v>0</v>
      </c>
      <c r="N207" s="46">
        <v>0</v>
      </c>
      <c r="O207" s="34">
        <v>0</v>
      </c>
      <c r="P207" s="34">
        <v>0</v>
      </c>
      <c r="Q207" s="52">
        <v>0</v>
      </c>
      <c r="R207" s="34">
        <v>0</v>
      </c>
      <c r="S207" s="34">
        <v>0</v>
      </c>
      <c r="T207" s="52">
        <v>0</v>
      </c>
      <c r="U207" s="34">
        <v>0</v>
      </c>
      <c r="V207" s="34">
        <v>0</v>
      </c>
      <c r="W207" s="52">
        <v>0</v>
      </c>
      <c r="X207" s="34">
        <v>0</v>
      </c>
      <c r="Y207" s="34">
        <v>0</v>
      </c>
      <c r="Z207" s="46">
        <v>0</v>
      </c>
      <c r="AA207" s="34">
        <v>6</v>
      </c>
      <c r="AB207" s="34">
        <v>0</v>
      </c>
      <c r="AC207" s="52">
        <v>0</v>
      </c>
      <c r="AD207" s="34">
        <v>6</v>
      </c>
      <c r="AE207" s="34">
        <v>0</v>
      </c>
      <c r="AF207" s="52">
        <v>0</v>
      </c>
      <c r="AG207" s="34">
        <v>26</v>
      </c>
      <c r="AH207" s="34">
        <v>10</v>
      </c>
      <c r="AI207" s="52">
        <v>0</v>
      </c>
      <c r="AJ207" s="34">
        <v>16</v>
      </c>
      <c r="AK207" s="34">
        <v>0</v>
      </c>
      <c r="AL207" s="46">
        <v>0</v>
      </c>
      <c r="AM207" s="34">
        <v>0</v>
      </c>
      <c r="AN207" s="34">
        <v>0</v>
      </c>
      <c r="AO207" s="52">
        <v>0</v>
      </c>
      <c r="AP207" s="34">
        <v>0</v>
      </c>
      <c r="AQ207" s="34">
        <v>0</v>
      </c>
      <c r="AR207" s="52">
        <v>0</v>
      </c>
      <c r="AS207" s="34">
        <v>0</v>
      </c>
      <c r="AT207" s="34">
        <v>0</v>
      </c>
      <c r="AU207" s="52">
        <v>0</v>
      </c>
      <c r="AV207" s="34">
        <v>0</v>
      </c>
      <c r="AW207" s="34">
        <v>0</v>
      </c>
      <c r="AX207" s="46">
        <v>0</v>
      </c>
      <c r="AY207" s="41">
        <f t="shared" si="138"/>
        <v>11</v>
      </c>
      <c r="AZ207" s="41">
        <f t="shared" si="139"/>
        <v>0</v>
      </c>
      <c r="BA207" s="50">
        <f t="shared" si="140"/>
        <v>0</v>
      </c>
      <c r="BB207" s="41">
        <f t="shared" si="141"/>
        <v>11</v>
      </c>
      <c r="BC207" s="41">
        <f t="shared" si="142"/>
        <v>0</v>
      </c>
      <c r="BD207" s="50">
        <f t="shared" si="143"/>
        <v>0</v>
      </c>
      <c r="BE207" s="41">
        <f t="shared" si="144"/>
        <v>51</v>
      </c>
      <c r="BF207" s="41">
        <f t="shared" si="145"/>
        <v>10</v>
      </c>
      <c r="BG207" s="50">
        <f t="shared" si="146"/>
        <v>0</v>
      </c>
      <c r="BH207" s="41">
        <f t="shared" si="147"/>
        <v>21</v>
      </c>
      <c r="BI207" s="41">
        <f t="shared" si="148"/>
        <v>0</v>
      </c>
      <c r="BJ207" s="41">
        <f t="shared" si="149"/>
        <v>0</v>
      </c>
      <c r="BK207" s="56">
        <f t="shared" si="150"/>
        <v>104</v>
      </c>
      <c r="BL207" s="41">
        <f t="shared" si="151"/>
        <v>11</v>
      </c>
      <c r="BM207" s="41">
        <f t="shared" si="152"/>
        <v>11</v>
      </c>
      <c r="BN207" s="41">
        <f t="shared" si="153"/>
        <v>61</v>
      </c>
      <c r="BO207" s="41">
        <f t="shared" si="154"/>
        <v>21</v>
      </c>
    </row>
    <row r="208" spans="1:67" ht="13.5" customHeight="1" x14ac:dyDescent="0.25">
      <c r="A208" s="36" t="s">
        <v>637</v>
      </c>
      <c r="B208" s="71" t="s">
        <v>303</v>
      </c>
      <c r="C208" s="34">
        <v>0</v>
      </c>
      <c r="D208" s="34">
        <v>0</v>
      </c>
      <c r="E208" s="52">
        <v>0</v>
      </c>
      <c r="F208" s="34">
        <v>0</v>
      </c>
      <c r="G208" s="34">
        <v>0</v>
      </c>
      <c r="H208" s="52">
        <v>0</v>
      </c>
      <c r="I208" s="34">
        <v>15</v>
      </c>
      <c r="J208" s="34">
        <v>0</v>
      </c>
      <c r="K208" s="52">
        <v>0</v>
      </c>
      <c r="L208" s="34">
        <v>15</v>
      </c>
      <c r="M208" s="34">
        <v>0</v>
      </c>
      <c r="N208" s="46">
        <v>0</v>
      </c>
      <c r="O208" s="34">
        <v>0</v>
      </c>
      <c r="P208" s="34">
        <v>0</v>
      </c>
      <c r="Q208" s="52">
        <v>0</v>
      </c>
      <c r="R208" s="34">
        <v>0</v>
      </c>
      <c r="S208" s="34">
        <v>0</v>
      </c>
      <c r="T208" s="52">
        <v>0</v>
      </c>
      <c r="U208" s="34">
        <v>0</v>
      </c>
      <c r="V208" s="34">
        <v>0</v>
      </c>
      <c r="W208" s="52">
        <v>0</v>
      </c>
      <c r="X208" s="34">
        <v>0</v>
      </c>
      <c r="Y208" s="34">
        <v>0</v>
      </c>
      <c r="Z208" s="46">
        <v>0</v>
      </c>
      <c r="AA208" s="34">
        <v>0</v>
      </c>
      <c r="AB208" s="34">
        <v>0</v>
      </c>
      <c r="AC208" s="52">
        <v>0</v>
      </c>
      <c r="AD208" s="34">
        <v>0</v>
      </c>
      <c r="AE208" s="34">
        <v>0</v>
      </c>
      <c r="AF208" s="52">
        <v>0</v>
      </c>
      <c r="AG208" s="34">
        <v>40</v>
      </c>
      <c r="AH208" s="34">
        <v>20</v>
      </c>
      <c r="AI208" s="52">
        <v>10</v>
      </c>
      <c r="AJ208" s="34">
        <v>0</v>
      </c>
      <c r="AK208" s="34">
        <v>0</v>
      </c>
      <c r="AL208" s="46">
        <v>0</v>
      </c>
      <c r="AM208" s="34">
        <v>0</v>
      </c>
      <c r="AN208" s="34">
        <v>0</v>
      </c>
      <c r="AO208" s="52">
        <v>0</v>
      </c>
      <c r="AP208" s="34">
        <v>0</v>
      </c>
      <c r="AQ208" s="34">
        <v>0</v>
      </c>
      <c r="AR208" s="52">
        <v>0</v>
      </c>
      <c r="AS208" s="34">
        <v>0</v>
      </c>
      <c r="AT208" s="34">
        <v>0</v>
      </c>
      <c r="AU208" s="52">
        <v>0</v>
      </c>
      <c r="AV208" s="34">
        <v>0</v>
      </c>
      <c r="AW208" s="34">
        <v>0</v>
      </c>
      <c r="AX208" s="46">
        <v>0</v>
      </c>
      <c r="AY208" s="41">
        <f t="shared" si="138"/>
        <v>0</v>
      </c>
      <c r="AZ208" s="41">
        <f t="shared" si="139"/>
        <v>0</v>
      </c>
      <c r="BA208" s="50">
        <f t="shared" si="140"/>
        <v>0</v>
      </c>
      <c r="BB208" s="41">
        <f t="shared" si="141"/>
        <v>0</v>
      </c>
      <c r="BC208" s="41">
        <f t="shared" si="142"/>
        <v>0</v>
      </c>
      <c r="BD208" s="50">
        <f t="shared" si="143"/>
        <v>0</v>
      </c>
      <c r="BE208" s="41">
        <f t="shared" si="144"/>
        <v>55</v>
      </c>
      <c r="BF208" s="41">
        <f t="shared" si="145"/>
        <v>20</v>
      </c>
      <c r="BG208" s="50">
        <f t="shared" si="146"/>
        <v>10</v>
      </c>
      <c r="BH208" s="41">
        <f t="shared" si="147"/>
        <v>15</v>
      </c>
      <c r="BI208" s="41">
        <f t="shared" si="148"/>
        <v>0</v>
      </c>
      <c r="BJ208" s="41">
        <f t="shared" si="149"/>
        <v>0</v>
      </c>
      <c r="BK208" s="56">
        <f t="shared" si="150"/>
        <v>100</v>
      </c>
      <c r="BL208" s="41">
        <f t="shared" si="151"/>
        <v>0</v>
      </c>
      <c r="BM208" s="41">
        <f t="shared" si="152"/>
        <v>0</v>
      </c>
      <c r="BN208" s="41">
        <f t="shared" si="153"/>
        <v>85</v>
      </c>
      <c r="BO208" s="41">
        <f t="shared" si="154"/>
        <v>15</v>
      </c>
    </row>
    <row r="209" spans="1:67" ht="13.5" customHeight="1" x14ac:dyDescent="0.25">
      <c r="A209" s="36" t="s">
        <v>638</v>
      </c>
      <c r="B209" s="68" t="s">
        <v>302</v>
      </c>
      <c r="C209" s="34">
        <v>0</v>
      </c>
      <c r="D209" s="34">
        <v>0</v>
      </c>
      <c r="E209" s="52">
        <v>0</v>
      </c>
      <c r="F209" s="34">
        <v>0</v>
      </c>
      <c r="G209" s="34">
        <v>0</v>
      </c>
      <c r="H209" s="52">
        <v>0</v>
      </c>
      <c r="I209" s="34">
        <v>15</v>
      </c>
      <c r="J209" s="34">
        <v>0</v>
      </c>
      <c r="K209" s="52">
        <v>0</v>
      </c>
      <c r="L209" s="34">
        <v>15</v>
      </c>
      <c r="M209" s="34">
        <v>0</v>
      </c>
      <c r="N209" s="46">
        <v>0</v>
      </c>
      <c r="O209" s="34">
        <v>0</v>
      </c>
      <c r="P209" s="34">
        <v>0</v>
      </c>
      <c r="Q209" s="52">
        <v>0</v>
      </c>
      <c r="R209" s="34">
        <v>0</v>
      </c>
      <c r="S209" s="34">
        <v>0</v>
      </c>
      <c r="T209" s="52">
        <v>0</v>
      </c>
      <c r="U209" s="34">
        <v>0</v>
      </c>
      <c r="V209" s="34">
        <v>0</v>
      </c>
      <c r="W209" s="52">
        <v>0</v>
      </c>
      <c r="X209" s="34">
        <v>0</v>
      </c>
      <c r="Y209" s="34">
        <v>0</v>
      </c>
      <c r="Z209" s="46">
        <v>0</v>
      </c>
      <c r="AA209" s="34">
        <v>0</v>
      </c>
      <c r="AB209" s="34">
        <v>0</v>
      </c>
      <c r="AC209" s="52">
        <v>0</v>
      </c>
      <c r="AD209" s="34">
        <v>0</v>
      </c>
      <c r="AE209" s="34">
        <v>0</v>
      </c>
      <c r="AF209" s="52">
        <v>0</v>
      </c>
      <c r="AG209" s="34">
        <v>10</v>
      </c>
      <c r="AH209" s="34">
        <v>0</v>
      </c>
      <c r="AI209" s="52">
        <v>0</v>
      </c>
      <c r="AJ209" s="34">
        <v>30</v>
      </c>
      <c r="AK209" s="34">
        <v>10</v>
      </c>
      <c r="AL209" s="46">
        <v>20</v>
      </c>
      <c r="AM209" s="34">
        <v>0</v>
      </c>
      <c r="AN209" s="34">
        <v>0</v>
      </c>
      <c r="AO209" s="52">
        <v>0</v>
      </c>
      <c r="AP209" s="34">
        <v>0</v>
      </c>
      <c r="AQ209" s="34">
        <v>0</v>
      </c>
      <c r="AR209" s="52">
        <v>0</v>
      </c>
      <c r="AS209" s="34">
        <v>0</v>
      </c>
      <c r="AT209" s="34">
        <v>0</v>
      </c>
      <c r="AU209" s="52">
        <v>0</v>
      </c>
      <c r="AV209" s="34">
        <v>0</v>
      </c>
      <c r="AW209" s="34">
        <v>0</v>
      </c>
      <c r="AX209" s="46">
        <v>0</v>
      </c>
      <c r="AY209" s="41">
        <f t="shared" si="138"/>
        <v>0</v>
      </c>
      <c r="AZ209" s="41">
        <f t="shared" si="139"/>
        <v>0</v>
      </c>
      <c r="BA209" s="50">
        <f t="shared" si="140"/>
        <v>0</v>
      </c>
      <c r="BB209" s="41">
        <f t="shared" si="141"/>
        <v>0</v>
      </c>
      <c r="BC209" s="41">
        <f t="shared" si="142"/>
        <v>0</v>
      </c>
      <c r="BD209" s="50">
        <f t="shared" si="143"/>
        <v>0</v>
      </c>
      <c r="BE209" s="41">
        <f t="shared" si="144"/>
        <v>25</v>
      </c>
      <c r="BF209" s="41">
        <f t="shared" si="145"/>
        <v>0</v>
      </c>
      <c r="BG209" s="50">
        <f t="shared" si="146"/>
        <v>0</v>
      </c>
      <c r="BH209" s="41">
        <f t="shared" si="147"/>
        <v>45</v>
      </c>
      <c r="BI209" s="41">
        <f t="shared" si="148"/>
        <v>10</v>
      </c>
      <c r="BJ209" s="41">
        <f t="shared" si="149"/>
        <v>20</v>
      </c>
      <c r="BK209" s="56">
        <f t="shared" si="150"/>
        <v>100</v>
      </c>
      <c r="BL209" s="41">
        <f t="shared" si="151"/>
        <v>0</v>
      </c>
      <c r="BM209" s="41">
        <f t="shared" si="152"/>
        <v>0</v>
      </c>
      <c r="BN209" s="41">
        <f t="shared" si="153"/>
        <v>25</v>
      </c>
      <c r="BO209" s="41">
        <f t="shared" si="154"/>
        <v>75</v>
      </c>
    </row>
    <row r="210" spans="1:67" ht="13.5" customHeight="1" x14ac:dyDescent="0.25">
      <c r="A210" s="36" t="s">
        <v>639</v>
      </c>
      <c r="B210" s="72" t="s">
        <v>169</v>
      </c>
      <c r="C210" s="34">
        <v>0</v>
      </c>
      <c r="D210" s="34">
        <v>0</v>
      </c>
      <c r="E210" s="52">
        <v>0</v>
      </c>
      <c r="F210" s="34">
        <v>0</v>
      </c>
      <c r="G210" s="34">
        <v>0</v>
      </c>
      <c r="H210" s="52">
        <v>0</v>
      </c>
      <c r="I210" s="34">
        <v>35</v>
      </c>
      <c r="J210" s="34">
        <v>0</v>
      </c>
      <c r="K210" s="52">
        <v>0</v>
      </c>
      <c r="L210" s="34">
        <v>0</v>
      </c>
      <c r="M210" s="34">
        <v>0</v>
      </c>
      <c r="N210" s="46">
        <v>0</v>
      </c>
      <c r="O210" s="34">
        <v>0</v>
      </c>
      <c r="P210" s="34">
        <v>0</v>
      </c>
      <c r="Q210" s="52">
        <v>0</v>
      </c>
      <c r="R210" s="34">
        <v>0</v>
      </c>
      <c r="S210" s="34">
        <v>0</v>
      </c>
      <c r="T210" s="52">
        <v>0</v>
      </c>
      <c r="U210" s="34">
        <v>0</v>
      </c>
      <c r="V210" s="34">
        <v>0</v>
      </c>
      <c r="W210" s="52">
        <v>0</v>
      </c>
      <c r="X210" s="34">
        <v>0</v>
      </c>
      <c r="Y210" s="34">
        <v>0</v>
      </c>
      <c r="Z210" s="46">
        <v>0</v>
      </c>
      <c r="AA210" s="34">
        <v>0</v>
      </c>
      <c r="AB210" s="34">
        <v>0</v>
      </c>
      <c r="AC210" s="52">
        <v>0</v>
      </c>
      <c r="AD210" s="34">
        <v>0</v>
      </c>
      <c r="AE210" s="34">
        <v>0</v>
      </c>
      <c r="AF210" s="52">
        <v>0</v>
      </c>
      <c r="AG210" s="34">
        <v>26</v>
      </c>
      <c r="AH210" s="34">
        <v>16</v>
      </c>
      <c r="AI210" s="52">
        <v>10</v>
      </c>
      <c r="AJ210" s="34">
        <v>0</v>
      </c>
      <c r="AK210" s="34">
        <v>0</v>
      </c>
      <c r="AL210" s="46">
        <v>0</v>
      </c>
      <c r="AM210" s="34">
        <v>0</v>
      </c>
      <c r="AN210" s="34">
        <v>0</v>
      </c>
      <c r="AO210" s="52">
        <v>0</v>
      </c>
      <c r="AP210" s="34">
        <v>0</v>
      </c>
      <c r="AQ210" s="34">
        <v>0</v>
      </c>
      <c r="AR210" s="52">
        <v>0</v>
      </c>
      <c r="AS210" s="34">
        <v>0</v>
      </c>
      <c r="AT210" s="34">
        <v>0</v>
      </c>
      <c r="AU210" s="52">
        <v>0</v>
      </c>
      <c r="AV210" s="34">
        <v>0</v>
      </c>
      <c r="AW210" s="34">
        <v>0</v>
      </c>
      <c r="AX210" s="46">
        <v>0</v>
      </c>
      <c r="AY210" s="41">
        <f t="shared" si="138"/>
        <v>0</v>
      </c>
      <c r="AZ210" s="41">
        <f t="shared" si="139"/>
        <v>0</v>
      </c>
      <c r="BA210" s="50">
        <f t="shared" si="140"/>
        <v>0</v>
      </c>
      <c r="BB210" s="41">
        <f t="shared" si="141"/>
        <v>0</v>
      </c>
      <c r="BC210" s="41">
        <f t="shared" si="142"/>
        <v>0</v>
      </c>
      <c r="BD210" s="50">
        <f t="shared" si="143"/>
        <v>0</v>
      </c>
      <c r="BE210" s="41">
        <f t="shared" si="144"/>
        <v>61</v>
      </c>
      <c r="BF210" s="41">
        <f t="shared" si="145"/>
        <v>16</v>
      </c>
      <c r="BG210" s="50">
        <f t="shared" si="146"/>
        <v>10</v>
      </c>
      <c r="BH210" s="41">
        <f t="shared" si="147"/>
        <v>0</v>
      </c>
      <c r="BI210" s="41">
        <f t="shared" si="148"/>
        <v>0</v>
      </c>
      <c r="BJ210" s="41">
        <f t="shared" si="149"/>
        <v>0</v>
      </c>
      <c r="BK210" s="56">
        <f t="shared" si="150"/>
        <v>87</v>
      </c>
      <c r="BL210" s="41">
        <f t="shared" si="151"/>
        <v>0</v>
      </c>
      <c r="BM210" s="41">
        <f t="shared" si="152"/>
        <v>0</v>
      </c>
      <c r="BN210" s="41">
        <f t="shared" si="153"/>
        <v>87</v>
      </c>
      <c r="BO210" s="41">
        <f t="shared" si="154"/>
        <v>0</v>
      </c>
    </row>
    <row r="211" spans="1:67" ht="13.5" customHeight="1" x14ac:dyDescent="0.25">
      <c r="A211" s="36" t="s">
        <v>660</v>
      </c>
      <c r="B211" s="68" t="s">
        <v>667</v>
      </c>
      <c r="C211" s="34">
        <v>0</v>
      </c>
      <c r="D211" s="34">
        <v>0</v>
      </c>
      <c r="E211" s="52"/>
      <c r="F211" s="34">
        <v>0</v>
      </c>
      <c r="G211" s="34">
        <v>0</v>
      </c>
      <c r="H211" s="52">
        <v>0</v>
      </c>
      <c r="I211" s="34">
        <v>0</v>
      </c>
      <c r="J211" s="34">
        <v>0</v>
      </c>
      <c r="K211" s="52">
        <v>0</v>
      </c>
      <c r="L211" s="34">
        <v>0</v>
      </c>
      <c r="M211" s="34">
        <v>0</v>
      </c>
      <c r="N211" s="46">
        <v>0</v>
      </c>
      <c r="O211" s="34">
        <v>0</v>
      </c>
      <c r="P211" s="34">
        <v>0</v>
      </c>
      <c r="Q211" s="52">
        <v>0</v>
      </c>
      <c r="R211" s="34">
        <v>0</v>
      </c>
      <c r="S211" s="34">
        <v>0</v>
      </c>
      <c r="T211" s="52">
        <v>0</v>
      </c>
      <c r="U211" s="34">
        <v>0</v>
      </c>
      <c r="V211" s="34">
        <v>0</v>
      </c>
      <c r="W211" s="52">
        <v>0</v>
      </c>
      <c r="X211" s="34">
        <v>0</v>
      </c>
      <c r="Y211" s="34">
        <v>0</v>
      </c>
      <c r="Z211" s="46">
        <v>0</v>
      </c>
      <c r="AA211" s="34">
        <v>10</v>
      </c>
      <c r="AB211" s="34">
        <v>0</v>
      </c>
      <c r="AC211" s="52">
        <v>0</v>
      </c>
      <c r="AD211" s="34">
        <v>10</v>
      </c>
      <c r="AE211" s="34">
        <v>0</v>
      </c>
      <c r="AF211" s="52">
        <v>0</v>
      </c>
      <c r="AG211" s="34">
        <v>0</v>
      </c>
      <c r="AH211" s="34">
        <v>0</v>
      </c>
      <c r="AI211" s="52">
        <v>0</v>
      </c>
      <c r="AJ211" s="34">
        <v>10</v>
      </c>
      <c r="AK211" s="34">
        <v>20</v>
      </c>
      <c r="AL211" s="46">
        <v>20</v>
      </c>
      <c r="AM211" s="34">
        <v>0</v>
      </c>
      <c r="AN211" s="34">
        <v>0</v>
      </c>
      <c r="AO211" s="52">
        <v>0</v>
      </c>
      <c r="AP211" s="34">
        <v>0</v>
      </c>
      <c r="AQ211" s="34">
        <v>0</v>
      </c>
      <c r="AR211" s="52">
        <v>0</v>
      </c>
      <c r="AS211" s="34">
        <v>0</v>
      </c>
      <c r="AT211" s="34">
        <v>0</v>
      </c>
      <c r="AU211" s="52">
        <v>0</v>
      </c>
      <c r="AV211" s="34">
        <v>0</v>
      </c>
      <c r="AW211" s="34">
        <v>0</v>
      </c>
      <c r="AX211" s="46">
        <v>0</v>
      </c>
      <c r="AY211" s="34">
        <f t="shared" si="138"/>
        <v>10</v>
      </c>
      <c r="AZ211" s="34">
        <f t="shared" si="139"/>
        <v>0</v>
      </c>
      <c r="BA211" s="52">
        <f t="shared" si="140"/>
        <v>0</v>
      </c>
      <c r="BB211" s="34">
        <f t="shared" si="141"/>
        <v>10</v>
      </c>
      <c r="BC211" s="34">
        <f t="shared" si="142"/>
        <v>0</v>
      </c>
      <c r="BD211" s="52">
        <f t="shared" si="143"/>
        <v>0</v>
      </c>
      <c r="BE211" s="34">
        <f t="shared" si="144"/>
        <v>0</v>
      </c>
      <c r="BF211" s="34">
        <f t="shared" si="145"/>
        <v>0</v>
      </c>
      <c r="BG211" s="52">
        <f t="shared" si="146"/>
        <v>0</v>
      </c>
      <c r="BH211" s="34">
        <f t="shared" si="147"/>
        <v>10</v>
      </c>
      <c r="BI211" s="34">
        <f t="shared" si="148"/>
        <v>20</v>
      </c>
      <c r="BJ211" s="34">
        <f t="shared" si="149"/>
        <v>20</v>
      </c>
      <c r="BK211" s="57">
        <f t="shared" si="150"/>
        <v>70</v>
      </c>
      <c r="BL211" s="34">
        <f t="shared" si="151"/>
        <v>10</v>
      </c>
      <c r="BM211" s="34">
        <f t="shared" si="152"/>
        <v>10</v>
      </c>
      <c r="BN211" s="34">
        <f t="shared" si="153"/>
        <v>0</v>
      </c>
      <c r="BO211" s="34">
        <f t="shared" si="154"/>
        <v>50</v>
      </c>
    </row>
    <row r="212" spans="1:67" ht="13.5" customHeight="1" x14ac:dyDescent="0.25">
      <c r="A212" s="36" t="s">
        <v>661</v>
      </c>
      <c r="B212" s="68" t="s">
        <v>670</v>
      </c>
      <c r="C212" s="34">
        <v>0</v>
      </c>
      <c r="D212" s="34">
        <v>0</v>
      </c>
      <c r="E212" s="52">
        <v>0</v>
      </c>
      <c r="F212" s="34">
        <v>0</v>
      </c>
      <c r="G212" s="34">
        <v>0</v>
      </c>
      <c r="H212" s="52">
        <v>0</v>
      </c>
      <c r="I212" s="34">
        <v>0</v>
      </c>
      <c r="J212" s="34">
        <v>0</v>
      </c>
      <c r="K212" s="52">
        <v>0</v>
      </c>
      <c r="L212" s="34">
        <v>0</v>
      </c>
      <c r="M212" s="34">
        <v>0</v>
      </c>
      <c r="N212" s="46">
        <v>0</v>
      </c>
      <c r="O212" s="34">
        <v>0</v>
      </c>
      <c r="P212" s="34">
        <v>0</v>
      </c>
      <c r="Q212" s="52">
        <v>0</v>
      </c>
      <c r="R212" s="34">
        <v>0</v>
      </c>
      <c r="S212" s="34">
        <v>0</v>
      </c>
      <c r="T212" s="52">
        <v>0</v>
      </c>
      <c r="U212" s="34">
        <v>0</v>
      </c>
      <c r="V212" s="34">
        <v>0</v>
      </c>
      <c r="W212" s="52">
        <v>0</v>
      </c>
      <c r="X212" s="34">
        <v>0</v>
      </c>
      <c r="Y212" s="34">
        <v>0</v>
      </c>
      <c r="Z212" s="46">
        <v>0</v>
      </c>
      <c r="AA212" s="34">
        <v>10</v>
      </c>
      <c r="AB212" s="34">
        <v>0</v>
      </c>
      <c r="AC212" s="52">
        <v>0</v>
      </c>
      <c r="AD212" s="34">
        <v>10</v>
      </c>
      <c r="AE212" s="34">
        <v>10</v>
      </c>
      <c r="AF212" s="52">
        <v>10</v>
      </c>
      <c r="AG212" s="34">
        <v>0</v>
      </c>
      <c r="AH212" s="34">
        <v>0</v>
      </c>
      <c r="AI212" s="52">
        <v>0</v>
      </c>
      <c r="AJ212" s="34">
        <v>0</v>
      </c>
      <c r="AK212" s="34">
        <v>0</v>
      </c>
      <c r="AL212" s="46">
        <v>0</v>
      </c>
      <c r="AM212" s="34">
        <v>0</v>
      </c>
      <c r="AN212" s="34">
        <v>0</v>
      </c>
      <c r="AO212" s="52">
        <v>0</v>
      </c>
      <c r="AP212" s="34">
        <v>0</v>
      </c>
      <c r="AQ212" s="34">
        <v>0</v>
      </c>
      <c r="AR212" s="52">
        <v>0</v>
      </c>
      <c r="AS212" s="34">
        <v>0</v>
      </c>
      <c r="AT212" s="34">
        <v>0</v>
      </c>
      <c r="AU212" s="52">
        <v>0</v>
      </c>
      <c r="AV212" s="34">
        <v>0</v>
      </c>
      <c r="AW212" s="34">
        <v>0</v>
      </c>
      <c r="AX212" s="46">
        <v>0</v>
      </c>
      <c r="AY212" s="34">
        <f t="shared" ref="AY212:AY226" si="155">C212+AA212+AM212</f>
        <v>10</v>
      </c>
      <c r="AZ212" s="34">
        <f t="shared" ref="AZ212:AZ226" si="156">D212+AB212+AN212</f>
        <v>0</v>
      </c>
      <c r="BA212" s="52">
        <f t="shared" ref="BA212:BA226" si="157">E212+AC212+AO212</f>
        <v>0</v>
      </c>
      <c r="BB212" s="34">
        <f t="shared" ref="BB212:BB226" si="158">F212+AD212+AP212</f>
        <v>10</v>
      </c>
      <c r="BC212" s="34">
        <f t="shared" ref="BC212:BC226" si="159">G212+AE212+AQ212</f>
        <v>10</v>
      </c>
      <c r="BD212" s="52">
        <f t="shared" ref="BD212:BD226" si="160">H212+AF212+AR212</f>
        <v>10</v>
      </c>
      <c r="BE212" s="34">
        <f t="shared" ref="BE212:BE226" si="161">I212+AG212+AS212</f>
        <v>0</v>
      </c>
      <c r="BF212" s="34">
        <f t="shared" ref="BF212:BF226" si="162">J212+AH212+AT212</f>
        <v>0</v>
      </c>
      <c r="BG212" s="52">
        <f t="shared" ref="BG212:BG226" si="163">K212+AI212+AU212</f>
        <v>0</v>
      </c>
      <c r="BH212" s="34">
        <f t="shared" ref="BH212:BH226" si="164">L212+AJ212+AV212</f>
        <v>0</v>
      </c>
      <c r="BI212" s="34">
        <f t="shared" ref="BI212:BI226" si="165">M212+AK212+AW212</f>
        <v>0</v>
      </c>
      <c r="BJ212" s="34">
        <f t="shared" ref="BJ212:BJ226" si="166">N212+AL212+AX212</f>
        <v>0</v>
      </c>
      <c r="BK212" s="57">
        <f t="shared" ref="BK212:BK226" si="167">BL212+BM212+BN212+BO212</f>
        <v>40</v>
      </c>
      <c r="BL212" s="34">
        <f t="shared" ref="BL212:BL226" si="168">AY212+AZ212+BA212</f>
        <v>10</v>
      </c>
      <c r="BM212" s="34">
        <f t="shared" ref="BM212:BM226" si="169">BB212+BC212+BD212</f>
        <v>30</v>
      </c>
      <c r="BN212" s="34">
        <f t="shared" ref="BN212:BN226" si="170">BE212+BF212+BG212</f>
        <v>0</v>
      </c>
      <c r="BO212" s="34">
        <f t="shared" ref="BO212:BO226" si="171">BH212+BI212+BJ212</f>
        <v>0</v>
      </c>
    </row>
    <row r="213" spans="1:67" ht="13.5" customHeight="1" x14ac:dyDescent="0.25">
      <c r="A213" s="36" t="s">
        <v>662</v>
      </c>
      <c r="B213" s="72" t="s">
        <v>159</v>
      </c>
      <c r="C213" s="34">
        <v>0</v>
      </c>
      <c r="D213" s="34">
        <v>0</v>
      </c>
      <c r="E213" s="52">
        <v>0</v>
      </c>
      <c r="F213" s="34">
        <v>0</v>
      </c>
      <c r="G213" s="34">
        <v>0</v>
      </c>
      <c r="H213" s="52">
        <v>0</v>
      </c>
      <c r="I213" s="34">
        <v>15</v>
      </c>
      <c r="J213" s="34">
        <v>0</v>
      </c>
      <c r="K213" s="52">
        <v>0</v>
      </c>
      <c r="L213" s="34">
        <v>0</v>
      </c>
      <c r="M213" s="34">
        <v>0</v>
      </c>
      <c r="N213" s="46">
        <v>0</v>
      </c>
      <c r="O213" s="34">
        <v>0</v>
      </c>
      <c r="P213" s="34">
        <v>0</v>
      </c>
      <c r="Q213" s="52">
        <v>0</v>
      </c>
      <c r="R213" s="34">
        <v>0</v>
      </c>
      <c r="S213" s="34">
        <v>0</v>
      </c>
      <c r="T213" s="52">
        <v>0</v>
      </c>
      <c r="U213" s="34">
        <v>0</v>
      </c>
      <c r="V213" s="34">
        <v>0</v>
      </c>
      <c r="W213" s="52">
        <v>0</v>
      </c>
      <c r="X213" s="34">
        <v>0</v>
      </c>
      <c r="Y213" s="34">
        <v>0</v>
      </c>
      <c r="Z213" s="46">
        <v>0</v>
      </c>
      <c r="AA213" s="34">
        <v>0</v>
      </c>
      <c r="AB213" s="34">
        <v>0</v>
      </c>
      <c r="AC213" s="52">
        <v>0</v>
      </c>
      <c r="AD213" s="34">
        <v>0</v>
      </c>
      <c r="AE213" s="34">
        <v>0</v>
      </c>
      <c r="AF213" s="52">
        <v>0</v>
      </c>
      <c r="AG213" s="34">
        <v>10</v>
      </c>
      <c r="AH213" s="34">
        <v>0</v>
      </c>
      <c r="AI213" s="52">
        <v>10</v>
      </c>
      <c r="AJ213" s="34">
        <v>0</v>
      </c>
      <c r="AK213" s="34">
        <v>0</v>
      </c>
      <c r="AL213" s="46">
        <v>0</v>
      </c>
      <c r="AM213" s="34">
        <v>0</v>
      </c>
      <c r="AN213" s="34">
        <v>0</v>
      </c>
      <c r="AO213" s="52">
        <v>0</v>
      </c>
      <c r="AP213" s="34">
        <v>0</v>
      </c>
      <c r="AQ213" s="34">
        <v>0</v>
      </c>
      <c r="AR213" s="52">
        <v>0</v>
      </c>
      <c r="AS213" s="34">
        <v>0</v>
      </c>
      <c r="AT213" s="34">
        <v>0</v>
      </c>
      <c r="AU213" s="52">
        <v>0</v>
      </c>
      <c r="AV213" s="34">
        <v>0</v>
      </c>
      <c r="AW213" s="34">
        <v>0</v>
      </c>
      <c r="AX213" s="46">
        <v>0</v>
      </c>
      <c r="AY213" s="41">
        <f t="shared" si="155"/>
        <v>0</v>
      </c>
      <c r="AZ213" s="41">
        <f t="shared" si="156"/>
        <v>0</v>
      </c>
      <c r="BA213" s="50">
        <f t="shared" si="157"/>
        <v>0</v>
      </c>
      <c r="BB213" s="41">
        <f t="shared" si="158"/>
        <v>0</v>
      </c>
      <c r="BC213" s="41">
        <f t="shared" si="159"/>
        <v>0</v>
      </c>
      <c r="BD213" s="50">
        <f t="shared" si="160"/>
        <v>0</v>
      </c>
      <c r="BE213" s="41">
        <f t="shared" si="161"/>
        <v>25</v>
      </c>
      <c r="BF213" s="41">
        <f t="shared" si="162"/>
        <v>0</v>
      </c>
      <c r="BG213" s="50">
        <f t="shared" si="163"/>
        <v>10</v>
      </c>
      <c r="BH213" s="41">
        <f t="shared" si="164"/>
        <v>0</v>
      </c>
      <c r="BI213" s="41">
        <f t="shared" si="165"/>
        <v>0</v>
      </c>
      <c r="BJ213" s="41">
        <f t="shared" si="166"/>
        <v>0</v>
      </c>
      <c r="BK213" s="56">
        <f t="shared" si="167"/>
        <v>35</v>
      </c>
      <c r="BL213" s="41">
        <f t="shared" si="168"/>
        <v>0</v>
      </c>
      <c r="BM213" s="41">
        <f t="shared" si="169"/>
        <v>0</v>
      </c>
      <c r="BN213" s="41">
        <f t="shared" si="170"/>
        <v>35</v>
      </c>
      <c r="BO213" s="41">
        <f t="shared" si="171"/>
        <v>0</v>
      </c>
    </row>
    <row r="214" spans="1:67" ht="13.5" customHeight="1" x14ac:dyDescent="0.25">
      <c r="A214" s="36" t="s">
        <v>663</v>
      </c>
      <c r="B214" s="62" t="s">
        <v>1145</v>
      </c>
      <c r="C214" s="41">
        <v>60</v>
      </c>
      <c r="D214" s="41">
        <v>60</v>
      </c>
      <c r="E214" s="50">
        <v>45</v>
      </c>
      <c r="F214" s="41">
        <v>0</v>
      </c>
      <c r="G214" s="41">
        <v>0</v>
      </c>
      <c r="H214" s="50">
        <v>0</v>
      </c>
      <c r="I214" s="41">
        <v>0</v>
      </c>
      <c r="J214" s="41">
        <v>0</v>
      </c>
      <c r="K214" s="50">
        <v>0</v>
      </c>
      <c r="L214" s="41">
        <v>0</v>
      </c>
      <c r="M214" s="41">
        <v>0</v>
      </c>
      <c r="N214" s="46">
        <v>0</v>
      </c>
      <c r="O214" s="41">
        <v>0</v>
      </c>
      <c r="P214" s="41">
        <v>0</v>
      </c>
      <c r="Q214" s="50">
        <v>0</v>
      </c>
      <c r="R214" s="41">
        <v>0</v>
      </c>
      <c r="S214" s="41">
        <v>0</v>
      </c>
      <c r="T214" s="50">
        <v>0</v>
      </c>
      <c r="U214" s="41">
        <v>0</v>
      </c>
      <c r="V214" s="41">
        <v>0</v>
      </c>
      <c r="W214" s="52">
        <v>0</v>
      </c>
      <c r="X214" s="41">
        <v>0</v>
      </c>
      <c r="Y214" s="41">
        <v>0</v>
      </c>
      <c r="Z214" s="48">
        <v>0</v>
      </c>
      <c r="AA214" s="41">
        <v>75</v>
      </c>
      <c r="AB214" s="41">
        <v>20</v>
      </c>
      <c r="AC214" s="50">
        <v>10</v>
      </c>
      <c r="AD214" s="41">
        <v>0</v>
      </c>
      <c r="AE214" s="41">
        <v>0</v>
      </c>
      <c r="AF214" s="50">
        <v>0</v>
      </c>
      <c r="AG214" s="41">
        <v>0</v>
      </c>
      <c r="AH214" s="41">
        <v>0</v>
      </c>
      <c r="AI214" s="50">
        <v>0</v>
      </c>
      <c r="AJ214" s="41">
        <v>0</v>
      </c>
      <c r="AK214" s="41">
        <v>0</v>
      </c>
      <c r="AL214" s="48">
        <v>0</v>
      </c>
      <c r="AM214" s="41">
        <v>12</v>
      </c>
      <c r="AN214" s="41">
        <v>10</v>
      </c>
      <c r="AO214" s="50">
        <v>15</v>
      </c>
      <c r="AP214" s="41">
        <v>0</v>
      </c>
      <c r="AQ214" s="41">
        <v>0</v>
      </c>
      <c r="AR214" s="50">
        <v>0</v>
      </c>
      <c r="AS214" s="41">
        <v>0</v>
      </c>
      <c r="AT214" s="41">
        <v>0</v>
      </c>
      <c r="AU214" s="50">
        <v>0</v>
      </c>
      <c r="AV214" s="41">
        <v>0</v>
      </c>
      <c r="AW214" s="41">
        <v>0</v>
      </c>
      <c r="AX214" s="48">
        <v>0</v>
      </c>
      <c r="AY214" s="41">
        <f t="shared" si="155"/>
        <v>147</v>
      </c>
      <c r="AZ214" s="41">
        <f t="shared" si="156"/>
        <v>90</v>
      </c>
      <c r="BA214" s="50">
        <f t="shared" si="157"/>
        <v>70</v>
      </c>
      <c r="BB214" s="41">
        <f t="shared" si="158"/>
        <v>0</v>
      </c>
      <c r="BC214" s="41">
        <f t="shared" si="159"/>
        <v>0</v>
      </c>
      <c r="BD214" s="50">
        <f t="shared" si="160"/>
        <v>0</v>
      </c>
      <c r="BE214" s="41">
        <f t="shared" si="161"/>
        <v>0</v>
      </c>
      <c r="BF214" s="41">
        <f t="shared" si="162"/>
        <v>0</v>
      </c>
      <c r="BG214" s="50">
        <f t="shared" si="163"/>
        <v>0</v>
      </c>
      <c r="BH214" s="41">
        <f t="shared" si="164"/>
        <v>0</v>
      </c>
      <c r="BI214" s="41">
        <f t="shared" si="165"/>
        <v>0</v>
      </c>
      <c r="BJ214" s="41">
        <f t="shared" si="166"/>
        <v>0</v>
      </c>
      <c r="BK214" s="56">
        <f t="shared" si="167"/>
        <v>307</v>
      </c>
      <c r="BL214" s="41">
        <f t="shared" si="168"/>
        <v>307</v>
      </c>
      <c r="BM214" s="41">
        <f t="shared" si="169"/>
        <v>0</v>
      </c>
      <c r="BN214" s="41">
        <f t="shared" si="170"/>
        <v>0</v>
      </c>
      <c r="BO214" s="41">
        <f t="shared" si="171"/>
        <v>0</v>
      </c>
    </row>
    <row r="215" spans="1:67" ht="13.5" customHeight="1" x14ac:dyDescent="0.25">
      <c r="A215" s="36" t="s">
        <v>664</v>
      </c>
      <c r="B215" s="62"/>
      <c r="C215" s="41">
        <v>0</v>
      </c>
      <c r="D215" s="41">
        <v>0</v>
      </c>
      <c r="E215" s="50">
        <v>0</v>
      </c>
      <c r="F215" s="41">
        <v>0</v>
      </c>
      <c r="G215" s="41">
        <v>0</v>
      </c>
      <c r="H215" s="50">
        <v>0</v>
      </c>
      <c r="I215" s="41">
        <v>0</v>
      </c>
      <c r="J215" s="41">
        <v>0</v>
      </c>
      <c r="K215" s="50">
        <v>0</v>
      </c>
      <c r="L215" s="41">
        <v>0</v>
      </c>
      <c r="M215" s="41">
        <v>0</v>
      </c>
      <c r="N215" s="46">
        <v>0</v>
      </c>
      <c r="O215" s="41">
        <v>0</v>
      </c>
      <c r="P215" s="41">
        <v>0</v>
      </c>
      <c r="Q215" s="50">
        <v>0</v>
      </c>
      <c r="R215" s="41">
        <v>0</v>
      </c>
      <c r="S215" s="41">
        <v>0</v>
      </c>
      <c r="T215" s="50">
        <v>0</v>
      </c>
      <c r="U215" s="41">
        <v>0</v>
      </c>
      <c r="V215" s="41">
        <v>0</v>
      </c>
      <c r="W215" s="52">
        <v>0</v>
      </c>
      <c r="X215" s="41">
        <v>0</v>
      </c>
      <c r="Y215" s="41">
        <v>0</v>
      </c>
      <c r="Z215" s="48">
        <v>0</v>
      </c>
      <c r="AA215" s="41">
        <v>0</v>
      </c>
      <c r="AB215" s="41">
        <v>0</v>
      </c>
      <c r="AC215" s="50">
        <v>0</v>
      </c>
      <c r="AD215" s="41">
        <v>0</v>
      </c>
      <c r="AE215" s="41">
        <v>0</v>
      </c>
      <c r="AF215" s="50">
        <v>0</v>
      </c>
      <c r="AG215" s="41">
        <v>0</v>
      </c>
      <c r="AH215" s="41">
        <v>0</v>
      </c>
      <c r="AI215" s="50">
        <v>0</v>
      </c>
      <c r="AJ215" s="41">
        <v>0</v>
      </c>
      <c r="AK215" s="41">
        <v>0</v>
      </c>
      <c r="AL215" s="48">
        <v>0</v>
      </c>
      <c r="AM215" s="41">
        <v>0</v>
      </c>
      <c r="AN215" s="41">
        <v>0</v>
      </c>
      <c r="AO215" s="50">
        <v>0</v>
      </c>
      <c r="AP215" s="41">
        <v>0</v>
      </c>
      <c r="AQ215" s="41">
        <v>0</v>
      </c>
      <c r="AR215" s="50">
        <v>0</v>
      </c>
      <c r="AS215" s="41">
        <v>0</v>
      </c>
      <c r="AT215" s="41">
        <v>0</v>
      </c>
      <c r="AU215" s="50">
        <v>0</v>
      </c>
      <c r="AV215" s="41">
        <v>0</v>
      </c>
      <c r="AW215" s="41">
        <v>0</v>
      </c>
      <c r="AX215" s="48">
        <v>0</v>
      </c>
      <c r="AY215" s="41">
        <f t="shared" si="155"/>
        <v>0</v>
      </c>
      <c r="AZ215" s="41">
        <f t="shared" si="156"/>
        <v>0</v>
      </c>
      <c r="BA215" s="50">
        <f t="shared" si="157"/>
        <v>0</v>
      </c>
      <c r="BB215" s="41">
        <f t="shared" si="158"/>
        <v>0</v>
      </c>
      <c r="BC215" s="41">
        <f t="shared" si="159"/>
        <v>0</v>
      </c>
      <c r="BD215" s="50">
        <f t="shared" si="160"/>
        <v>0</v>
      </c>
      <c r="BE215" s="41">
        <f t="shared" si="161"/>
        <v>0</v>
      </c>
      <c r="BF215" s="41">
        <f t="shared" si="162"/>
        <v>0</v>
      </c>
      <c r="BG215" s="50">
        <f t="shared" si="163"/>
        <v>0</v>
      </c>
      <c r="BH215" s="41">
        <f t="shared" si="164"/>
        <v>0</v>
      </c>
      <c r="BI215" s="41">
        <f t="shared" si="165"/>
        <v>0</v>
      </c>
      <c r="BJ215" s="41">
        <f t="shared" si="166"/>
        <v>0</v>
      </c>
      <c r="BK215" s="56">
        <f t="shared" si="167"/>
        <v>0</v>
      </c>
      <c r="BL215" s="41">
        <f t="shared" si="168"/>
        <v>0</v>
      </c>
      <c r="BM215" s="41">
        <f t="shared" si="169"/>
        <v>0</v>
      </c>
      <c r="BN215" s="41">
        <f t="shared" si="170"/>
        <v>0</v>
      </c>
      <c r="BO215" s="41">
        <f t="shared" si="171"/>
        <v>0</v>
      </c>
    </row>
    <row r="216" spans="1:67" ht="13.5" customHeight="1" x14ac:dyDescent="0.25">
      <c r="A216" s="36" t="s">
        <v>1131</v>
      </c>
      <c r="B216" s="382"/>
      <c r="C216" s="41">
        <v>0</v>
      </c>
      <c r="D216" s="41">
        <v>0</v>
      </c>
      <c r="E216" s="50">
        <v>0</v>
      </c>
      <c r="F216" s="41">
        <v>0</v>
      </c>
      <c r="G216" s="41">
        <v>0</v>
      </c>
      <c r="H216" s="50">
        <v>0</v>
      </c>
      <c r="I216" s="41">
        <v>0</v>
      </c>
      <c r="J216" s="41">
        <v>0</v>
      </c>
      <c r="K216" s="50">
        <v>0</v>
      </c>
      <c r="L216" s="41">
        <v>0</v>
      </c>
      <c r="M216" s="41">
        <v>0</v>
      </c>
      <c r="N216" s="46">
        <v>0</v>
      </c>
      <c r="O216" s="41">
        <v>0</v>
      </c>
      <c r="P216" s="41">
        <v>0</v>
      </c>
      <c r="Q216" s="50">
        <v>0</v>
      </c>
      <c r="R216" s="41">
        <v>0</v>
      </c>
      <c r="S216" s="41">
        <v>0</v>
      </c>
      <c r="T216" s="50">
        <v>0</v>
      </c>
      <c r="U216" s="41">
        <v>0</v>
      </c>
      <c r="V216" s="41">
        <v>0</v>
      </c>
      <c r="W216" s="52">
        <v>0</v>
      </c>
      <c r="X216" s="41">
        <v>0</v>
      </c>
      <c r="Y216" s="41">
        <v>0</v>
      </c>
      <c r="Z216" s="48">
        <v>0</v>
      </c>
      <c r="AA216" s="41">
        <v>0</v>
      </c>
      <c r="AB216" s="41">
        <v>0</v>
      </c>
      <c r="AC216" s="50">
        <v>0</v>
      </c>
      <c r="AD216" s="41">
        <v>0</v>
      </c>
      <c r="AE216" s="41">
        <v>0</v>
      </c>
      <c r="AF216" s="50">
        <v>0</v>
      </c>
      <c r="AG216" s="41">
        <v>0</v>
      </c>
      <c r="AH216" s="41">
        <v>0</v>
      </c>
      <c r="AI216" s="50">
        <v>0</v>
      </c>
      <c r="AJ216" s="41">
        <v>0</v>
      </c>
      <c r="AK216" s="41">
        <v>0</v>
      </c>
      <c r="AL216" s="48">
        <v>0</v>
      </c>
      <c r="AM216" s="41">
        <v>0</v>
      </c>
      <c r="AN216" s="41">
        <v>0</v>
      </c>
      <c r="AO216" s="50">
        <v>0</v>
      </c>
      <c r="AP216" s="41">
        <v>0</v>
      </c>
      <c r="AQ216" s="41">
        <v>0</v>
      </c>
      <c r="AR216" s="50">
        <v>0</v>
      </c>
      <c r="AS216" s="41">
        <v>0</v>
      </c>
      <c r="AT216" s="41">
        <v>0</v>
      </c>
      <c r="AU216" s="50">
        <v>0</v>
      </c>
      <c r="AV216" s="41">
        <v>0</v>
      </c>
      <c r="AW216" s="41">
        <v>0</v>
      </c>
      <c r="AX216" s="48">
        <v>0</v>
      </c>
      <c r="AY216" s="41">
        <f t="shared" si="155"/>
        <v>0</v>
      </c>
      <c r="AZ216" s="41">
        <f t="shared" si="156"/>
        <v>0</v>
      </c>
      <c r="BA216" s="50">
        <f t="shared" si="157"/>
        <v>0</v>
      </c>
      <c r="BB216" s="41">
        <f t="shared" si="158"/>
        <v>0</v>
      </c>
      <c r="BC216" s="41">
        <f t="shared" si="159"/>
        <v>0</v>
      </c>
      <c r="BD216" s="50">
        <f t="shared" si="160"/>
        <v>0</v>
      </c>
      <c r="BE216" s="41">
        <f t="shared" si="161"/>
        <v>0</v>
      </c>
      <c r="BF216" s="41">
        <f t="shared" si="162"/>
        <v>0</v>
      </c>
      <c r="BG216" s="50">
        <f t="shared" si="163"/>
        <v>0</v>
      </c>
      <c r="BH216" s="41">
        <f t="shared" si="164"/>
        <v>0</v>
      </c>
      <c r="BI216" s="41">
        <f t="shared" si="165"/>
        <v>0</v>
      </c>
      <c r="BJ216" s="41">
        <f t="shared" si="166"/>
        <v>0</v>
      </c>
      <c r="BK216" s="56">
        <f t="shared" si="167"/>
        <v>0</v>
      </c>
      <c r="BL216" s="41">
        <f t="shared" si="168"/>
        <v>0</v>
      </c>
      <c r="BM216" s="41">
        <f t="shared" si="169"/>
        <v>0</v>
      </c>
      <c r="BN216" s="41">
        <f t="shared" si="170"/>
        <v>0</v>
      </c>
      <c r="BO216" s="41">
        <f t="shared" si="171"/>
        <v>0</v>
      </c>
    </row>
    <row r="217" spans="1:67" ht="13.5" customHeight="1" x14ac:dyDescent="0.25">
      <c r="A217" s="36" t="s">
        <v>1132</v>
      </c>
      <c r="B217" s="382"/>
      <c r="C217" s="41">
        <v>0</v>
      </c>
      <c r="D217" s="41">
        <v>0</v>
      </c>
      <c r="E217" s="50">
        <v>0</v>
      </c>
      <c r="F217" s="41">
        <v>0</v>
      </c>
      <c r="G217" s="41">
        <v>0</v>
      </c>
      <c r="H217" s="50">
        <v>0</v>
      </c>
      <c r="I217" s="41">
        <v>0</v>
      </c>
      <c r="J217" s="41">
        <v>0</v>
      </c>
      <c r="K217" s="50">
        <v>0</v>
      </c>
      <c r="L217" s="41">
        <v>0</v>
      </c>
      <c r="M217" s="41">
        <v>0</v>
      </c>
      <c r="N217" s="46">
        <v>0</v>
      </c>
      <c r="O217" s="41">
        <v>0</v>
      </c>
      <c r="P217" s="41">
        <v>0</v>
      </c>
      <c r="Q217" s="50">
        <v>0</v>
      </c>
      <c r="R217" s="41">
        <v>0</v>
      </c>
      <c r="S217" s="41">
        <v>0</v>
      </c>
      <c r="T217" s="50">
        <v>0</v>
      </c>
      <c r="U217" s="41">
        <v>0</v>
      </c>
      <c r="V217" s="41">
        <v>0</v>
      </c>
      <c r="W217" s="52">
        <v>0</v>
      </c>
      <c r="X217" s="41">
        <v>0</v>
      </c>
      <c r="Y217" s="41">
        <v>0</v>
      </c>
      <c r="Z217" s="48">
        <v>0</v>
      </c>
      <c r="AA217" s="41">
        <v>0</v>
      </c>
      <c r="AB217" s="41">
        <v>0</v>
      </c>
      <c r="AC217" s="50">
        <v>0</v>
      </c>
      <c r="AD217" s="41">
        <v>0</v>
      </c>
      <c r="AE217" s="41">
        <v>0</v>
      </c>
      <c r="AF217" s="50">
        <v>0</v>
      </c>
      <c r="AG217" s="41">
        <v>0</v>
      </c>
      <c r="AH217" s="41">
        <v>0</v>
      </c>
      <c r="AI217" s="50">
        <v>0</v>
      </c>
      <c r="AJ217" s="41">
        <v>0</v>
      </c>
      <c r="AK217" s="41">
        <v>0</v>
      </c>
      <c r="AL217" s="48">
        <v>0</v>
      </c>
      <c r="AM217" s="41">
        <v>0</v>
      </c>
      <c r="AN217" s="41">
        <v>0</v>
      </c>
      <c r="AO217" s="50">
        <v>0</v>
      </c>
      <c r="AP217" s="41">
        <v>0</v>
      </c>
      <c r="AQ217" s="41">
        <v>0</v>
      </c>
      <c r="AR217" s="50">
        <v>0</v>
      </c>
      <c r="AS217" s="41">
        <v>0</v>
      </c>
      <c r="AT217" s="41">
        <v>0</v>
      </c>
      <c r="AU217" s="50">
        <v>0</v>
      </c>
      <c r="AV217" s="41">
        <v>0</v>
      </c>
      <c r="AW217" s="41">
        <v>0</v>
      </c>
      <c r="AX217" s="48">
        <v>0</v>
      </c>
      <c r="AY217" s="41">
        <f t="shared" si="155"/>
        <v>0</v>
      </c>
      <c r="AZ217" s="41">
        <f t="shared" si="156"/>
        <v>0</v>
      </c>
      <c r="BA217" s="50">
        <f t="shared" si="157"/>
        <v>0</v>
      </c>
      <c r="BB217" s="41">
        <f t="shared" si="158"/>
        <v>0</v>
      </c>
      <c r="BC217" s="41">
        <f t="shared" si="159"/>
        <v>0</v>
      </c>
      <c r="BD217" s="50">
        <f t="shared" si="160"/>
        <v>0</v>
      </c>
      <c r="BE217" s="41">
        <f t="shared" si="161"/>
        <v>0</v>
      </c>
      <c r="BF217" s="41">
        <f t="shared" si="162"/>
        <v>0</v>
      </c>
      <c r="BG217" s="50">
        <f t="shared" si="163"/>
        <v>0</v>
      </c>
      <c r="BH217" s="41">
        <f t="shared" si="164"/>
        <v>0</v>
      </c>
      <c r="BI217" s="41">
        <f t="shared" si="165"/>
        <v>0</v>
      </c>
      <c r="BJ217" s="41">
        <f t="shared" si="166"/>
        <v>0</v>
      </c>
      <c r="BK217" s="56">
        <f t="shared" si="167"/>
        <v>0</v>
      </c>
      <c r="BL217" s="41">
        <f t="shared" si="168"/>
        <v>0</v>
      </c>
      <c r="BM217" s="41">
        <f t="shared" si="169"/>
        <v>0</v>
      </c>
      <c r="BN217" s="41">
        <f t="shared" si="170"/>
        <v>0</v>
      </c>
      <c r="BO217" s="41">
        <f t="shared" si="171"/>
        <v>0</v>
      </c>
    </row>
    <row r="218" spans="1:67" ht="13.5" customHeight="1" x14ac:dyDescent="0.25">
      <c r="A218" s="36" t="s">
        <v>1133</v>
      </c>
      <c r="B218" s="382"/>
      <c r="C218" s="41">
        <v>0</v>
      </c>
      <c r="D218" s="41">
        <v>0</v>
      </c>
      <c r="E218" s="50">
        <v>0</v>
      </c>
      <c r="F218" s="41">
        <v>0</v>
      </c>
      <c r="G218" s="41">
        <v>0</v>
      </c>
      <c r="H218" s="50">
        <v>0</v>
      </c>
      <c r="I218" s="41">
        <v>0</v>
      </c>
      <c r="J218" s="41">
        <v>0</v>
      </c>
      <c r="K218" s="50">
        <v>0</v>
      </c>
      <c r="L218" s="41">
        <v>0</v>
      </c>
      <c r="M218" s="41">
        <v>0</v>
      </c>
      <c r="N218" s="46">
        <v>0</v>
      </c>
      <c r="O218" s="41">
        <v>0</v>
      </c>
      <c r="P218" s="41">
        <v>0</v>
      </c>
      <c r="Q218" s="50">
        <v>0</v>
      </c>
      <c r="R218" s="41">
        <v>0</v>
      </c>
      <c r="S218" s="41">
        <v>0</v>
      </c>
      <c r="T218" s="50">
        <v>0</v>
      </c>
      <c r="U218" s="41">
        <v>0</v>
      </c>
      <c r="V218" s="41">
        <v>0</v>
      </c>
      <c r="W218" s="52">
        <v>0</v>
      </c>
      <c r="X218" s="41">
        <v>0</v>
      </c>
      <c r="Y218" s="41">
        <v>0</v>
      </c>
      <c r="Z218" s="48">
        <v>0</v>
      </c>
      <c r="AA218" s="41">
        <v>0</v>
      </c>
      <c r="AB218" s="41">
        <v>0</v>
      </c>
      <c r="AC218" s="50">
        <v>0</v>
      </c>
      <c r="AD218" s="41">
        <v>0</v>
      </c>
      <c r="AE218" s="41">
        <v>0</v>
      </c>
      <c r="AF218" s="50">
        <v>0</v>
      </c>
      <c r="AG218" s="41">
        <v>0</v>
      </c>
      <c r="AH218" s="41">
        <v>0</v>
      </c>
      <c r="AI218" s="50">
        <v>0</v>
      </c>
      <c r="AJ218" s="41">
        <v>0</v>
      </c>
      <c r="AK218" s="41">
        <v>0</v>
      </c>
      <c r="AL218" s="48">
        <v>0</v>
      </c>
      <c r="AM218" s="41">
        <v>0</v>
      </c>
      <c r="AN218" s="41">
        <v>0</v>
      </c>
      <c r="AO218" s="50">
        <v>0</v>
      </c>
      <c r="AP218" s="41">
        <v>0</v>
      </c>
      <c r="AQ218" s="41">
        <v>0</v>
      </c>
      <c r="AR218" s="50">
        <v>0</v>
      </c>
      <c r="AS218" s="41">
        <v>0</v>
      </c>
      <c r="AT218" s="41">
        <v>0</v>
      </c>
      <c r="AU218" s="50">
        <v>0</v>
      </c>
      <c r="AV218" s="41">
        <v>0</v>
      </c>
      <c r="AW218" s="41">
        <v>0</v>
      </c>
      <c r="AX218" s="48">
        <v>0</v>
      </c>
      <c r="AY218" s="41">
        <f t="shared" si="155"/>
        <v>0</v>
      </c>
      <c r="AZ218" s="41">
        <f t="shared" si="156"/>
        <v>0</v>
      </c>
      <c r="BA218" s="50">
        <f t="shared" si="157"/>
        <v>0</v>
      </c>
      <c r="BB218" s="41">
        <f t="shared" si="158"/>
        <v>0</v>
      </c>
      <c r="BC218" s="41">
        <f t="shared" si="159"/>
        <v>0</v>
      </c>
      <c r="BD218" s="50">
        <f t="shared" si="160"/>
        <v>0</v>
      </c>
      <c r="BE218" s="41">
        <f t="shared" si="161"/>
        <v>0</v>
      </c>
      <c r="BF218" s="41">
        <f t="shared" si="162"/>
        <v>0</v>
      </c>
      <c r="BG218" s="50">
        <f t="shared" si="163"/>
        <v>0</v>
      </c>
      <c r="BH218" s="41">
        <f t="shared" si="164"/>
        <v>0</v>
      </c>
      <c r="BI218" s="41">
        <f t="shared" si="165"/>
        <v>0</v>
      </c>
      <c r="BJ218" s="41">
        <f t="shared" si="166"/>
        <v>0</v>
      </c>
      <c r="BK218" s="56">
        <f t="shared" si="167"/>
        <v>0</v>
      </c>
      <c r="BL218" s="41">
        <f t="shared" si="168"/>
        <v>0</v>
      </c>
      <c r="BM218" s="41">
        <f t="shared" si="169"/>
        <v>0</v>
      </c>
      <c r="BN218" s="41">
        <f t="shared" si="170"/>
        <v>0</v>
      </c>
      <c r="BO218" s="41">
        <f t="shared" si="171"/>
        <v>0</v>
      </c>
    </row>
    <row r="219" spans="1:67" ht="13.5" customHeight="1" x14ac:dyDescent="0.25">
      <c r="A219" s="36" t="s">
        <v>1134</v>
      </c>
      <c r="B219" s="382"/>
      <c r="C219" s="41">
        <v>0</v>
      </c>
      <c r="D219" s="41">
        <v>0</v>
      </c>
      <c r="E219" s="50">
        <v>0</v>
      </c>
      <c r="F219" s="41">
        <v>0</v>
      </c>
      <c r="G219" s="41">
        <v>0</v>
      </c>
      <c r="H219" s="50">
        <v>0</v>
      </c>
      <c r="I219" s="41">
        <v>0</v>
      </c>
      <c r="J219" s="41">
        <v>0</v>
      </c>
      <c r="K219" s="50">
        <v>0</v>
      </c>
      <c r="L219" s="41">
        <v>0</v>
      </c>
      <c r="M219" s="41">
        <v>0</v>
      </c>
      <c r="N219" s="46">
        <v>0</v>
      </c>
      <c r="O219" s="41">
        <v>0</v>
      </c>
      <c r="P219" s="41">
        <v>0</v>
      </c>
      <c r="Q219" s="50">
        <v>0</v>
      </c>
      <c r="R219" s="41">
        <v>0</v>
      </c>
      <c r="S219" s="41">
        <v>0</v>
      </c>
      <c r="T219" s="50">
        <v>0</v>
      </c>
      <c r="U219" s="41">
        <v>0</v>
      </c>
      <c r="V219" s="41">
        <v>0</v>
      </c>
      <c r="W219" s="52">
        <v>0</v>
      </c>
      <c r="X219" s="41">
        <v>0</v>
      </c>
      <c r="Y219" s="41">
        <v>0</v>
      </c>
      <c r="Z219" s="48">
        <v>0</v>
      </c>
      <c r="AA219" s="41">
        <v>0</v>
      </c>
      <c r="AB219" s="41">
        <v>0</v>
      </c>
      <c r="AC219" s="50">
        <v>0</v>
      </c>
      <c r="AD219" s="41">
        <v>0</v>
      </c>
      <c r="AE219" s="41">
        <v>0</v>
      </c>
      <c r="AF219" s="50">
        <v>0</v>
      </c>
      <c r="AG219" s="41">
        <v>0</v>
      </c>
      <c r="AH219" s="41">
        <v>0</v>
      </c>
      <c r="AI219" s="50">
        <v>0</v>
      </c>
      <c r="AJ219" s="41">
        <v>0</v>
      </c>
      <c r="AK219" s="41">
        <v>0</v>
      </c>
      <c r="AL219" s="48">
        <v>0</v>
      </c>
      <c r="AM219" s="41">
        <v>0</v>
      </c>
      <c r="AN219" s="41">
        <v>0</v>
      </c>
      <c r="AO219" s="50">
        <v>0</v>
      </c>
      <c r="AP219" s="41">
        <v>0</v>
      </c>
      <c r="AQ219" s="41">
        <v>0</v>
      </c>
      <c r="AR219" s="50">
        <v>0</v>
      </c>
      <c r="AS219" s="41">
        <v>0</v>
      </c>
      <c r="AT219" s="41">
        <v>0</v>
      </c>
      <c r="AU219" s="50">
        <v>0</v>
      </c>
      <c r="AV219" s="41">
        <v>0</v>
      </c>
      <c r="AW219" s="41">
        <v>0</v>
      </c>
      <c r="AX219" s="48">
        <v>0</v>
      </c>
      <c r="AY219" s="41">
        <f t="shared" si="155"/>
        <v>0</v>
      </c>
      <c r="AZ219" s="41">
        <f t="shared" si="156"/>
        <v>0</v>
      </c>
      <c r="BA219" s="50">
        <f t="shared" si="157"/>
        <v>0</v>
      </c>
      <c r="BB219" s="41">
        <f t="shared" si="158"/>
        <v>0</v>
      </c>
      <c r="BC219" s="41">
        <f t="shared" si="159"/>
        <v>0</v>
      </c>
      <c r="BD219" s="50">
        <f t="shared" si="160"/>
        <v>0</v>
      </c>
      <c r="BE219" s="41">
        <f t="shared" si="161"/>
        <v>0</v>
      </c>
      <c r="BF219" s="41">
        <f t="shared" si="162"/>
        <v>0</v>
      </c>
      <c r="BG219" s="50">
        <f t="shared" si="163"/>
        <v>0</v>
      </c>
      <c r="BH219" s="41">
        <f t="shared" si="164"/>
        <v>0</v>
      </c>
      <c r="BI219" s="41">
        <f t="shared" si="165"/>
        <v>0</v>
      </c>
      <c r="BJ219" s="41">
        <f t="shared" si="166"/>
        <v>0</v>
      </c>
      <c r="BK219" s="56">
        <f t="shared" si="167"/>
        <v>0</v>
      </c>
      <c r="BL219" s="41">
        <f t="shared" si="168"/>
        <v>0</v>
      </c>
      <c r="BM219" s="41">
        <f t="shared" si="169"/>
        <v>0</v>
      </c>
      <c r="BN219" s="41">
        <f t="shared" si="170"/>
        <v>0</v>
      </c>
      <c r="BO219" s="41">
        <f t="shared" si="171"/>
        <v>0</v>
      </c>
    </row>
    <row r="220" spans="1:67" ht="13.5" customHeight="1" x14ac:dyDescent="0.25">
      <c r="A220" s="36" t="s">
        <v>1135</v>
      </c>
      <c r="B220" s="382"/>
      <c r="C220" s="41">
        <v>0</v>
      </c>
      <c r="D220" s="41">
        <v>0</v>
      </c>
      <c r="E220" s="50">
        <v>0</v>
      </c>
      <c r="F220" s="41">
        <v>0</v>
      </c>
      <c r="G220" s="41">
        <v>0</v>
      </c>
      <c r="H220" s="50">
        <v>0</v>
      </c>
      <c r="I220" s="41">
        <v>0</v>
      </c>
      <c r="J220" s="41">
        <v>0</v>
      </c>
      <c r="K220" s="50">
        <v>0</v>
      </c>
      <c r="L220" s="41">
        <v>0</v>
      </c>
      <c r="M220" s="41">
        <v>0</v>
      </c>
      <c r="N220" s="46">
        <v>0</v>
      </c>
      <c r="O220" s="41">
        <v>0</v>
      </c>
      <c r="P220" s="41">
        <v>0</v>
      </c>
      <c r="Q220" s="50">
        <v>0</v>
      </c>
      <c r="R220" s="41">
        <v>0</v>
      </c>
      <c r="S220" s="41">
        <v>0</v>
      </c>
      <c r="T220" s="50">
        <v>0</v>
      </c>
      <c r="U220" s="41">
        <v>0</v>
      </c>
      <c r="V220" s="41">
        <v>0</v>
      </c>
      <c r="W220" s="52">
        <v>0</v>
      </c>
      <c r="X220" s="41">
        <v>0</v>
      </c>
      <c r="Y220" s="41">
        <v>0</v>
      </c>
      <c r="Z220" s="48">
        <v>0</v>
      </c>
      <c r="AA220" s="41">
        <v>0</v>
      </c>
      <c r="AB220" s="41">
        <v>0</v>
      </c>
      <c r="AC220" s="50">
        <v>0</v>
      </c>
      <c r="AD220" s="41">
        <v>0</v>
      </c>
      <c r="AE220" s="41">
        <v>0</v>
      </c>
      <c r="AF220" s="50">
        <v>0</v>
      </c>
      <c r="AG220" s="41">
        <v>0</v>
      </c>
      <c r="AH220" s="41">
        <v>0</v>
      </c>
      <c r="AI220" s="50">
        <v>0</v>
      </c>
      <c r="AJ220" s="41">
        <v>0</v>
      </c>
      <c r="AK220" s="41">
        <v>0</v>
      </c>
      <c r="AL220" s="48">
        <v>0</v>
      </c>
      <c r="AM220" s="41">
        <v>0</v>
      </c>
      <c r="AN220" s="41">
        <v>0</v>
      </c>
      <c r="AO220" s="50">
        <v>0</v>
      </c>
      <c r="AP220" s="41">
        <v>0</v>
      </c>
      <c r="AQ220" s="41">
        <v>0</v>
      </c>
      <c r="AR220" s="50">
        <v>0</v>
      </c>
      <c r="AS220" s="41">
        <v>0</v>
      </c>
      <c r="AT220" s="41">
        <v>0</v>
      </c>
      <c r="AU220" s="50">
        <v>0</v>
      </c>
      <c r="AV220" s="41">
        <v>0</v>
      </c>
      <c r="AW220" s="41">
        <v>0</v>
      </c>
      <c r="AX220" s="48">
        <v>0</v>
      </c>
      <c r="AY220" s="41">
        <f t="shared" si="155"/>
        <v>0</v>
      </c>
      <c r="AZ220" s="41">
        <f t="shared" si="156"/>
        <v>0</v>
      </c>
      <c r="BA220" s="50">
        <f t="shared" si="157"/>
        <v>0</v>
      </c>
      <c r="BB220" s="41">
        <f t="shared" si="158"/>
        <v>0</v>
      </c>
      <c r="BC220" s="41">
        <f t="shared" si="159"/>
        <v>0</v>
      </c>
      <c r="BD220" s="50">
        <f t="shared" si="160"/>
        <v>0</v>
      </c>
      <c r="BE220" s="41">
        <f t="shared" si="161"/>
        <v>0</v>
      </c>
      <c r="BF220" s="41">
        <f t="shared" si="162"/>
        <v>0</v>
      </c>
      <c r="BG220" s="50">
        <f t="shared" si="163"/>
        <v>0</v>
      </c>
      <c r="BH220" s="41">
        <f t="shared" si="164"/>
        <v>0</v>
      </c>
      <c r="BI220" s="41">
        <f t="shared" si="165"/>
        <v>0</v>
      </c>
      <c r="BJ220" s="41">
        <f t="shared" si="166"/>
        <v>0</v>
      </c>
      <c r="BK220" s="56">
        <f t="shared" si="167"/>
        <v>0</v>
      </c>
      <c r="BL220" s="41">
        <f t="shared" si="168"/>
        <v>0</v>
      </c>
      <c r="BM220" s="41">
        <f t="shared" si="169"/>
        <v>0</v>
      </c>
      <c r="BN220" s="41">
        <f t="shared" si="170"/>
        <v>0</v>
      </c>
      <c r="BO220" s="41">
        <f t="shared" si="171"/>
        <v>0</v>
      </c>
    </row>
    <row r="221" spans="1:67" ht="13.5" customHeight="1" x14ac:dyDescent="0.25">
      <c r="A221" s="36" t="s">
        <v>1136</v>
      </c>
      <c r="B221" s="382"/>
      <c r="C221" s="41">
        <v>0</v>
      </c>
      <c r="D221" s="41">
        <v>0</v>
      </c>
      <c r="E221" s="50">
        <v>0</v>
      </c>
      <c r="F221" s="41">
        <v>0</v>
      </c>
      <c r="G221" s="41">
        <v>0</v>
      </c>
      <c r="H221" s="50">
        <v>0</v>
      </c>
      <c r="I221" s="41">
        <v>0</v>
      </c>
      <c r="J221" s="41">
        <v>0</v>
      </c>
      <c r="K221" s="50">
        <v>0</v>
      </c>
      <c r="L221" s="41">
        <v>0</v>
      </c>
      <c r="M221" s="41">
        <v>0</v>
      </c>
      <c r="N221" s="46">
        <v>0</v>
      </c>
      <c r="O221" s="41">
        <v>0</v>
      </c>
      <c r="P221" s="41">
        <v>0</v>
      </c>
      <c r="Q221" s="50">
        <v>0</v>
      </c>
      <c r="R221" s="41">
        <v>0</v>
      </c>
      <c r="S221" s="41">
        <v>0</v>
      </c>
      <c r="T221" s="50">
        <v>0</v>
      </c>
      <c r="U221" s="41">
        <v>0</v>
      </c>
      <c r="V221" s="41">
        <v>0</v>
      </c>
      <c r="W221" s="52">
        <v>0</v>
      </c>
      <c r="X221" s="41">
        <v>0</v>
      </c>
      <c r="Y221" s="41">
        <v>0</v>
      </c>
      <c r="Z221" s="48">
        <v>0</v>
      </c>
      <c r="AA221" s="41">
        <v>0</v>
      </c>
      <c r="AB221" s="41">
        <v>0</v>
      </c>
      <c r="AC221" s="50">
        <v>0</v>
      </c>
      <c r="AD221" s="41">
        <v>0</v>
      </c>
      <c r="AE221" s="41">
        <v>0</v>
      </c>
      <c r="AF221" s="50">
        <v>0</v>
      </c>
      <c r="AG221" s="41">
        <v>0</v>
      </c>
      <c r="AH221" s="41">
        <v>0</v>
      </c>
      <c r="AI221" s="50">
        <v>0</v>
      </c>
      <c r="AJ221" s="41">
        <v>0</v>
      </c>
      <c r="AK221" s="41">
        <v>0</v>
      </c>
      <c r="AL221" s="48">
        <v>0</v>
      </c>
      <c r="AM221" s="41">
        <v>0</v>
      </c>
      <c r="AN221" s="41">
        <v>0</v>
      </c>
      <c r="AO221" s="50">
        <v>0</v>
      </c>
      <c r="AP221" s="41">
        <v>0</v>
      </c>
      <c r="AQ221" s="41">
        <v>0</v>
      </c>
      <c r="AR221" s="50">
        <v>0</v>
      </c>
      <c r="AS221" s="41">
        <v>0</v>
      </c>
      <c r="AT221" s="41">
        <v>0</v>
      </c>
      <c r="AU221" s="50">
        <v>0</v>
      </c>
      <c r="AV221" s="41">
        <v>0</v>
      </c>
      <c r="AW221" s="41">
        <v>0</v>
      </c>
      <c r="AX221" s="48">
        <v>0</v>
      </c>
      <c r="AY221" s="192">
        <f t="shared" si="155"/>
        <v>0</v>
      </c>
      <c r="AZ221" s="192">
        <f t="shared" si="156"/>
        <v>0</v>
      </c>
      <c r="BA221" s="50">
        <f t="shared" si="157"/>
        <v>0</v>
      </c>
      <c r="BB221" s="192">
        <f t="shared" si="158"/>
        <v>0</v>
      </c>
      <c r="BC221" s="192">
        <f t="shared" si="159"/>
        <v>0</v>
      </c>
      <c r="BD221" s="50">
        <f t="shared" si="160"/>
        <v>0</v>
      </c>
      <c r="BE221" s="192">
        <f t="shared" si="161"/>
        <v>0</v>
      </c>
      <c r="BF221" s="192">
        <f t="shared" si="162"/>
        <v>0</v>
      </c>
      <c r="BG221" s="50">
        <f t="shared" si="163"/>
        <v>0</v>
      </c>
      <c r="BH221" s="192">
        <f t="shared" si="164"/>
        <v>0</v>
      </c>
      <c r="BI221" s="192">
        <f t="shared" si="165"/>
        <v>0</v>
      </c>
      <c r="BJ221" s="192">
        <f t="shared" si="166"/>
        <v>0</v>
      </c>
      <c r="BK221" s="56">
        <f t="shared" si="167"/>
        <v>0</v>
      </c>
      <c r="BL221" s="192">
        <f t="shared" si="168"/>
        <v>0</v>
      </c>
      <c r="BM221" s="192">
        <f t="shared" si="169"/>
        <v>0</v>
      </c>
      <c r="BN221" s="192">
        <f t="shared" si="170"/>
        <v>0</v>
      </c>
      <c r="BO221" s="192">
        <f t="shared" si="171"/>
        <v>0</v>
      </c>
    </row>
    <row r="222" spans="1:67" ht="13.5" customHeight="1" x14ac:dyDescent="0.25">
      <c r="A222" s="36" t="s">
        <v>1137</v>
      </c>
      <c r="B222" s="382"/>
      <c r="C222" s="41">
        <v>0</v>
      </c>
      <c r="D222" s="41">
        <v>0</v>
      </c>
      <c r="E222" s="50">
        <v>0</v>
      </c>
      <c r="F222" s="41">
        <v>0</v>
      </c>
      <c r="G222" s="41">
        <v>0</v>
      </c>
      <c r="H222" s="50">
        <v>0</v>
      </c>
      <c r="I222" s="41">
        <v>0</v>
      </c>
      <c r="J222" s="41">
        <v>0</v>
      </c>
      <c r="K222" s="50">
        <v>0</v>
      </c>
      <c r="L222" s="41">
        <v>0</v>
      </c>
      <c r="M222" s="41">
        <v>0</v>
      </c>
      <c r="N222" s="46">
        <v>0</v>
      </c>
      <c r="O222" s="41">
        <v>0</v>
      </c>
      <c r="P222" s="41">
        <v>0</v>
      </c>
      <c r="Q222" s="50">
        <v>0</v>
      </c>
      <c r="R222" s="41">
        <v>0</v>
      </c>
      <c r="S222" s="41">
        <v>0</v>
      </c>
      <c r="T222" s="50">
        <v>0</v>
      </c>
      <c r="U222" s="41">
        <v>0</v>
      </c>
      <c r="V222" s="41">
        <v>0</v>
      </c>
      <c r="W222" s="52">
        <v>0</v>
      </c>
      <c r="X222" s="41">
        <v>0</v>
      </c>
      <c r="Y222" s="41">
        <v>0</v>
      </c>
      <c r="Z222" s="48">
        <v>0</v>
      </c>
      <c r="AA222" s="41">
        <v>0</v>
      </c>
      <c r="AB222" s="41">
        <v>0</v>
      </c>
      <c r="AC222" s="50">
        <v>0</v>
      </c>
      <c r="AD222" s="41">
        <v>0</v>
      </c>
      <c r="AE222" s="41">
        <v>0</v>
      </c>
      <c r="AF222" s="50">
        <v>0</v>
      </c>
      <c r="AG222" s="41">
        <v>0</v>
      </c>
      <c r="AH222" s="41">
        <v>0</v>
      </c>
      <c r="AI222" s="50">
        <v>0</v>
      </c>
      <c r="AJ222" s="41">
        <v>0</v>
      </c>
      <c r="AK222" s="41">
        <v>0</v>
      </c>
      <c r="AL222" s="48">
        <v>0</v>
      </c>
      <c r="AM222" s="41">
        <v>0</v>
      </c>
      <c r="AN222" s="41">
        <v>0</v>
      </c>
      <c r="AO222" s="50">
        <v>0</v>
      </c>
      <c r="AP222" s="41">
        <v>0</v>
      </c>
      <c r="AQ222" s="41">
        <v>0</v>
      </c>
      <c r="AR222" s="50">
        <v>0</v>
      </c>
      <c r="AS222" s="41">
        <v>0</v>
      </c>
      <c r="AT222" s="41">
        <v>0</v>
      </c>
      <c r="AU222" s="50">
        <v>0</v>
      </c>
      <c r="AV222" s="41">
        <v>0</v>
      </c>
      <c r="AW222" s="41">
        <v>0</v>
      </c>
      <c r="AX222" s="48">
        <v>0</v>
      </c>
      <c r="AY222" s="192">
        <f t="shared" si="155"/>
        <v>0</v>
      </c>
      <c r="AZ222" s="192">
        <f t="shared" si="156"/>
        <v>0</v>
      </c>
      <c r="BA222" s="50">
        <f t="shared" si="157"/>
        <v>0</v>
      </c>
      <c r="BB222" s="192">
        <f t="shared" si="158"/>
        <v>0</v>
      </c>
      <c r="BC222" s="192">
        <f t="shared" si="159"/>
        <v>0</v>
      </c>
      <c r="BD222" s="50">
        <f t="shared" si="160"/>
        <v>0</v>
      </c>
      <c r="BE222" s="192">
        <f t="shared" si="161"/>
        <v>0</v>
      </c>
      <c r="BF222" s="192">
        <f t="shared" si="162"/>
        <v>0</v>
      </c>
      <c r="BG222" s="50">
        <f t="shared" si="163"/>
        <v>0</v>
      </c>
      <c r="BH222" s="192">
        <f t="shared" si="164"/>
        <v>0</v>
      </c>
      <c r="BI222" s="192">
        <f t="shared" si="165"/>
        <v>0</v>
      </c>
      <c r="BJ222" s="192">
        <f t="shared" si="166"/>
        <v>0</v>
      </c>
      <c r="BK222" s="56">
        <f t="shared" si="167"/>
        <v>0</v>
      </c>
      <c r="BL222" s="192">
        <f t="shared" si="168"/>
        <v>0</v>
      </c>
      <c r="BM222" s="192">
        <f t="shared" si="169"/>
        <v>0</v>
      </c>
      <c r="BN222" s="192">
        <f t="shared" si="170"/>
        <v>0</v>
      </c>
      <c r="BO222" s="192">
        <f t="shared" si="171"/>
        <v>0</v>
      </c>
    </row>
    <row r="223" spans="1:67" ht="13.5" customHeight="1" x14ac:dyDescent="0.25">
      <c r="A223" s="36" t="s">
        <v>1138</v>
      </c>
      <c r="B223" s="382"/>
      <c r="C223" s="41">
        <v>0</v>
      </c>
      <c r="D223" s="41">
        <v>0</v>
      </c>
      <c r="E223" s="50">
        <v>0</v>
      </c>
      <c r="F223" s="41">
        <v>0</v>
      </c>
      <c r="G223" s="41">
        <v>0</v>
      </c>
      <c r="H223" s="50">
        <v>0</v>
      </c>
      <c r="I223" s="41">
        <v>0</v>
      </c>
      <c r="J223" s="41">
        <v>0</v>
      </c>
      <c r="K223" s="50">
        <v>0</v>
      </c>
      <c r="L223" s="41">
        <v>0</v>
      </c>
      <c r="M223" s="41">
        <v>0</v>
      </c>
      <c r="N223" s="46">
        <v>0</v>
      </c>
      <c r="O223" s="41">
        <v>0</v>
      </c>
      <c r="P223" s="41">
        <v>0</v>
      </c>
      <c r="Q223" s="50">
        <v>0</v>
      </c>
      <c r="R223" s="41">
        <v>0</v>
      </c>
      <c r="S223" s="41">
        <v>0</v>
      </c>
      <c r="T223" s="50">
        <v>0</v>
      </c>
      <c r="U223" s="41">
        <v>0</v>
      </c>
      <c r="V223" s="41">
        <v>0</v>
      </c>
      <c r="W223" s="52">
        <v>0</v>
      </c>
      <c r="X223" s="41">
        <v>0</v>
      </c>
      <c r="Y223" s="41">
        <v>0</v>
      </c>
      <c r="Z223" s="48">
        <v>0</v>
      </c>
      <c r="AA223" s="41">
        <v>0</v>
      </c>
      <c r="AB223" s="41">
        <v>0</v>
      </c>
      <c r="AC223" s="50">
        <v>0</v>
      </c>
      <c r="AD223" s="41">
        <v>0</v>
      </c>
      <c r="AE223" s="41">
        <v>0</v>
      </c>
      <c r="AF223" s="50">
        <v>0</v>
      </c>
      <c r="AG223" s="41">
        <v>0</v>
      </c>
      <c r="AH223" s="41">
        <v>0</v>
      </c>
      <c r="AI223" s="50">
        <v>0</v>
      </c>
      <c r="AJ223" s="41">
        <v>0</v>
      </c>
      <c r="AK223" s="41">
        <v>0</v>
      </c>
      <c r="AL223" s="48">
        <v>0</v>
      </c>
      <c r="AM223" s="41">
        <v>0</v>
      </c>
      <c r="AN223" s="41">
        <v>0</v>
      </c>
      <c r="AO223" s="50">
        <v>0</v>
      </c>
      <c r="AP223" s="41">
        <v>0</v>
      </c>
      <c r="AQ223" s="41">
        <v>0</v>
      </c>
      <c r="AR223" s="50">
        <v>0</v>
      </c>
      <c r="AS223" s="41">
        <v>0</v>
      </c>
      <c r="AT223" s="41">
        <v>0</v>
      </c>
      <c r="AU223" s="50">
        <v>0</v>
      </c>
      <c r="AV223" s="41">
        <v>0</v>
      </c>
      <c r="AW223" s="41">
        <v>0</v>
      </c>
      <c r="AX223" s="48">
        <v>0</v>
      </c>
      <c r="AY223" s="192">
        <f t="shared" si="155"/>
        <v>0</v>
      </c>
      <c r="AZ223" s="192">
        <f t="shared" si="156"/>
        <v>0</v>
      </c>
      <c r="BA223" s="50">
        <f t="shared" si="157"/>
        <v>0</v>
      </c>
      <c r="BB223" s="192">
        <f t="shared" si="158"/>
        <v>0</v>
      </c>
      <c r="BC223" s="192">
        <f t="shared" si="159"/>
        <v>0</v>
      </c>
      <c r="BD223" s="50">
        <f t="shared" si="160"/>
        <v>0</v>
      </c>
      <c r="BE223" s="192">
        <f t="shared" si="161"/>
        <v>0</v>
      </c>
      <c r="BF223" s="192">
        <f t="shared" si="162"/>
        <v>0</v>
      </c>
      <c r="BG223" s="50">
        <f t="shared" si="163"/>
        <v>0</v>
      </c>
      <c r="BH223" s="192">
        <f t="shared" si="164"/>
        <v>0</v>
      </c>
      <c r="BI223" s="192">
        <f t="shared" si="165"/>
        <v>0</v>
      </c>
      <c r="BJ223" s="192">
        <f t="shared" si="166"/>
        <v>0</v>
      </c>
      <c r="BK223" s="56">
        <f t="shared" si="167"/>
        <v>0</v>
      </c>
      <c r="BL223" s="192">
        <f t="shared" si="168"/>
        <v>0</v>
      </c>
      <c r="BM223" s="192">
        <f t="shared" si="169"/>
        <v>0</v>
      </c>
      <c r="BN223" s="192">
        <f t="shared" si="170"/>
        <v>0</v>
      </c>
      <c r="BO223" s="192">
        <f t="shared" si="171"/>
        <v>0</v>
      </c>
    </row>
    <row r="224" spans="1:67" ht="13.5" customHeight="1" x14ac:dyDescent="0.25">
      <c r="A224" s="36" t="s">
        <v>1139</v>
      </c>
      <c r="B224" s="382"/>
      <c r="C224" s="41">
        <v>0</v>
      </c>
      <c r="D224" s="41">
        <v>0</v>
      </c>
      <c r="E224" s="50">
        <v>0</v>
      </c>
      <c r="F224" s="41">
        <v>0</v>
      </c>
      <c r="G224" s="41">
        <v>0</v>
      </c>
      <c r="H224" s="50">
        <v>0</v>
      </c>
      <c r="I224" s="41">
        <v>0</v>
      </c>
      <c r="J224" s="41">
        <v>0</v>
      </c>
      <c r="K224" s="50">
        <v>0</v>
      </c>
      <c r="L224" s="41">
        <v>0</v>
      </c>
      <c r="M224" s="41">
        <v>0</v>
      </c>
      <c r="N224" s="46">
        <v>0</v>
      </c>
      <c r="O224" s="41">
        <v>0</v>
      </c>
      <c r="P224" s="41">
        <v>0</v>
      </c>
      <c r="Q224" s="50">
        <v>0</v>
      </c>
      <c r="R224" s="41">
        <v>0</v>
      </c>
      <c r="S224" s="41">
        <v>0</v>
      </c>
      <c r="T224" s="50">
        <v>0</v>
      </c>
      <c r="U224" s="41">
        <v>0</v>
      </c>
      <c r="V224" s="41">
        <v>0</v>
      </c>
      <c r="W224" s="52">
        <v>0</v>
      </c>
      <c r="X224" s="41">
        <v>0</v>
      </c>
      <c r="Y224" s="41">
        <v>0</v>
      </c>
      <c r="Z224" s="48">
        <v>0</v>
      </c>
      <c r="AA224" s="41">
        <v>0</v>
      </c>
      <c r="AB224" s="41">
        <v>0</v>
      </c>
      <c r="AC224" s="50">
        <v>0</v>
      </c>
      <c r="AD224" s="41">
        <v>0</v>
      </c>
      <c r="AE224" s="41">
        <v>0</v>
      </c>
      <c r="AF224" s="50">
        <v>0</v>
      </c>
      <c r="AG224" s="41">
        <v>0</v>
      </c>
      <c r="AH224" s="41">
        <v>0</v>
      </c>
      <c r="AI224" s="50">
        <v>0</v>
      </c>
      <c r="AJ224" s="41">
        <v>0</v>
      </c>
      <c r="AK224" s="41">
        <v>0</v>
      </c>
      <c r="AL224" s="48">
        <v>0</v>
      </c>
      <c r="AM224" s="41">
        <v>0</v>
      </c>
      <c r="AN224" s="41">
        <v>0</v>
      </c>
      <c r="AO224" s="50">
        <v>0</v>
      </c>
      <c r="AP224" s="41">
        <v>0</v>
      </c>
      <c r="AQ224" s="41">
        <v>0</v>
      </c>
      <c r="AR224" s="50">
        <v>0</v>
      </c>
      <c r="AS224" s="41">
        <v>0</v>
      </c>
      <c r="AT224" s="41">
        <v>0</v>
      </c>
      <c r="AU224" s="50">
        <v>0</v>
      </c>
      <c r="AV224" s="41">
        <v>0</v>
      </c>
      <c r="AW224" s="41">
        <v>0</v>
      </c>
      <c r="AX224" s="48">
        <v>0</v>
      </c>
      <c r="AY224" s="192">
        <f t="shared" si="155"/>
        <v>0</v>
      </c>
      <c r="AZ224" s="192">
        <f t="shared" si="156"/>
        <v>0</v>
      </c>
      <c r="BA224" s="50">
        <f t="shared" si="157"/>
        <v>0</v>
      </c>
      <c r="BB224" s="192">
        <f t="shared" si="158"/>
        <v>0</v>
      </c>
      <c r="BC224" s="192">
        <f t="shared" si="159"/>
        <v>0</v>
      </c>
      <c r="BD224" s="50">
        <f t="shared" si="160"/>
        <v>0</v>
      </c>
      <c r="BE224" s="192">
        <f t="shared" si="161"/>
        <v>0</v>
      </c>
      <c r="BF224" s="192">
        <f t="shared" si="162"/>
        <v>0</v>
      </c>
      <c r="BG224" s="50">
        <f t="shared" si="163"/>
        <v>0</v>
      </c>
      <c r="BH224" s="192">
        <f t="shared" si="164"/>
        <v>0</v>
      </c>
      <c r="BI224" s="192">
        <f t="shared" si="165"/>
        <v>0</v>
      </c>
      <c r="BJ224" s="192">
        <f t="shared" si="166"/>
        <v>0</v>
      </c>
      <c r="BK224" s="56">
        <f t="shared" si="167"/>
        <v>0</v>
      </c>
      <c r="BL224" s="192">
        <f t="shared" si="168"/>
        <v>0</v>
      </c>
      <c r="BM224" s="192">
        <f t="shared" si="169"/>
        <v>0</v>
      </c>
      <c r="BN224" s="192">
        <f t="shared" si="170"/>
        <v>0</v>
      </c>
      <c r="BO224" s="192">
        <f t="shared" si="171"/>
        <v>0</v>
      </c>
    </row>
    <row r="225" spans="1:67" ht="13.5" customHeight="1" x14ac:dyDescent="0.25">
      <c r="A225" s="36" t="s">
        <v>1140</v>
      </c>
      <c r="B225" s="382"/>
      <c r="C225" s="41">
        <v>0</v>
      </c>
      <c r="D225" s="41">
        <v>0</v>
      </c>
      <c r="E225" s="50">
        <v>0</v>
      </c>
      <c r="F225" s="41">
        <v>0</v>
      </c>
      <c r="G225" s="41">
        <v>0</v>
      </c>
      <c r="H225" s="50">
        <v>0</v>
      </c>
      <c r="I225" s="41">
        <v>0</v>
      </c>
      <c r="J225" s="41">
        <v>0</v>
      </c>
      <c r="K225" s="50">
        <v>0</v>
      </c>
      <c r="L225" s="41">
        <v>0</v>
      </c>
      <c r="M225" s="41">
        <v>0</v>
      </c>
      <c r="N225" s="46">
        <v>0</v>
      </c>
      <c r="O225" s="41">
        <v>0</v>
      </c>
      <c r="P225" s="41">
        <v>0</v>
      </c>
      <c r="Q225" s="50">
        <v>0</v>
      </c>
      <c r="R225" s="41">
        <v>0</v>
      </c>
      <c r="S225" s="41">
        <v>0</v>
      </c>
      <c r="T225" s="50">
        <v>0</v>
      </c>
      <c r="U225" s="41">
        <v>0</v>
      </c>
      <c r="V225" s="41">
        <v>0</v>
      </c>
      <c r="W225" s="52">
        <v>0</v>
      </c>
      <c r="X225" s="41">
        <v>0</v>
      </c>
      <c r="Y225" s="41">
        <v>0</v>
      </c>
      <c r="Z225" s="48">
        <v>0</v>
      </c>
      <c r="AA225" s="41">
        <v>0</v>
      </c>
      <c r="AB225" s="41">
        <v>0</v>
      </c>
      <c r="AC225" s="50">
        <v>0</v>
      </c>
      <c r="AD225" s="41">
        <v>0</v>
      </c>
      <c r="AE225" s="41">
        <v>0</v>
      </c>
      <c r="AF225" s="50">
        <v>0</v>
      </c>
      <c r="AG225" s="41">
        <v>0</v>
      </c>
      <c r="AH225" s="41">
        <v>0</v>
      </c>
      <c r="AI225" s="50">
        <v>0</v>
      </c>
      <c r="AJ225" s="41">
        <v>0</v>
      </c>
      <c r="AK225" s="41">
        <v>0</v>
      </c>
      <c r="AL225" s="48">
        <v>0</v>
      </c>
      <c r="AM225" s="41">
        <v>0</v>
      </c>
      <c r="AN225" s="41">
        <v>0</v>
      </c>
      <c r="AO225" s="50">
        <v>0</v>
      </c>
      <c r="AP225" s="41">
        <v>0</v>
      </c>
      <c r="AQ225" s="41">
        <v>0</v>
      </c>
      <c r="AR225" s="50">
        <v>0</v>
      </c>
      <c r="AS225" s="41">
        <v>0</v>
      </c>
      <c r="AT225" s="41">
        <v>0</v>
      </c>
      <c r="AU225" s="50">
        <v>0</v>
      </c>
      <c r="AV225" s="41">
        <v>0</v>
      </c>
      <c r="AW225" s="41">
        <v>0</v>
      </c>
      <c r="AX225" s="48">
        <v>0</v>
      </c>
      <c r="AY225" s="192">
        <f t="shared" si="155"/>
        <v>0</v>
      </c>
      <c r="AZ225" s="192">
        <f t="shared" si="156"/>
        <v>0</v>
      </c>
      <c r="BA225" s="50">
        <f t="shared" si="157"/>
        <v>0</v>
      </c>
      <c r="BB225" s="192">
        <f t="shared" si="158"/>
        <v>0</v>
      </c>
      <c r="BC225" s="192">
        <f t="shared" si="159"/>
        <v>0</v>
      </c>
      <c r="BD225" s="50">
        <f t="shared" si="160"/>
        <v>0</v>
      </c>
      <c r="BE225" s="192">
        <f t="shared" si="161"/>
        <v>0</v>
      </c>
      <c r="BF225" s="192">
        <f t="shared" si="162"/>
        <v>0</v>
      </c>
      <c r="BG225" s="50">
        <f t="shared" si="163"/>
        <v>0</v>
      </c>
      <c r="BH225" s="192">
        <f t="shared" si="164"/>
        <v>0</v>
      </c>
      <c r="BI225" s="192">
        <f t="shared" si="165"/>
        <v>0</v>
      </c>
      <c r="BJ225" s="192">
        <f t="shared" si="166"/>
        <v>0</v>
      </c>
      <c r="BK225" s="56">
        <f t="shared" si="167"/>
        <v>0</v>
      </c>
      <c r="BL225" s="192">
        <f t="shared" si="168"/>
        <v>0</v>
      </c>
      <c r="BM225" s="192">
        <f t="shared" si="169"/>
        <v>0</v>
      </c>
      <c r="BN225" s="192">
        <f t="shared" si="170"/>
        <v>0</v>
      </c>
      <c r="BO225" s="192">
        <f t="shared" si="171"/>
        <v>0</v>
      </c>
    </row>
    <row r="226" spans="1:67" ht="13.5" customHeight="1" x14ac:dyDescent="0.25">
      <c r="A226" s="36" t="s">
        <v>1141</v>
      </c>
      <c r="B226" s="382"/>
      <c r="C226" s="41">
        <v>0</v>
      </c>
      <c r="D226" s="41">
        <v>0</v>
      </c>
      <c r="E226" s="50">
        <v>0</v>
      </c>
      <c r="F226" s="41">
        <v>0</v>
      </c>
      <c r="G226" s="41">
        <v>0</v>
      </c>
      <c r="H226" s="50">
        <v>0</v>
      </c>
      <c r="I226" s="41">
        <v>0</v>
      </c>
      <c r="J226" s="41">
        <v>0</v>
      </c>
      <c r="K226" s="50">
        <v>0</v>
      </c>
      <c r="L226" s="41">
        <v>0</v>
      </c>
      <c r="M226" s="41">
        <v>0</v>
      </c>
      <c r="N226" s="46">
        <v>0</v>
      </c>
      <c r="O226" s="41">
        <v>0</v>
      </c>
      <c r="P226" s="41">
        <v>0</v>
      </c>
      <c r="Q226" s="50">
        <v>0</v>
      </c>
      <c r="R226" s="41">
        <v>0</v>
      </c>
      <c r="S226" s="41">
        <v>0</v>
      </c>
      <c r="T226" s="50">
        <v>0</v>
      </c>
      <c r="U226" s="41">
        <v>0</v>
      </c>
      <c r="V226" s="41">
        <v>0</v>
      </c>
      <c r="W226" s="52">
        <v>0</v>
      </c>
      <c r="X226" s="41">
        <v>0</v>
      </c>
      <c r="Y226" s="41">
        <v>0</v>
      </c>
      <c r="Z226" s="48">
        <v>0</v>
      </c>
      <c r="AA226" s="41">
        <v>0</v>
      </c>
      <c r="AB226" s="41">
        <v>0</v>
      </c>
      <c r="AC226" s="50">
        <v>0</v>
      </c>
      <c r="AD226" s="41">
        <v>0</v>
      </c>
      <c r="AE226" s="41">
        <v>0</v>
      </c>
      <c r="AF226" s="50">
        <v>0</v>
      </c>
      <c r="AG226" s="41">
        <v>0</v>
      </c>
      <c r="AH226" s="41">
        <v>0</v>
      </c>
      <c r="AI226" s="50">
        <v>0</v>
      </c>
      <c r="AJ226" s="41">
        <v>0</v>
      </c>
      <c r="AK226" s="41">
        <v>0</v>
      </c>
      <c r="AL226" s="48">
        <v>0</v>
      </c>
      <c r="AM226" s="41">
        <v>0</v>
      </c>
      <c r="AN226" s="41">
        <v>0</v>
      </c>
      <c r="AO226" s="50">
        <v>0</v>
      </c>
      <c r="AP226" s="41">
        <v>0</v>
      </c>
      <c r="AQ226" s="41">
        <v>0</v>
      </c>
      <c r="AR226" s="50">
        <v>0</v>
      </c>
      <c r="AS226" s="41">
        <v>0</v>
      </c>
      <c r="AT226" s="41">
        <v>0</v>
      </c>
      <c r="AU226" s="50">
        <v>0</v>
      </c>
      <c r="AV226" s="41">
        <v>0</v>
      </c>
      <c r="AW226" s="41">
        <v>0</v>
      </c>
      <c r="AX226" s="48">
        <v>0</v>
      </c>
      <c r="AY226" s="192">
        <f t="shared" si="155"/>
        <v>0</v>
      </c>
      <c r="AZ226" s="192">
        <f t="shared" si="156"/>
        <v>0</v>
      </c>
      <c r="BA226" s="50">
        <f t="shared" si="157"/>
        <v>0</v>
      </c>
      <c r="BB226" s="192">
        <f t="shared" si="158"/>
        <v>0</v>
      </c>
      <c r="BC226" s="192">
        <f t="shared" si="159"/>
        <v>0</v>
      </c>
      <c r="BD226" s="50">
        <f t="shared" si="160"/>
        <v>0</v>
      </c>
      <c r="BE226" s="192">
        <f t="shared" si="161"/>
        <v>0</v>
      </c>
      <c r="BF226" s="192">
        <f t="shared" si="162"/>
        <v>0</v>
      </c>
      <c r="BG226" s="50">
        <f t="shared" si="163"/>
        <v>0</v>
      </c>
      <c r="BH226" s="192">
        <f t="shared" si="164"/>
        <v>0</v>
      </c>
      <c r="BI226" s="192">
        <f t="shared" si="165"/>
        <v>0</v>
      </c>
      <c r="BJ226" s="192">
        <f t="shared" si="166"/>
        <v>0</v>
      </c>
      <c r="BK226" s="56">
        <f t="shared" si="167"/>
        <v>0</v>
      </c>
      <c r="BL226" s="192">
        <f t="shared" si="168"/>
        <v>0</v>
      </c>
      <c r="BM226" s="192">
        <f t="shared" si="169"/>
        <v>0</v>
      </c>
      <c r="BN226" s="192">
        <f t="shared" si="170"/>
        <v>0</v>
      </c>
      <c r="BO226" s="192">
        <f t="shared" si="171"/>
        <v>0</v>
      </c>
    </row>
  </sheetData>
  <sheetProtection autoFilter="0"/>
  <mergeCells count="47">
    <mergeCell ref="AD1:AF1"/>
    <mergeCell ref="AG1:AI1"/>
    <mergeCell ref="AJ1:AL1"/>
    <mergeCell ref="C1:E1"/>
    <mergeCell ref="F1:H1"/>
    <mergeCell ref="I1:K1"/>
    <mergeCell ref="L1:N1"/>
    <mergeCell ref="O1:Q1"/>
    <mergeCell ref="R1:T1"/>
    <mergeCell ref="L114:N114"/>
    <mergeCell ref="BP1:BR1"/>
    <mergeCell ref="BS1:BX1"/>
    <mergeCell ref="BY1:CD1"/>
    <mergeCell ref="AY1:BA1"/>
    <mergeCell ref="BB1:BD1"/>
    <mergeCell ref="BE1:BG1"/>
    <mergeCell ref="BH1:BJ1"/>
    <mergeCell ref="BK1:BO1"/>
    <mergeCell ref="AM1:AO1"/>
    <mergeCell ref="AP1:AR1"/>
    <mergeCell ref="AS1:AU1"/>
    <mergeCell ref="AV1:AX1"/>
    <mergeCell ref="U1:W1"/>
    <mergeCell ref="X1:Z1"/>
    <mergeCell ref="AA1:AC1"/>
    <mergeCell ref="A1:B1"/>
    <mergeCell ref="A114:B114"/>
    <mergeCell ref="C114:E114"/>
    <mergeCell ref="F114:H114"/>
    <mergeCell ref="I114:K114"/>
    <mergeCell ref="AV114:AX114"/>
    <mergeCell ref="O114:Q114"/>
    <mergeCell ref="R114:T114"/>
    <mergeCell ref="U114:W114"/>
    <mergeCell ref="X114:Z114"/>
    <mergeCell ref="AA114:AC114"/>
    <mergeCell ref="AD114:AF114"/>
    <mergeCell ref="AG114:AI114"/>
    <mergeCell ref="AJ114:AL114"/>
    <mergeCell ref="AM114:AO114"/>
    <mergeCell ref="AP114:AR114"/>
    <mergeCell ref="AS114:AU114"/>
    <mergeCell ref="AY114:BA114"/>
    <mergeCell ref="BB114:BD114"/>
    <mergeCell ref="BE114:BG114"/>
    <mergeCell ref="BH114:BJ114"/>
    <mergeCell ref="BK114:BO114"/>
  </mergeCells>
  <phoneticPr fontId="2" type="noConversion"/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8E4FB218-0FDF-42F1-A3D3-16B0FCB2025A}">
          <x14:formula1>
            <xm:f>Calculator!$S$2:$S$51</xm:f>
          </x14:formula1>
          <xm:sqref>CG1</xm:sqref>
        </x14:dataValidation>
        <x14:dataValidation type="list" allowBlank="1" showInputMessage="1" showErrorMessage="1" xr:uid="{4EA8D11D-05A9-43CD-97D3-6E2E79788217}">
          <x14:formula1>
            <xm:f>Calculator!$X$2:$X$13</xm:f>
          </x14:formula1>
          <xm:sqref>CG2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EA68-8958-4476-978F-F46C4E3E9614}">
  <sheetPr>
    <tabColor theme="2" tint="-0.249977111117893"/>
  </sheetPr>
  <dimension ref="A1:BT41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S10" sqref="BS10"/>
    </sheetView>
  </sheetViews>
  <sheetFormatPr defaultColWidth="7.7109375" defaultRowHeight="14.25" customHeight="1" x14ac:dyDescent="0.25"/>
  <cols>
    <col min="1" max="1" width="4.140625" style="23" bestFit="1" customWidth="1"/>
    <col min="2" max="2" width="15.28515625" style="69" bestFit="1" customWidth="1"/>
    <col min="3" max="4" width="8.5703125" style="23" bestFit="1" customWidth="1"/>
    <col min="5" max="5" width="7.7109375" style="23"/>
    <col min="6" max="6" width="7.85546875" style="23" bestFit="1" customWidth="1"/>
    <col min="7" max="7" width="8.85546875" style="23" bestFit="1" customWidth="1"/>
    <col min="8" max="9" width="7" style="23" bestFit="1" customWidth="1"/>
    <col min="10" max="10" width="6.140625" style="23" bestFit="1" customWidth="1"/>
    <col min="11" max="11" width="6.42578125" style="23" bestFit="1" customWidth="1"/>
    <col min="12" max="12" width="7.42578125" style="23" bestFit="1" customWidth="1"/>
    <col min="13" max="13" width="7" style="23" bestFit="1" customWidth="1"/>
    <col min="14" max="14" width="7.140625" style="23" bestFit="1" customWidth="1"/>
    <col min="15" max="16" width="7.7109375" style="23"/>
    <col min="17" max="18" width="8" style="23" bestFit="1" customWidth="1"/>
    <col min="19" max="19" width="7.140625" style="23" bestFit="1" customWidth="1"/>
    <col min="20" max="20" width="7.42578125" style="23" bestFit="1" customWidth="1"/>
    <col min="21" max="21" width="8.42578125" style="23" bestFit="1" customWidth="1"/>
    <col min="22" max="22" width="8" style="23" bestFit="1" customWidth="1"/>
    <col min="23" max="23" width="8.140625" style="23" bestFit="1" customWidth="1"/>
    <col min="24" max="25" width="8.7109375" style="23" bestFit="1" customWidth="1"/>
    <col min="26" max="27" width="8" style="23" bestFit="1" customWidth="1"/>
    <col min="28" max="28" width="7.140625" style="23" bestFit="1" customWidth="1"/>
    <col min="29" max="29" width="7.42578125" style="23" bestFit="1" customWidth="1"/>
    <col min="30" max="30" width="8.42578125" style="23" bestFit="1" customWidth="1"/>
    <col min="31" max="31" width="8" style="23" bestFit="1" customWidth="1"/>
    <col min="32" max="32" width="8.140625" style="23" bestFit="1" customWidth="1"/>
    <col min="33" max="34" width="8.7109375" style="23" bestFit="1" customWidth="1"/>
    <col min="35" max="36" width="9" style="23" bestFit="1" customWidth="1"/>
    <col min="37" max="37" width="8.140625" style="23" bestFit="1" customWidth="1"/>
    <col min="38" max="39" width="8.42578125" style="23" bestFit="1" customWidth="1"/>
    <col min="40" max="40" width="8" style="23" bestFit="1" customWidth="1"/>
    <col min="41" max="41" width="9.28515625" style="23" bestFit="1" customWidth="1"/>
    <col min="42" max="43" width="8.7109375" style="23" bestFit="1" customWidth="1"/>
    <col min="44" max="45" width="9" style="23" bestFit="1" customWidth="1"/>
    <col min="46" max="46" width="8.140625" style="23" bestFit="1" customWidth="1"/>
    <col min="47" max="48" width="9" style="23" bestFit="1" customWidth="1"/>
    <col min="49" max="49" width="8.140625" style="23" bestFit="1" customWidth="1"/>
    <col min="50" max="50" width="8.42578125" style="23" bestFit="1" customWidth="1"/>
    <col min="51" max="51" width="9.42578125" style="23" bestFit="1" customWidth="1"/>
    <col min="52" max="52" width="9" style="23" bestFit="1" customWidth="1"/>
    <col min="53" max="53" width="9.28515625" style="23" bestFit="1" customWidth="1"/>
    <col min="54" max="55" width="8.7109375" style="23" bestFit="1" customWidth="1"/>
    <col min="56" max="56" width="9.85546875" style="308" bestFit="1" customWidth="1"/>
    <col min="57" max="57" width="9" style="27" customWidth="1"/>
    <col min="58" max="58" width="10" style="27" customWidth="1"/>
    <col min="59" max="59" width="7" style="27" customWidth="1"/>
    <col min="60" max="60" width="14.42578125" style="26" customWidth="1"/>
    <col min="61" max="61" width="15.42578125" style="26" customWidth="1"/>
    <col min="62" max="62" width="12.42578125" style="26" customWidth="1"/>
    <col min="63" max="63" width="9" style="26" customWidth="1"/>
    <col min="64" max="65" width="8" style="26" customWidth="1"/>
    <col min="66" max="67" width="12.42578125" style="23" customWidth="1"/>
    <col min="68" max="68" width="13.42578125" style="23" customWidth="1"/>
    <col min="69" max="69" width="7.7109375" style="23"/>
    <col min="70" max="70" width="14.140625" style="23" bestFit="1" customWidth="1"/>
    <col min="71" max="71" width="9.85546875" style="23" bestFit="1" customWidth="1"/>
    <col min="72" max="72" width="15.5703125" style="23" bestFit="1" customWidth="1"/>
    <col min="73" max="16384" width="7.7109375" style="23"/>
  </cols>
  <sheetData>
    <row r="1" spans="1:72" s="60" customFormat="1" ht="18" customHeight="1" x14ac:dyDescent="0.25">
      <c r="A1" s="528" t="s">
        <v>109</v>
      </c>
      <c r="B1" s="529"/>
      <c r="C1" s="541" t="s">
        <v>323</v>
      </c>
      <c r="D1" s="541"/>
      <c r="E1" s="541"/>
      <c r="F1" s="541"/>
      <c r="G1" s="542"/>
      <c r="H1" s="608" t="s">
        <v>282</v>
      </c>
      <c r="I1" s="608"/>
      <c r="J1" s="608"/>
      <c r="K1" s="608"/>
      <c r="L1" s="608"/>
      <c r="M1" s="608"/>
      <c r="N1" s="608"/>
      <c r="O1" s="608"/>
      <c r="P1" s="609"/>
      <c r="Q1" s="548" t="s">
        <v>283</v>
      </c>
      <c r="R1" s="548"/>
      <c r="S1" s="548"/>
      <c r="T1" s="548"/>
      <c r="U1" s="548"/>
      <c r="V1" s="548"/>
      <c r="W1" s="548"/>
      <c r="X1" s="548"/>
      <c r="Y1" s="549"/>
      <c r="Z1" s="611" t="s">
        <v>284</v>
      </c>
      <c r="AA1" s="611"/>
      <c r="AB1" s="611"/>
      <c r="AC1" s="611"/>
      <c r="AD1" s="611"/>
      <c r="AE1" s="611"/>
      <c r="AF1" s="611"/>
      <c r="AG1" s="611"/>
      <c r="AH1" s="612"/>
      <c r="AI1" s="613" t="s">
        <v>285</v>
      </c>
      <c r="AJ1" s="613"/>
      <c r="AK1" s="613"/>
      <c r="AL1" s="613"/>
      <c r="AM1" s="613"/>
      <c r="AN1" s="613"/>
      <c r="AO1" s="613"/>
      <c r="AP1" s="613"/>
      <c r="AQ1" s="614"/>
      <c r="AR1" s="599" t="s">
        <v>327</v>
      </c>
      <c r="AS1" s="599"/>
      <c r="AT1" s="610"/>
      <c r="AU1" s="520" t="s">
        <v>5</v>
      </c>
      <c r="AV1" s="520"/>
      <c r="AW1" s="520"/>
      <c r="AX1" s="520"/>
      <c r="AY1" s="520"/>
      <c r="AZ1" s="520"/>
      <c r="BA1" s="520"/>
      <c r="BB1" s="520"/>
      <c r="BC1" s="520"/>
      <c r="BD1" s="522"/>
      <c r="BE1" s="520" t="s">
        <v>275</v>
      </c>
      <c r="BF1" s="520"/>
      <c r="BG1" s="520"/>
      <c r="BH1" s="520"/>
      <c r="BI1" s="520"/>
      <c r="BJ1" s="521"/>
      <c r="BK1" s="520" t="s">
        <v>276</v>
      </c>
      <c r="BL1" s="520"/>
      <c r="BM1" s="520"/>
      <c r="BN1" s="520"/>
      <c r="BO1" s="520"/>
      <c r="BP1" s="520"/>
      <c r="BR1" s="42" t="s">
        <v>230</v>
      </c>
      <c r="BS1" s="42" t="s">
        <v>201</v>
      </c>
      <c r="BT1" s="42" t="s">
        <v>257</v>
      </c>
    </row>
    <row r="2" spans="1:72" ht="14.25" customHeight="1" x14ac:dyDescent="0.25">
      <c r="A2" s="38" t="s">
        <v>48</v>
      </c>
      <c r="B2" s="47" t="s">
        <v>0</v>
      </c>
      <c r="C2" s="38" t="s">
        <v>319</v>
      </c>
      <c r="D2" s="38" t="s">
        <v>320</v>
      </c>
      <c r="E2" s="38" t="s">
        <v>321</v>
      </c>
      <c r="F2" s="38" t="s">
        <v>322</v>
      </c>
      <c r="G2" s="47" t="s">
        <v>318</v>
      </c>
      <c r="H2" s="38" t="s">
        <v>270</v>
      </c>
      <c r="I2" s="38" t="s">
        <v>271</v>
      </c>
      <c r="J2" s="38" t="s">
        <v>272</v>
      </c>
      <c r="K2" s="38" t="s">
        <v>273</v>
      </c>
      <c r="L2" s="38" t="s">
        <v>317</v>
      </c>
      <c r="M2" s="38" t="s">
        <v>315</v>
      </c>
      <c r="N2" s="38" t="s">
        <v>316</v>
      </c>
      <c r="O2" s="38" t="s">
        <v>324</v>
      </c>
      <c r="P2" s="47" t="s">
        <v>325</v>
      </c>
      <c r="Q2" s="38" t="s">
        <v>336</v>
      </c>
      <c r="R2" s="38" t="s">
        <v>337</v>
      </c>
      <c r="S2" s="38" t="s">
        <v>338</v>
      </c>
      <c r="T2" s="38" t="s">
        <v>339</v>
      </c>
      <c r="U2" s="38" t="s">
        <v>399</v>
      </c>
      <c r="V2" s="38" t="s">
        <v>400</v>
      </c>
      <c r="W2" s="38" t="s">
        <v>401</v>
      </c>
      <c r="X2" s="38" t="s">
        <v>402</v>
      </c>
      <c r="Y2" s="47" t="s">
        <v>403</v>
      </c>
      <c r="Z2" s="38" t="s">
        <v>340</v>
      </c>
      <c r="AA2" s="38" t="s">
        <v>341</v>
      </c>
      <c r="AB2" s="38" t="s">
        <v>342</v>
      </c>
      <c r="AC2" s="38" t="s">
        <v>343</v>
      </c>
      <c r="AD2" s="38" t="s">
        <v>404</v>
      </c>
      <c r="AE2" s="38" t="s">
        <v>405</v>
      </c>
      <c r="AF2" s="38" t="s">
        <v>406</v>
      </c>
      <c r="AG2" s="38" t="s">
        <v>407</v>
      </c>
      <c r="AH2" s="47" t="s">
        <v>408</v>
      </c>
      <c r="AI2" s="38" t="s">
        <v>344</v>
      </c>
      <c r="AJ2" s="38" t="s">
        <v>345</v>
      </c>
      <c r="AK2" s="38" t="s">
        <v>346</v>
      </c>
      <c r="AL2" s="38" t="s">
        <v>347</v>
      </c>
      <c r="AM2" s="38" t="s">
        <v>409</v>
      </c>
      <c r="AN2" s="38" t="s">
        <v>410</v>
      </c>
      <c r="AO2" s="38" t="s">
        <v>411</v>
      </c>
      <c r="AP2" s="38" t="s">
        <v>412</v>
      </c>
      <c r="AQ2" s="47" t="s">
        <v>413</v>
      </c>
      <c r="AR2" s="38" t="s">
        <v>348</v>
      </c>
      <c r="AS2" s="38" t="s">
        <v>349</v>
      </c>
      <c r="AT2" s="47" t="s">
        <v>350</v>
      </c>
      <c r="AU2" s="38" t="s">
        <v>351</v>
      </c>
      <c r="AV2" s="38" t="s">
        <v>352</v>
      </c>
      <c r="AW2" s="38" t="s">
        <v>353</v>
      </c>
      <c r="AX2" s="38" t="s">
        <v>354</v>
      </c>
      <c r="AY2" s="38" t="s">
        <v>414</v>
      </c>
      <c r="AZ2" s="38" t="s">
        <v>415</v>
      </c>
      <c r="BA2" s="38" t="s">
        <v>416</v>
      </c>
      <c r="BB2" s="38" t="s">
        <v>417</v>
      </c>
      <c r="BC2" s="38" t="s">
        <v>418</v>
      </c>
      <c r="BD2" s="309" t="s">
        <v>274</v>
      </c>
      <c r="BE2" s="38" t="s">
        <v>355</v>
      </c>
      <c r="BF2" s="38" t="s">
        <v>356</v>
      </c>
      <c r="BG2" s="38" t="s">
        <v>277</v>
      </c>
      <c r="BH2" s="38" t="s">
        <v>357</v>
      </c>
      <c r="BI2" s="38" t="s">
        <v>358</v>
      </c>
      <c r="BJ2" s="47" t="s">
        <v>281</v>
      </c>
      <c r="BK2" s="38" t="s">
        <v>359</v>
      </c>
      <c r="BL2" s="38" t="s">
        <v>360</v>
      </c>
      <c r="BM2" s="38" t="s">
        <v>361</v>
      </c>
      <c r="BN2" s="38" t="s">
        <v>279</v>
      </c>
      <c r="BO2" s="38" t="s">
        <v>280</v>
      </c>
      <c r="BP2" s="38" t="s">
        <v>362</v>
      </c>
      <c r="BR2" s="24">
        <f>VLOOKUP(BS6,Calculator!P:Q,2,FALSE)</f>
        <v>660000</v>
      </c>
      <c r="BS2" s="24">
        <f>VLOOKUP(BS5,Calculator!I:J,2,FALSE)</f>
        <v>6670</v>
      </c>
      <c r="BT2" s="24">
        <f>(BR2+BR3)*(BS2+BS3)</f>
        <v>520374057000</v>
      </c>
    </row>
    <row r="3" spans="1:72" ht="14.25" customHeight="1" x14ac:dyDescent="0.25">
      <c r="A3" s="35" t="s">
        <v>49</v>
      </c>
      <c r="B3" s="70" t="s">
        <v>130</v>
      </c>
      <c r="C3" s="34">
        <v>45</v>
      </c>
      <c r="D3" s="34">
        <v>45</v>
      </c>
      <c r="E3" s="34">
        <v>45</v>
      </c>
      <c r="F3" s="34">
        <v>12</v>
      </c>
      <c r="G3" s="46">
        <v>18</v>
      </c>
      <c r="H3" s="34">
        <v>35</v>
      </c>
      <c r="I3" s="34">
        <v>35</v>
      </c>
      <c r="J3" s="34">
        <v>30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46">
        <v>0</v>
      </c>
      <c r="Q3" s="34">
        <v>81</v>
      </c>
      <c r="R3" s="34">
        <v>70</v>
      </c>
      <c r="S3" s="34">
        <v>65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46">
        <v>0</v>
      </c>
      <c r="Z3" s="34">
        <v>85</v>
      </c>
      <c r="AA3" s="34">
        <v>20</v>
      </c>
      <c r="AB3" s="34">
        <v>10</v>
      </c>
      <c r="AC3" s="34">
        <v>6</v>
      </c>
      <c r="AD3" s="34">
        <v>0</v>
      </c>
      <c r="AE3" s="34">
        <v>35</v>
      </c>
      <c r="AF3" s="34">
        <v>0</v>
      </c>
      <c r="AG3" s="34">
        <v>0</v>
      </c>
      <c r="AH3" s="46">
        <v>0</v>
      </c>
      <c r="AI3" s="34">
        <v>15</v>
      </c>
      <c r="AJ3" s="34">
        <v>0</v>
      </c>
      <c r="AK3" s="34">
        <v>15</v>
      </c>
      <c r="AL3" s="34">
        <v>8</v>
      </c>
      <c r="AM3" s="34">
        <v>0</v>
      </c>
      <c r="AN3" s="34">
        <v>15</v>
      </c>
      <c r="AO3" s="34">
        <v>0</v>
      </c>
      <c r="AP3" s="34">
        <v>0</v>
      </c>
      <c r="AQ3" s="46">
        <v>10</v>
      </c>
      <c r="AR3" s="65">
        <f t="shared" ref="AR3:AR17" si="0">900*0.1+(BH3-900)*0.2</f>
        <v>237.87502105599998</v>
      </c>
      <c r="AS3" s="65">
        <f t="shared" ref="AS3:AS17" si="1">900*0.1+(BI3-900)*0.2</f>
        <v>239.20636206079993</v>
      </c>
      <c r="AT3" s="66">
        <f t="shared" ref="AT3:AT17" si="2">900*0.1+(BJ3-900)*0.2</f>
        <v>249.68959585279995</v>
      </c>
      <c r="AU3" s="34">
        <f t="shared" ref="AU3:AU17" si="3">Q3+Z3+AI3+AR3</f>
        <v>418.87502105599998</v>
      </c>
      <c r="AV3" s="34">
        <f t="shared" ref="AV3:AV17" si="4">R3+AA3+AJ3+AS3</f>
        <v>329.20636206079996</v>
      </c>
      <c r="AW3" s="34">
        <f t="shared" ref="AW3:AW17" si="5">S3+AB3+AK3+AT3</f>
        <v>339.68959585279993</v>
      </c>
      <c r="AX3" s="34">
        <f t="shared" ref="AX3:AX17" si="6">T3+AC3+AL3</f>
        <v>14</v>
      </c>
      <c r="AY3" s="34">
        <f t="shared" ref="AY3:AY17" si="7">U3+AD3+AM3</f>
        <v>0</v>
      </c>
      <c r="AZ3" s="34">
        <f t="shared" ref="AZ3:AZ17" si="8">V3+AE3+AN3</f>
        <v>50</v>
      </c>
      <c r="BA3" s="34">
        <f t="shared" ref="BA3:BA17" si="9">W3+AF3+AO3</f>
        <v>0</v>
      </c>
      <c r="BB3" s="34">
        <f t="shared" ref="BB3:BB17" si="10">X3+AG3+AP3</f>
        <v>0</v>
      </c>
      <c r="BC3" s="46">
        <f t="shared" ref="BC3:BC17" si="11">Y3+AH3+AQ3</f>
        <v>10</v>
      </c>
      <c r="BD3" s="310">
        <f t="shared" ref="BD3:BD17" si="12">(BR$2*(AX3/100)+BR$2+BR$3)*(BS$2*(AU3/100)+BS$2+BS$3)-BT$2</f>
        <v>119320073066.13696</v>
      </c>
      <c r="BE3" s="34">
        <v>105</v>
      </c>
      <c r="BF3" s="34">
        <v>107</v>
      </c>
      <c r="BG3" s="52">
        <v>119</v>
      </c>
      <c r="BH3" s="58">
        <f t="shared" ref="BH3:BH17" si="13">(BE3+BN3*(BS$9-1))+500+((BE3+BN3*(BS$9-1))+500)*$BT$10</f>
        <v>1639.3751052799998</v>
      </c>
      <c r="BI3" s="58">
        <f t="shared" ref="BI3:BI17" si="14">(BF3+BO3*(BS$9-1))+500+((BF3+BO3*(BS$9-1))+500)*$BT$10</f>
        <v>1646.0318103039997</v>
      </c>
      <c r="BJ3" s="59">
        <f t="shared" ref="BJ3:BJ17" si="15">(BG3+BP3*(BS$9-1))+500+((BG3+BP3*(BS$9-1))+500)*$BT$10</f>
        <v>1698.4479792639997</v>
      </c>
      <c r="BK3" s="44">
        <v>8.8000000000000007</v>
      </c>
      <c r="BL3" s="44">
        <v>8.84</v>
      </c>
      <c r="BM3" s="53">
        <v>9.19</v>
      </c>
      <c r="BN3" s="58">
        <f t="shared" ref="BN3:BN17" si="16">(((((1+20/100)*$BK3)*(1+20/100)))*(1+20/100))*(1+20/100)*(1+20/100)</f>
        <v>21.897215999999997</v>
      </c>
      <c r="BO3" s="58">
        <f t="shared" ref="BO3:BO17" si="17">(((((1+20/100)*$BL3)*(1+20/100)))*(1+20/100))*(1+20/100)*(1+20/100)</f>
        <v>21.996748799999995</v>
      </c>
      <c r="BP3" s="58">
        <f t="shared" ref="BP3:BP17" si="18">(((((1+20/100)*$BM3)*(1+20/100)))*(1+20/100))*(1+20/100)*(1+20/100)</f>
        <v>22.867660799999992</v>
      </c>
      <c r="BR3" s="24">
        <f>BS8</f>
        <v>3055100</v>
      </c>
      <c r="BS3" s="24">
        <f>((BS7/100)*BS2)</f>
        <v>133400</v>
      </c>
    </row>
    <row r="4" spans="1:72" ht="14.25" customHeight="1" x14ac:dyDescent="0.25">
      <c r="A4" s="35" t="s">
        <v>50</v>
      </c>
      <c r="B4" s="70" t="s">
        <v>306</v>
      </c>
      <c r="C4" s="34">
        <v>45</v>
      </c>
      <c r="D4" s="34">
        <v>45</v>
      </c>
      <c r="E4" s="34">
        <v>45</v>
      </c>
      <c r="F4" s="34">
        <v>12</v>
      </c>
      <c r="G4" s="46">
        <v>18</v>
      </c>
      <c r="H4" s="34">
        <v>45</v>
      </c>
      <c r="I4" s="34">
        <v>45</v>
      </c>
      <c r="J4" s="34">
        <v>45</v>
      </c>
      <c r="K4" s="34">
        <v>0</v>
      </c>
      <c r="L4" s="34">
        <v>0</v>
      </c>
      <c r="M4" s="34">
        <v>0</v>
      </c>
      <c r="N4" s="34">
        <v>20</v>
      </c>
      <c r="O4" s="34">
        <v>0</v>
      </c>
      <c r="P4" s="46">
        <v>0</v>
      </c>
      <c r="Q4" s="34">
        <v>75</v>
      </c>
      <c r="R4" s="34">
        <v>45</v>
      </c>
      <c r="S4" s="34">
        <v>45</v>
      </c>
      <c r="T4" s="34">
        <v>10</v>
      </c>
      <c r="U4" s="34">
        <v>20</v>
      </c>
      <c r="V4" s="34">
        <v>0</v>
      </c>
      <c r="W4" s="34">
        <v>30</v>
      </c>
      <c r="X4" s="34">
        <v>10</v>
      </c>
      <c r="Y4" s="46">
        <v>0</v>
      </c>
      <c r="Z4" s="34">
        <v>55</v>
      </c>
      <c r="AA4" s="34">
        <v>35</v>
      </c>
      <c r="AB4" s="34">
        <v>10</v>
      </c>
      <c r="AC4" s="34">
        <v>0</v>
      </c>
      <c r="AD4" s="34">
        <v>0</v>
      </c>
      <c r="AE4" s="34">
        <v>40</v>
      </c>
      <c r="AF4" s="34">
        <v>0</v>
      </c>
      <c r="AG4" s="34">
        <v>15</v>
      </c>
      <c r="AH4" s="46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46">
        <v>0</v>
      </c>
      <c r="AR4" s="65">
        <f t="shared" si="0"/>
        <v>242.82519731199997</v>
      </c>
      <c r="AS4" s="65">
        <f t="shared" si="1"/>
        <v>240.79420881919995</v>
      </c>
      <c r="AT4" s="66">
        <f t="shared" si="2"/>
        <v>235.30565703679994</v>
      </c>
      <c r="AU4" s="34">
        <f t="shared" si="3"/>
        <v>372.825197312</v>
      </c>
      <c r="AV4" s="34">
        <f t="shared" si="4"/>
        <v>320.79420881919998</v>
      </c>
      <c r="AW4" s="34">
        <f t="shared" si="5"/>
        <v>290.30565703679997</v>
      </c>
      <c r="AX4" s="34">
        <f t="shared" si="6"/>
        <v>10</v>
      </c>
      <c r="AY4" s="34">
        <f t="shared" si="7"/>
        <v>20</v>
      </c>
      <c r="AZ4" s="34">
        <f t="shared" si="8"/>
        <v>40</v>
      </c>
      <c r="BA4" s="34">
        <f t="shared" si="9"/>
        <v>30</v>
      </c>
      <c r="BB4" s="34">
        <f t="shared" si="10"/>
        <v>25</v>
      </c>
      <c r="BC4" s="46">
        <f t="shared" si="11"/>
        <v>0</v>
      </c>
      <c r="BD4" s="310">
        <f t="shared" si="12"/>
        <v>103270899882.21204</v>
      </c>
      <c r="BE4" s="34">
        <v>123</v>
      </c>
      <c r="BF4" s="34">
        <v>107</v>
      </c>
      <c r="BG4" s="52">
        <v>110</v>
      </c>
      <c r="BH4" s="58">
        <f t="shared" si="13"/>
        <v>1664.1259865599998</v>
      </c>
      <c r="BI4" s="58">
        <f t="shared" si="14"/>
        <v>1653.9710440959998</v>
      </c>
      <c r="BJ4" s="59">
        <f t="shared" si="15"/>
        <v>1626.5282851839997</v>
      </c>
      <c r="BK4" s="44">
        <v>8.85</v>
      </c>
      <c r="BL4" s="44">
        <v>8.91</v>
      </c>
      <c r="BM4" s="53">
        <v>8.64</v>
      </c>
      <c r="BN4" s="58">
        <f t="shared" si="16"/>
        <v>22.021631999999993</v>
      </c>
      <c r="BO4" s="58">
        <f t="shared" si="17"/>
        <v>22.170931199999995</v>
      </c>
      <c r="BP4" s="58">
        <f t="shared" si="18"/>
        <v>21.499084799999995</v>
      </c>
    </row>
    <row r="5" spans="1:72" ht="14.25" customHeight="1" x14ac:dyDescent="0.25">
      <c r="A5" s="35" t="s">
        <v>51</v>
      </c>
      <c r="B5" s="70" t="s">
        <v>313</v>
      </c>
      <c r="C5" s="34">
        <v>45</v>
      </c>
      <c r="D5" s="34">
        <v>45</v>
      </c>
      <c r="E5" s="34">
        <v>45</v>
      </c>
      <c r="F5" s="34">
        <v>12</v>
      </c>
      <c r="G5" s="46">
        <v>18</v>
      </c>
      <c r="H5" s="34">
        <v>60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46">
        <v>0</v>
      </c>
      <c r="Q5" s="34">
        <v>90</v>
      </c>
      <c r="R5" s="34">
        <v>40</v>
      </c>
      <c r="S5" s="34">
        <v>45</v>
      </c>
      <c r="T5" s="34">
        <v>0</v>
      </c>
      <c r="U5" s="34">
        <v>0</v>
      </c>
      <c r="V5" s="34">
        <v>0</v>
      </c>
      <c r="W5" s="34">
        <v>0</v>
      </c>
      <c r="X5" s="34">
        <v>10</v>
      </c>
      <c r="Y5" s="46">
        <v>10</v>
      </c>
      <c r="Z5" s="34">
        <v>46</v>
      </c>
      <c r="AA5" s="34">
        <v>0</v>
      </c>
      <c r="AB5" s="34">
        <v>10</v>
      </c>
      <c r="AC5" s="34">
        <v>0</v>
      </c>
      <c r="AD5" s="34">
        <v>15</v>
      </c>
      <c r="AE5" s="34">
        <v>0</v>
      </c>
      <c r="AF5" s="34">
        <v>0</v>
      </c>
      <c r="AG5" s="34">
        <v>20</v>
      </c>
      <c r="AH5" s="46">
        <v>20</v>
      </c>
      <c r="AI5" s="34">
        <v>45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46">
        <v>0</v>
      </c>
      <c r="AR5" s="65">
        <f t="shared" si="0"/>
        <v>233.00763402239991</v>
      </c>
      <c r="AS5" s="65">
        <f t="shared" si="1"/>
        <v>240.47836206079992</v>
      </c>
      <c r="AT5" s="66">
        <f t="shared" si="2"/>
        <v>255.58731238399992</v>
      </c>
      <c r="AU5" s="34">
        <f t="shared" si="3"/>
        <v>414.00763402239988</v>
      </c>
      <c r="AV5" s="34">
        <f t="shared" si="4"/>
        <v>280.4783620607999</v>
      </c>
      <c r="AW5" s="34">
        <f t="shared" si="5"/>
        <v>310.58731238399992</v>
      </c>
      <c r="AX5" s="34">
        <f t="shared" si="6"/>
        <v>0</v>
      </c>
      <c r="AY5" s="34">
        <f t="shared" si="7"/>
        <v>15</v>
      </c>
      <c r="AZ5" s="34">
        <f t="shared" si="8"/>
        <v>0</v>
      </c>
      <c r="BA5" s="34">
        <f t="shared" si="9"/>
        <v>0</v>
      </c>
      <c r="BB5" s="34">
        <f t="shared" si="10"/>
        <v>30</v>
      </c>
      <c r="BC5" s="46">
        <f t="shared" si="11"/>
        <v>30</v>
      </c>
      <c r="BD5" s="310">
        <f t="shared" si="12"/>
        <v>102589920069.14636</v>
      </c>
      <c r="BE5" s="34">
        <v>112</v>
      </c>
      <c r="BF5" s="34">
        <v>113</v>
      </c>
      <c r="BG5" s="52">
        <v>119</v>
      </c>
      <c r="BH5" s="58">
        <f t="shared" si="13"/>
        <v>1615.0381701119995</v>
      </c>
      <c r="BI5" s="58">
        <f t="shared" si="14"/>
        <v>1652.3918103039996</v>
      </c>
      <c r="BJ5" s="59">
        <f t="shared" si="15"/>
        <v>1727.9365619199996</v>
      </c>
      <c r="BK5" s="44">
        <v>8.52</v>
      </c>
      <c r="BL5" s="44">
        <v>8.84</v>
      </c>
      <c r="BM5" s="53">
        <v>9.4499999999999993</v>
      </c>
      <c r="BN5" s="58">
        <f t="shared" si="16"/>
        <v>21.200486399999992</v>
      </c>
      <c r="BO5" s="58">
        <f t="shared" si="17"/>
        <v>21.996748799999995</v>
      </c>
      <c r="BP5" s="58">
        <f t="shared" si="18"/>
        <v>23.514623999999991</v>
      </c>
      <c r="BR5" s="33" t="s">
        <v>255</v>
      </c>
      <c r="BS5" s="25" t="s">
        <v>250</v>
      </c>
    </row>
    <row r="6" spans="1:72" ht="14.25" customHeight="1" x14ac:dyDescent="0.25">
      <c r="A6" s="35" t="s">
        <v>52</v>
      </c>
      <c r="B6" s="70" t="s">
        <v>314</v>
      </c>
      <c r="C6" s="34">
        <v>25</v>
      </c>
      <c r="D6" s="34">
        <v>45</v>
      </c>
      <c r="E6" s="34">
        <v>45</v>
      </c>
      <c r="F6" s="34">
        <v>12</v>
      </c>
      <c r="G6" s="46">
        <v>18</v>
      </c>
      <c r="H6" s="34">
        <v>55</v>
      </c>
      <c r="I6" s="34">
        <v>55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46">
        <v>0</v>
      </c>
      <c r="Q6" s="34">
        <v>90</v>
      </c>
      <c r="R6" s="34">
        <v>95</v>
      </c>
      <c r="S6" s="34">
        <v>75</v>
      </c>
      <c r="T6" s="34">
        <v>0</v>
      </c>
      <c r="U6" s="34">
        <v>0</v>
      </c>
      <c r="V6" s="34">
        <v>0</v>
      </c>
      <c r="W6" s="34">
        <v>0</v>
      </c>
      <c r="X6" s="34">
        <v>10</v>
      </c>
      <c r="Y6" s="46">
        <v>10</v>
      </c>
      <c r="Z6" s="34">
        <v>40</v>
      </c>
      <c r="AA6" s="34">
        <v>40</v>
      </c>
      <c r="AB6" s="34">
        <v>10</v>
      </c>
      <c r="AC6" s="34">
        <v>0</v>
      </c>
      <c r="AD6" s="34">
        <v>15</v>
      </c>
      <c r="AE6" s="34">
        <v>0</v>
      </c>
      <c r="AF6" s="34">
        <v>0</v>
      </c>
      <c r="AG6" s="34">
        <v>15</v>
      </c>
      <c r="AH6" s="46">
        <v>0</v>
      </c>
      <c r="AI6" s="34">
        <v>28</v>
      </c>
      <c r="AJ6" s="34">
        <v>10</v>
      </c>
      <c r="AK6" s="34">
        <v>10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46">
        <v>0</v>
      </c>
      <c r="AR6" s="65">
        <f t="shared" si="0"/>
        <v>237.79998350335995</v>
      </c>
      <c r="AS6" s="65">
        <f t="shared" si="1"/>
        <v>247.25374909439995</v>
      </c>
      <c r="AT6" s="66">
        <f t="shared" si="2"/>
        <v>242.53471457279994</v>
      </c>
      <c r="AU6" s="34">
        <f t="shared" si="3"/>
        <v>395.79998350335995</v>
      </c>
      <c r="AV6" s="34">
        <f t="shared" si="4"/>
        <v>392.25374909439995</v>
      </c>
      <c r="AW6" s="34">
        <f t="shared" si="5"/>
        <v>337.53471457279994</v>
      </c>
      <c r="AX6" s="34">
        <f t="shared" si="6"/>
        <v>0</v>
      </c>
      <c r="AY6" s="34">
        <f t="shared" si="7"/>
        <v>15</v>
      </c>
      <c r="AZ6" s="34">
        <f t="shared" si="8"/>
        <v>0</v>
      </c>
      <c r="BA6" s="34">
        <f t="shared" si="9"/>
        <v>0</v>
      </c>
      <c r="BB6" s="34">
        <f t="shared" si="10"/>
        <v>25</v>
      </c>
      <c r="BC6" s="46">
        <f t="shared" si="11"/>
        <v>10</v>
      </c>
      <c r="BD6" s="310">
        <f t="shared" si="12"/>
        <v>98078115798.179321</v>
      </c>
      <c r="BE6" s="34">
        <v>107</v>
      </c>
      <c r="BF6" s="34">
        <v>115</v>
      </c>
      <c r="BG6" s="52">
        <v>112</v>
      </c>
      <c r="BH6" s="58">
        <f t="shared" si="13"/>
        <v>1638.9999175167998</v>
      </c>
      <c r="BI6" s="58">
        <f t="shared" si="14"/>
        <v>1686.2687454719996</v>
      </c>
      <c r="BJ6" s="59">
        <f t="shared" si="15"/>
        <v>1662.6735728639997</v>
      </c>
      <c r="BK6" s="44">
        <v>8.7780000000000005</v>
      </c>
      <c r="BL6" s="44">
        <v>9.1199999999999992</v>
      </c>
      <c r="BM6" s="53">
        <v>8.94</v>
      </c>
      <c r="BN6" s="58">
        <f t="shared" si="16"/>
        <v>21.842472959999998</v>
      </c>
      <c r="BO6" s="58">
        <f t="shared" si="17"/>
        <v>22.693478399999993</v>
      </c>
      <c r="BP6" s="58">
        <f t="shared" si="18"/>
        <v>22.245580799999995</v>
      </c>
      <c r="BR6" s="33" t="s">
        <v>694</v>
      </c>
      <c r="BS6" s="25" t="s">
        <v>703</v>
      </c>
    </row>
    <row r="7" spans="1:72" ht="14.25" customHeight="1" x14ac:dyDescent="0.25">
      <c r="A7" s="35" t="s">
        <v>53</v>
      </c>
      <c r="B7" s="62" t="s">
        <v>642</v>
      </c>
      <c r="C7" s="41">
        <v>45</v>
      </c>
      <c r="D7" s="41">
        <v>45</v>
      </c>
      <c r="E7" s="41">
        <v>45</v>
      </c>
      <c r="F7" s="41">
        <v>12</v>
      </c>
      <c r="G7" s="48">
        <v>18</v>
      </c>
      <c r="H7" s="41">
        <v>35</v>
      </c>
      <c r="I7" s="41">
        <v>35</v>
      </c>
      <c r="J7" s="41">
        <v>35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8">
        <v>0</v>
      </c>
      <c r="Q7" s="41">
        <v>75</v>
      </c>
      <c r="R7" s="41">
        <v>55</v>
      </c>
      <c r="S7" s="41">
        <v>55</v>
      </c>
      <c r="T7" s="41">
        <v>0</v>
      </c>
      <c r="U7" s="41">
        <v>0</v>
      </c>
      <c r="V7" s="41">
        <v>50</v>
      </c>
      <c r="W7" s="41">
        <v>0</v>
      </c>
      <c r="X7" s="41">
        <v>0</v>
      </c>
      <c r="Y7" s="48">
        <v>18</v>
      </c>
      <c r="Z7" s="41">
        <v>70</v>
      </c>
      <c r="AA7" s="41">
        <v>50</v>
      </c>
      <c r="AB7" s="41">
        <v>40</v>
      </c>
      <c r="AC7" s="41">
        <v>0</v>
      </c>
      <c r="AD7" s="41">
        <v>15</v>
      </c>
      <c r="AE7" s="41">
        <v>0</v>
      </c>
      <c r="AF7" s="41">
        <v>0</v>
      </c>
      <c r="AG7" s="41">
        <v>0</v>
      </c>
      <c r="AH7" s="48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6">
        <v>0</v>
      </c>
      <c r="AR7" s="95">
        <f t="shared" si="0"/>
        <v>250.87258434559999</v>
      </c>
      <c r="AS7" s="95">
        <f t="shared" si="1"/>
        <v>237.18398653439999</v>
      </c>
      <c r="AT7" s="96">
        <f t="shared" si="2"/>
        <v>238.71249228799999</v>
      </c>
      <c r="AU7" s="41">
        <f t="shared" si="3"/>
        <v>395.87258434559999</v>
      </c>
      <c r="AV7" s="41">
        <f t="shared" si="4"/>
        <v>342.18398653439999</v>
      </c>
      <c r="AW7" s="41">
        <f t="shared" si="5"/>
        <v>333.71249228800002</v>
      </c>
      <c r="AX7" s="41">
        <f t="shared" si="6"/>
        <v>0</v>
      </c>
      <c r="AY7" s="41">
        <f t="shared" si="7"/>
        <v>15</v>
      </c>
      <c r="AZ7" s="41">
        <f t="shared" si="8"/>
        <v>50</v>
      </c>
      <c r="BA7" s="41">
        <f t="shared" si="9"/>
        <v>0</v>
      </c>
      <c r="BB7" s="41">
        <f t="shared" si="10"/>
        <v>0</v>
      </c>
      <c r="BC7" s="46">
        <f t="shared" si="11"/>
        <v>18</v>
      </c>
      <c r="BD7" s="311">
        <f t="shared" si="12"/>
        <v>98096106081.426025</v>
      </c>
      <c r="BE7" s="41">
        <v>131</v>
      </c>
      <c r="BF7" s="41">
        <v>121</v>
      </c>
      <c r="BG7" s="52">
        <v>125</v>
      </c>
      <c r="BH7" s="98">
        <f t="shared" si="13"/>
        <v>1704.3629217279999</v>
      </c>
      <c r="BI7" s="98">
        <f t="shared" si="14"/>
        <v>1635.919932672</v>
      </c>
      <c r="BJ7" s="100">
        <f t="shared" si="15"/>
        <v>1643.5624614399999</v>
      </c>
      <c r="BK7" s="99">
        <v>9.1300000000000008</v>
      </c>
      <c r="BL7" s="99">
        <v>8.6199999999999992</v>
      </c>
      <c r="BM7" s="53">
        <v>8.65</v>
      </c>
      <c r="BN7" s="98">
        <f t="shared" si="16"/>
        <v>22.718361600000001</v>
      </c>
      <c r="BO7" s="98">
        <f t="shared" si="17"/>
        <v>21.449318399999999</v>
      </c>
      <c r="BP7" s="98">
        <f t="shared" si="18"/>
        <v>21.523968</v>
      </c>
      <c r="BR7" s="33" t="s">
        <v>256</v>
      </c>
      <c r="BS7" s="25">
        <v>2000</v>
      </c>
    </row>
    <row r="8" spans="1:72" ht="14.25" customHeight="1" x14ac:dyDescent="0.25">
      <c r="A8" s="35" t="s">
        <v>54</v>
      </c>
      <c r="B8" s="70" t="s">
        <v>311</v>
      </c>
      <c r="C8" s="34">
        <v>45</v>
      </c>
      <c r="D8" s="34">
        <v>45</v>
      </c>
      <c r="E8" s="34">
        <v>45</v>
      </c>
      <c r="F8" s="34">
        <v>12</v>
      </c>
      <c r="G8" s="46">
        <v>18</v>
      </c>
      <c r="H8" s="34">
        <v>30</v>
      </c>
      <c r="I8" s="34">
        <v>0</v>
      </c>
      <c r="J8" s="34">
        <v>0</v>
      </c>
      <c r="K8" s="34">
        <v>0</v>
      </c>
      <c r="L8" s="34">
        <v>10</v>
      </c>
      <c r="M8" s="34">
        <v>0</v>
      </c>
      <c r="N8" s="34">
        <v>0</v>
      </c>
      <c r="O8" s="34">
        <v>0</v>
      </c>
      <c r="P8" s="46">
        <v>0</v>
      </c>
      <c r="Q8" s="34">
        <v>85</v>
      </c>
      <c r="R8" s="34">
        <v>60</v>
      </c>
      <c r="S8" s="34">
        <v>60</v>
      </c>
      <c r="T8" s="34">
        <v>0</v>
      </c>
      <c r="U8" s="34">
        <v>10</v>
      </c>
      <c r="V8" s="34">
        <v>0</v>
      </c>
      <c r="W8" s="34">
        <v>0</v>
      </c>
      <c r="X8" s="34">
        <v>10</v>
      </c>
      <c r="Y8" s="46">
        <v>10</v>
      </c>
      <c r="Z8" s="34">
        <v>15</v>
      </c>
      <c r="AA8" s="34">
        <v>0</v>
      </c>
      <c r="AB8" s="34">
        <v>0</v>
      </c>
      <c r="AC8" s="34">
        <v>0</v>
      </c>
      <c r="AD8" s="34">
        <v>15</v>
      </c>
      <c r="AE8" s="34">
        <v>0</v>
      </c>
      <c r="AF8" s="34">
        <v>0</v>
      </c>
      <c r="AG8" s="34">
        <v>15</v>
      </c>
      <c r="AH8" s="46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46">
        <v>0</v>
      </c>
      <c r="AR8" s="65">
        <f t="shared" si="0"/>
        <v>230.78378726399993</v>
      </c>
      <c r="AS8" s="65">
        <f t="shared" si="1"/>
        <v>234.65482178559998</v>
      </c>
      <c r="AT8" s="66">
        <f t="shared" si="2"/>
        <v>224.94541173759998</v>
      </c>
      <c r="AU8" s="34">
        <f t="shared" si="3"/>
        <v>330.7837872639999</v>
      </c>
      <c r="AV8" s="34">
        <f t="shared" si="4"/>
        <v>294.65482178560001</v>
      </c>
      <c r="AW8" s="34">
        <f t="shared" si="5"/>
        <v>284.94541173760001</v>
      </c>
      <c r="AX8" s="34">
        <f t="shared" si="6"/>
        <v>0</v>
      </c>
      <c r="AY8" s="34">
        <f t="shared" si="7"/>
        <v>25</v>
      </c>
      <c r="AZ8" s="34">
        <f t="shared" si="8"/>
        <v>0</v>
      </c>
      <c r="BA8" s="34">
        <f t="shared" si="9"/>
        <v>0</v>
      </c>
      <c r="BB8" s="34">
        <f t="shared" si="10"/>
        <v>25</v>
      </c>
      <c r="BC8" s="46">
        <f t="shared" si="11"/>
        <v>10</v>
      </c>
      <c r="BD8" s="310">
        <f t="shared" si="12"/>
        <v>81967286365.901245</v>
      </c>
      <c r="BE8" s="34">
        <v>109</v>
      </c>
      <c r="BF8" s="34">
        <v>108</v>
      </c>
      <c r="BG8" s="52">
        <v>105</v>
      </c>
      <c r="BH8" s="58">
        <f t="shared" si="13"/>
        <v>1603.9189363199996</v>
      </c>
      <c r="BI8" s="58">
        <f t="shared" si="14"/>
        <v>1623.2741089279998</v>
      </c>
      <c r="BJ8" s="59">
        <f t="shared" si="15"/>
        <v>1574.7270586879999</v>
      </c>
      <c r="BK8" s="44">
        <v>8.4499999999999993</v>
      </c>
      <c r="BL8" s="44">
        <v>8.6300000000000008</v>
      </c>
      <c r="BM8" s="53">
        <v>8.23</v>
      </c>
      <c r="BN8" s="58">
        <f t="shared" si="16"/>
        <v>21.026303999999993</v>
      </c>
      <c r="BO8" s="58">
        <f t="shared" si="17"/>
        <v>21.474201599999997</v>
      </c>
      <c r="BP8" s="58">
        <f t="shared" si="18"/>
        <v>20.478873599999996</v>
      </c>
      <c r="BR8" s="33" t="s">
        <v>258</v>
      </c>
      <c r="BS8" s="25">
        <v>3055100</v>
      </c>
    </row>
    <row r="9" spans="1:72" ht="14.25" customHeight="1" x14ac:dyDescent="0.25">
      <c r="A9" s="35" t="s">
        <v>55</v>
      </c>
      <c r="B9" s="68" t="s">
        <v>308</v>
      </c>
      <c r="C9" s="34">
        <v>45</v>
      </c>
      <c r="D9" s="34">
        <v>45</v>
      </c>
      <c r="E9" s="34">
        <v>45</v>
      </c>
      <c r="F9" s="34">
        <v>12</v>
      </c>
      <c r="G9" s="46">
        <v>18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75</v>
      </c>
      <c r="N9" s="34">
        <v>0</v>
      </c>
      <c r="O9" s="34">
        <v>0</v>
      </c>
      <c r="P9" s="46">
        <v>0</v>
      </c>
      <c r="Q9" s="34">
        <v>75</v>
      </c>
      <c r="R9" s="34">
        <v>20</v>
      </c>
      <c r="S9" s="34">
        <v>35</v>
      </c>
      <c r="T9" s="34">
        <v>0</v>
      </c>
      <c r="U9" s="34">
        <v>10</v>
      </c>
      <c r="V9" s="34">
        <v>75</v>
      </c>
      <c r="W9" s="34">
        <v>10</v>
      </c>
      <c r="X9" s="34">
        <v>0</v>
      </c>
      <c r="Y9" s="46">
        <v>0</v>
      </c>
      <c r="Z9" s="34">
        <v>10</v>
      </c>
      <c r="AA9" s="34">
        <v>10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46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46">
        <v>0</v>
      </c>
      <c r="AR9" s="65">
        <f t="shared" si="0"/>
        <v>219.88085995519995</v>
      </c>
      <c r="AS9" s="65">
        <f t="shared" si="1"/>
        <v>219.1706836992</v>
      </c>
      <c r="AT9" s="66">
        <f t="shared" si="2"/>
        <v>180.18038451199996</v>
      </c>
      <c r="AU9" s="34">
        <f t="shared" si="3"/>
        <v>304.88085995519998</v>
      </c>
      <c r="AV9" s="34">
        <f t="shared" si="4"/>
        <v>249.1706836992</v>
      </c>
      <c r="AW9" s="34">
        <f t="shared" si="5"/>
        <v>215.18038451199996</v>
      </c>
      <c r="AX9" s="34">
        <f t="shared" si="6"/>
        <v>0</v>
      </c>
      <c r="AY9" s="34">
        <f t="shared" si="7"/>
        <v>10</v>
      </c>
      <c r="AZ9" s="34">
        <f t="shared" si="8"/>
        <v>75</v>
      </c>
      <c r="BA9" s="34">
        <f t="shared" si="9"/>
        <v>10</v>
      </c>
      <c r="BB9" s="34">
        <f t="shared" si="10"/>
        <v>0</v>
      </c>
      <c r="BC9" s="46">
        <f t="shared" si="11"/>
        <v>0</v>
      </c>
      <c r="BD9" s="310">
        <f t="shared" si="12"/>
        <v>75548614284.064819</v>
      </c>
      <c r="BE9" s="34">
        <v>110</v>
      </c>
      <c r="BF9" s="34">
        <v>112</v>
      </c>
      <c r="BG9" s="52">
        <v>95</v>
      </c>
      <c r="BH9" s="58">
        <f t="shared" si="13"/>
        <v>1549.4042997759998</v>
      </c>
      <c r="BI9" s="58">
        <f t="shared" si="14"/>
        <v>1545.8534184959999</v>
      </c>
      <c r="BJ9" s="59">
        <f t="shared" si="15"/>
        <v>1350.9019225599998</v>
      </c>
      <c r="BK9" s="44">
        <v>7.96</v>
      </c>
      <c r="BL9" s="44">
        <v>7.91</v>
      </c>
      <c r="BM9" s="53">
        <v>6.35</v>
      </c>
      <c r="BN9" s="58">
        <f t="shared" si="16"/>
        <v>19.807027199999997</v>
      </c>
      <c r="BO9" s="58">
        <f t="shared" si="17"/>
        <v>19.682611199999997</v>
      </c>
      <c r="BP9" s="58">
        <f t="shared" si="18"/>
        <v>15.800831999999996</v>
      </c>
      <c r="BR9" s="33" t="s">
        <v>278</v>
      </c>
      <c r="BS9" s="25">
        <v>44</v>
      </c>
    </row>
    <row r="10" spans="1:72" ht="14.25" customHeight="1" x14ac:dyDescent="0.25">
      <c r="A10" s="35" t="s">
        <v>56</v>
      </c>
      <c r="B10" s="68" t="s">
        <v>309</v>
      </c>
      <c r="C10" s="34">
        <v>45</v>
      </c>
      <c r="D10" s="34">
        <v>45</v>
      </c>
      <c r="E10" s="34">
        <v>45</v>
      </c>
      <c r="F10" s="34">
        <v>12</v>
      </c>
      <c r="G10" s="46">
        <v>18</v>
      </c>
      <c r="H10" s="34">
        <v>20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46">
        <v>5</v>
      </c>
      <c r="Q10" s="34">
        <v>80</v>
      </c>
      <c r="R10" s="34">
        <v>20</v>
      </c>
      <c r="S10" s="34">
        <v>20</v>
      </c>
      <c r="T10" s="34">
        <v>0</v>
      </c>
      <c r="U10" s="34">
        <v>10</v>
      </c>
      <c r="V10" s="34">
        <v>0</v>
      </c>
      <c r="W10" s="34">
        <v>10</v>
      </c>
      <c r="X10" s="34">
        <v>0</v>
      </c>
      <c r="Y10" s="46">
        <v>5</v>
      </c>
      <c r="Z10" s="34">
        <v>6</v>
      </c>
      <c r="AA10" s="34">
        <v>0</v>
      </c>
      <c r="AB10" s="34">
        <v>0</v>
      </c>
      <c r="AC10" s="34">
        <v>0</v>
      </c>
      <c r="AD10" s="34">
        <v>0</v>
      </c>
      <c r="AE10" s="34">
        <v>40</v>
      </c>
      <c r="AF10" s="34">
        <v>0</v>
      </c>
      <c r="AG10" s="34">
        <v>15</v>
      </c>
      <c r="AH10" s="46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46">
        <v>0</v>
      </c>
      <c r="AR10" s="65">
        <f t="shared" si="0"/>
        <v>218.59402470400002</v>
      </c>
      <c r="AS10" s="65">
        <f t="shared" si="1"/>
        <v>219.06253045759999</v>
      </c>
      <c r="AT10" s="66">
        <f t="shared" si="2"/>
        <v>224.33908223999998</v>
      </c>
      <c r="AU10" s="34">
        <f t="shared" si="3"/>
        <v>304.59402470400005</v>
      </c>
      <c r="AV10" s="34">
        <f t="shared" si="4"/>
        <v>239.06253045759999</v>
      </c>
      <c r="AW10" s="34">
        <f t="shared" si="5"/>
        <v>244.33908223999998</v>
      </c>
      <c r="AX10" s="34">
        <f t="shared" si="6"/>
        <v>0</v>
      </c>
      <c r="AY10" s="34">
        <f t="shared" si="7"/>
        <v>10</v>
      </c>
      <c r="AZ10" s="34">
        <f t="shared" si="8"/>
        <v>40</v>
      </c>
      <c r="BA10" s="34">
        <f t="shared" si="9"/>
        <v>10</v>
      </c>
      <c r="BB10" s="34">
        <f t="shared" si="10"/>
        <v>15</v>
      </c>
      <c r="BC10" s="46">
        <f t="shared" si="11"/>
        <v>5</v>
      </c>
      <c r="BD10" s="310">
        <f t="shared" si="12"/>
        <v>75477537320.561401</v>
      </c>
      <c r="BE10" s="34">
        <v>105</v>
      </c>
      <c r="BF10" s="34">
        <v>104</v>
      </c>
      <c r="BG10" s="52">
        <v>100</v>
      </c>
      <c r="BH10" s="58">
        <f t="shared" si="13"/>
        <v>1542.97012352</v>
      </c>
      <c r="BI10" s="58">
        <f t="shared" si="14"/>
        <v>1545.312652288</v>
      </c>
      <c r="BJ10" s="59">
        <f t="shared" si="15"/>
        <v>1571.6954111999999</v>
      </c>
      <c r="BK10" s="44">
        <v>7.95</v>
      </c>
      <c r="BL10" s="44">
        <v>7.98</v>
      </c>
      <c r="BM10" s="53">
        <v>8.25</v>
      </c>
      <c r="BN10" s="58">
        <f t="shared" si="16"/>
        <v>19.782143999999999</v>
      </c>
      <c r="BO10" s="58">
        <f t="shared" si="17"/>
        <v>19.8567936</v>
      </c>
      <c r="BP10" s="58">
        <f t="shared" si="18"/>
        <v>20.528639999999999</v>
      </c>
      <c r="BR10" s="33" t="s">
        <v>802</v>
      </c>
      <c r="BS10" s="381" t="s">
        <v>808</v>
      </c>
      <c r="BT10" s="207">
        <f>VLOOKUP(BS10,Calculator!X2:Y13,2,0)</f>
        <v>0.06</v>
      </c>
    </row>
    <row r="11" spans="1:72" ht="14.25" customHeight="1" x14ac:dyDescent="0.25">
      <c r="A11" s="35" t="s">
        <v>57</v>
      </c>
      <c r="B11" s="68" t="s">
        <v>307</v>
      </c>
      <c r="C11" s="34">
        <v>45</v>
      </c>
      <c r="D11" s="34">
        <v>45</v>
      </c>
      <c r="E11" s="34">
        <v>45</v>
      </c>
      <c r="F11" s="34">
        <v>12</v>
      </c>
      <c r="G11" s="46">
        <v>18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25</v>
      </c>
      <c r="O11" s="34">
        <v>0</v>
      </c>
      <c r="P11" s="46">
        <v>0</v>
      </c>
      <c r="Q11" s="34">
        <v>20</v>
      </c>
      <c r="R11" s="34">
        <v>35</v>
      </c>
      <c r="S11" s="34">
        <v>30</v>
      </c>
      <c r="T11" s="34">
        <v>0</v>
      </c>
      <c r="U11" s="34">
        <v>0</v>
      </c>
      <c r="V11" s="34">
        <v>0</v>
      </c>
      <c r="W11" s="34">
        <v>25</v>
      </c>
      <c r="X11" s="34">
        <v>10</v>
      </c>
      <c r="Y11" s="46">
        <v>10</v>
      </c>
      <c r="Z11" s="34">
        <v>36</v>
      </c>
      <c r="AA11" s="34">
        <v>10</v>
      </c>
      <c r="AB11" s="34">
        <v>0</v>
      </c>
      <c r="AC11" s="34">
        <v>0</v>
      </c>
      <c r="AD11" s="34">
        <v>0</v>
      </c>
      <c r="AE11" s="34">
        <v>20</v>
      </c>
      <c r="AF11" s="34">
        <v>0</v>
      </c>
      <c r="AG11" s="34">
        <v>0</v>
      </c>
      <c r="AH11" s="46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46">
        <v>0</v>
      </c>
      <c r="AR11" s="65">
        <f t="shared" si="0"/>
        <v>224.29457648639996</v>
      </c>
      <c r="AS11" s="65">
        <f t="shared" si="1"/>
        <v>217.05068369920002</v>
      </c>
      <c r="AT11" s="66">
        <f t="shared" si="2"/>
        <v>227.27310525439995</v>
      </c>
      <c r="AU11" s="34">
        <f t="shared" si="3"/>
        <v>280.29457648639993</v>
      </c>
      <c r="AV11" s="34">
        <f t="shared" si="4"/>
        <v>262.05068369920002</v>
      </c>
      <c r="AW11" s="34">
        <f t="shared" si="5"/>
        <v>257.27310525439998</v>
      </c>
      <c r="AX11" s="34">
        <f t="shared" si="6"/>
        <v>0</v>
      </c>
      <c r="AY11" s="34">
        <f t="shared" si="7"/>
        <v>0</v>
      </c>
      <c r="AZ11" s="34">
        <f t="shared" si="8"/>
        <v>20</v>
      </c>
      <c r="BA11" s="34">
        <f t="shared" si="9"/>
        <v>25</v>
      </c>
      <c r="BB11" s="34">
        <f t="shared" si="10"/>
        <v>10</v>
      </c>
      <c r="BC11" s="46">
        <f t="shared" si="11"/>
        <v>10</v>
      </c>
      <c r="BD11" s="310">
        <f t="shared" si="12"/>
        <v>69456202819.678467</v>
      </c>
      <c r="BE11" s="34">
        <v>103</v>
      </c>
      <c r="BF11" s="34">
        <v>102</v>
      </c>
      <c r="BG11" s="52">
        <v>101</v>
      </c>
      <c r="BH11" s="58">
        <f t="shared" si="13"/>
        <v>1571.4728824319998</v>
      </c>
      <c r="BI11" s="58">
        <f t="shared" si="14"/>
        <v>1535.253418496</v>
      </c>
      <c r="BJ11" s="59">
        <f t="shared" si="15"/>
        <v>1586.3655262719997</v>
      </c>
      <c r="BK11" s="44">
        <v>8.2200000000000006</v>
      </c>
      <c r="BL11" s="44">
        <v>7.91</v>
      </c>
      <c r="BM11" s="53">
        <v>8.3699999999999992</v>
      </c>
      <c r="BN11" s="58">
        <f t="shared" si="16"/>
        <v>20.453990399999999</v>
      </c>
      <c r="BO11" s="58">
        <f t="shared" si="17"/>
        <v>19.682611199999997</v>
      </c>
      <c r="BP11" s="58">
        <f t="shared" si="18"/>
        <v>20.827238399999995</v>
      </c>
    </row>
    <row r="12" spans="1:72" ht="14.25" customHeight="1" x14ac:dyDescent="0.25">
      <c r="A12" s="35" t="s">
        <v>58</v>
      </c>
      <c r="B12" s="68" t="s">
        <v>310</v>
      </c>
      <c r="C12" s="34">
        <v>45</v>
      </c>
      <c r="D12" s="34">
        <v>45</v>
      </c>
      <c r="E12" s="34">
        <v>45</v>
      </c>
      <c r="F12" s="34">
        <v>12</v>
      </c>
      <c r="G12" s="46">
        <v>0</v>
      </c>
      <c r="H12" s="34">
        <v>0</v>
      </c>
      <c r="I12" s="34">
        <v>0</v>
      </c>
      <c r="J12" s="34">
        <v>0</v>
      </c>
      <c r="K12" s="34">
        <v>0</v>
      </c>
      <c r="L12" s="34">
        <v>25</v>
      </c>
      <c r="M12" s="34">
        <v>0</v>
      </c>
      <c r="N12" s="34">
        <v>0</v>
      </c>
      <c r="O12" s="34">
        <v>0</v>
      </c>
      <c r="P12" s="46">
        <v>0</v>
      </c>
      <c r="Q12" s="34">
        <v>20</v>
      </c>
      <c r="R12" s="34">
        <v>40</v>
      </c>
      <c r="S12" s="34">
        <v>40</v>
      </c>
      <c r="T12" s="34">
        <v>0</v>
      </c>
      <c r="U12" s="34">
        <v>25</v>
      </c>
      <c r="V12" s="34">
        <v>0</v>
      </c>
      <c r="W12" s="34">
        <v>0</v>
      </c>
      <c r="X12" s="34">
        <v>0</v>
      </c>
      <c r="Y12" s="46">
        <v>0</v>
      </c>
      <c r="Z12" s="34">
        <v>20</v>
      </c>
      <c r="AA12" s="34">
        <v>20</v>
      </c>
      <c r="AB12" s="34">
        <v>10</v>
      </c>
      <c r="AC12" s="34">
        <v>0</v>
      </c>
      <c r="AD12" s="34">
        <v>16</v>
      </c>
      <c r="AE12" s="34">
        <v>10</v>
      </c>
      <c r="AF12" s="34">
        <v>0</v>
      </c>
      <c r="AG12" s="34">
        <v>0</v>
      </c>
      <c r="AH12" s="46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46">
        <v>0</v>
      </c>
      <c r="AR12" s="65">
        <f t="shared" si="0"/>
        <v>217.03584844799997</v>
      </c>
      <c r="AS12" s="65">
        <f t="shared" si="1"/>
        <v>217.05068369920002</v>
      </c>
      <c r="AT12" s="66">
        <f t="shared" si="2"/>
        <v>230.69046927359997</v>
      </c>
      <c r="AU12" s="34">
        <f t="shared" si="3"/>
        <v>257.03584844799997</v>
      </c>
      <c r="AV12" s="34">
        <f t="shared" si="4"/>
        <v>277.05068369920002</v>
      </c>
      <c r="AW12" s="34">
        <f t="shared" si="5"/>
        <v>280.6904692736</v>
      </c>
      <c r="AX12" s="34">
        <f t="shared" si="6"/>
        <v>0</v>
      </c>
      <c r="AY12" s="34">
        <f t="shared" si="7"/>
        <v>41</v>
      </c>
      <c r="AZ12" s="34">
        <f t="shared" si="8"/>
        <v>10</v>
      </c>
      <c r="BA12" s="34">
        <f t="shared" si="9"/>
        <v>0</v>
      </c>
      <c r="BB12" s="34">
        <f t="shared" si="10"/>
        <v>0</v>
      </c>
      <c r="BC12" s="46">
        <f t="shared" si="11"/>
        <v>0</v>
      </c>
      <c r="BD12" s="310">
        <f t="shared" si="12"/>
        <v>63692755833.963257</v>
      </c>
      <c r="BE12" s="34">
        <v>103</v>
      </c>
      <c r="BF12" s="34">
        <v>102</v>
      </c>
      <c r="BG12" s="52">
        <v>100</v>
      </c>
      <c r="BH12" s="58">
        <f t="shared" si="13"/>
        <v>1535.1792422399999</v>
      </c>
      <c r="BI12" s="58">
        <f t="shared" si="14"/>
        <v>1535.253418496</v>
      </c>
      <c r="BJ12" s="59">
        <f t="shared" si="15"/>
        <v>1603.4523463679998</v>
      </c>
      <c r="BK12" s="44">
        <v>7.9</v>
      </c>
      <c r="BL12" s="44">
        <v>7.91</v>
      </c>
      <c r="BM12" s="53">
        <v>8.5299999999999994</v>
      </c>
      <c r="BN12" s="58">
        <f t="shared" si="16"/>
        <v>19.657727999999995</v>
      </c>
      <c r="BO12" s="58">
        <f t="shared" si="17"/>
        <v>19.682611199999997</v>
      </c>
      <c r="BP12" s="58">
        <f t="shared" si="18"/>
        <v>21.225369599999997</v>
      </c>
    </row>
    <row r="13" spans="1:72" ht="14.25" customHeight="1" x14ac:dyDescent="0.25">
      <c r="A13" s="35" t="s">
        <v>59</v>
      </c>
      <c r="B13" s="68" t="s">
        <v>312</v>
      </c>
      <c r="C13" s="34">
        <v>45</v>
      </c>
      <c r="D13" s="34">
        <v>45</v>
      </c>
      <c r="E13" s="34">
        <v>45</v>
      </c>
      <c r="F13" s="34">
        <v>12</v>
      </c>
      <c r="G13" s="46">
        <v>0</v>
      </c>
      <c r="H13" s="34">
        <v>0</v>
      </c>
      <c r="I13" s="34">
        <v>0</v>
      </c>
      <c r="J13" s="34">
        <v>0</v>
      </c>
      <c r="K13" s="34">
        <v>0</v>
      </c>
      <c r="L13" s="34">
        <v>20</v>
      </c>
      <c r="M13" s="34">
        <v>0</v>
      </c>
      <c r="N13" s="34">
        <v>0</v>
      </c>
      <c r="O13" s="34">
        <v>0</v>
      </c>
      <c r="P13" s="46">
        <v>0</v>
      </c>
      <c r="Q13" s="34">
        <v>60</v>
      </c>
      <c r="R13" s="34">
        <v>15</v>
      </c>
      <c r="S13" s="34">
        <v>25</v>
      </c>
      <c r="T13" s="34">
        <v>0</v>
      </c>
      <c r="U13" s="34">
        <v>20</v>
      </c>
      <c r="V13" s="34">
        <v>10</v>
      </c>
      <c r="W13" s="34">
        <v>0</v>
      </c>
      <c r="X13" s="34">
        <v>0</v>
      </c>
      <c r="Y13" s="46">
        <v>0</v>
      </c>
      <c r="Z13" s="34">
        <v>0</v>
      </c>
      <c r="AA13" s="34">
        <v>10</v>
      </c>
      <c r="AB13" s="34">
        <v>10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46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46">
        <v>0</v>
      </c>
      <c r="AR13" s="65">
        <f t="shared" si="0"/>
        <v>151.34885939199995</v>
      </c>
      <c r="AS13" s="65">
        <f t="shared" si="1"/>
        <v>225.39908223999996</v>
      </c>
      <c r="AT13" s="66">
        <f t="shared" si="2"/>
        <v>155.16485939199998</v>
      </c>
      <c r="AU13" s="34">
        <f t="shared" si="3"/>
        <v>211.34885939199995</v>
      </c>
      <c r="AV13" s="34">
        <f t="shared" si="4"/>
        <v>250.39908223999996</v>
      </c>
      <c r="AW13" s="34">
        <f t="shared" si="5"/>
        <v>190.16485939199998</v>
      </c>
      <c r="AX13" s="34">
        <f t="shared" si="6"/>
        <v>0</v>
      </c>
      <c r="AY13" s="34">
        <f t="shared" si="7"/>
        <v>20</v>
      </c>
      <c r="AZ13" s="34">
        <f t="shared" si="8"/>
        <v>10</v>
      </c>
      <c r="BA13" s="34">
        <f t="shared" si="9"/>
        <v>0</v>
      </c>
      <c r="BB13" s="34">
        <f t="shared" si="10"/>
        <v>0</v>
      </c>
      <c r="BC13" s="46">
        <f t="shared" si="11"/>
        <v>0</v>
      </c>
      <c r="BD13" s="310">
        <f t="shared" si="12"/>
        <v>52371649240.06543</v>
      </c>
      <c r="BE13" s="34">
        <v>66</v>
      </c>
      <c r="BF13" s="34">
        <v>105</v>
      </c>
      <c r="BG13" s="52">
        <v>84</v>
      </c>
      <c r="BH13" s="58">
        <f t="shared" si="13"/>
        <v>1206.7442969599997</v>
      </c>
      <c r="BI13" s="58">
        <f t="shared" si="14"/>
        <v>1576.9954111999998</v>
      </c>
      <c r="BJ13" s="59">
        <f t="shared" si="15"/>
        <v>1225.8242969599999</v>
      </c>
      <c r="BK13" s="44">
        <v>5.35</v>
      </c>
      <c r="BL13" s="44">
        <v>8.25</v>
      </c>
      <c r="BM13" s="53">
        <v>5.35</v>
      </c>
      <c r="BN13" s="58">
        <f t="shared" si="16"/>
        <v>13.312511999999996</v>
      </c>
      <c r="BO13" s="58">
        <f t="shared" si="17"/>
        <v>20.528639999999999</v>
      </c>
      <c r="BP13" s="58">
        <f t="shared" si="18"/>
        <v>13.312511999999996</v>
      </c>
    </row>
    <row r="14" spans="1:72" ht="14.25" customHeight="1" x14ac:dyDescent="0.25">
      <c r="A14" s="35" t="s">
        <v>60</v>
      </c>
      <c r="B14" s="62"/>
      <c r="C14" s="41">
        <v>0</v>
      </c>
      <c r="D14" s="41">
        <v>0</v>
      </c>
      <c r="E14" s="41">
        <v>0</v>
      </c>
      <c r="F14" s="41">
        <v>0</v>
      </c>
      <c r="G14" s="48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8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8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8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6">
        <v>0</v>
      </c>
      <c r="AR14" s="95">
        <f t="shared" si="0"/>
        <v>16</v>
      </c>
      <c r="AS14" s="95">
        <f t="shared" si="1"/>
        <v>16</v>
      </c>
      <c r="AT14" s="96">
        <f t="shared" si="2"/>
        <v>16</v>
      </c>
      <c r="AU14" s="41">
        <f t="shared" si="3"/>
        <v>16</v>
      </c>
      <c r="AV14" s="41">
        <f t="shared" si="4"/>
        <v>16</v>
      </c>
      <c r="AW14" s="41">
        <f t="shared" si="5"/>
        <v>16</v>
      </c>
      <c r="AX14" s="41">
        <f t="shared" si="6"/>
        <v>0</v>
      </c>
      <c r="AY14" s="41">
        <f t="shared" si="7"/>
        <v>0</v>
      </c>
      <c r="AZ14" s="41">
        <f t="shared" si="8"/>
        <v>0</v>
      </c>
      <c r="BA14" s="41">
        <f t="shared" si="9"/>
        <v>0</v>
      </c>
      <c r="BB14" s="41">
        <f t="shared" si="10"/>
        <v>0</v>
      </c>
      <c r="BC14" s="46">
        <f t="shared" si="11"/>
        <v>0</v>
      </c>
      <c r="BD14" s="311">
        <f t="shared" si="12"/>
        <v>3964754720.000061</v>
      </c>
      <c r="BE14" s="41">
        <v>0</v>
      </c>
      <c r="BF14" s="41">
        <v>0</v>
      </c>
      <c r="BG14" s="52">
        <v>0</v>
      </c>
      <c r="BH14" s="98">
        <f t="shared" si="13"/>
        <v>530</v>
      </c>
      <c r="BI14" s="98">
        <f t="shared" si="14"/>
        <v>530</v>
      </c>
      <c r="BJ14" s="100">
        <f t="shared" si="15"/>
        <v>530</v>
      </c>
      <c r="BK14" s="99">
        <v>0</v>
      </c>
      <c r="BL14" s="99">
        <v>0</v>
      </c>
      <c r="BM14" s="53">
        <v>0</v>
      </c>
      <c r="BN14" s="98">
        <f t="shared" si="16"/>
        <v>0</v>
      </c>
      <c r="BO14" s="98">
        <f t="shared" si="17"/>
        <v>0</v>
      </c>
      <c r="BP14" s="98">
        <f t="shared" si="18"/>
        <v>0</v>
      </c>
    </row>
    <row r="15" spans="1:72" ht="14.25" customHeight="1" x14ac:dyDescent="0.25">
      <c r="A15" s="35" t="s">
        <v>61</v>
      </c>
      <c r="B15" s="62"/>
      <c r="C15" s="41">
        <v>0</v>
      </c>
      <c r="D15" s="41">
        <v>0</v>
      </c>
      <c r="E15" s="41">
        <v>0</v>
      </c>
      <c r="F15" s="41">
        <v>0</v>
      </c>
      <c r="G15" s="48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8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8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8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6">
        <v>0</v>
      </c>
      <c r="AR15" s="95">
        <f t="shared" si="0"/>
        <v>16</v>
      </c>
      <c r="AS15" s="95">
        <f t="shared" si="1"/>
        <v>16</v>
      </c>
      <c r="AT15" s="96">
        <f t="shared" si="2"/>
        <v>16</v>
      </c>
      <c r="AU15" s="41">
        <f t="shared" si="3"/>
        <v>16</v>
      </c>
      <c r="AV15" s="41">
        <f t="shared" si="4"/>
        <v>16</v>
      </c>
      <c r="AW15" s="41">
        <f t="shared" si="5"/>
        <v>16</v>
      </c>
      <c r="AX15" s="41">
        <f t="shared" si="6"/>
        <v>0</v>
      </c>
      <c r="AY15" s="41">
        <f t="shared" si="7"/>
        <v>0</v>
      </c>
      <c r="AZ15" s="41">
        <f t="shared" si="8"/>
        <v>0</v>
      </c>
      <c r="BA15" s="41">
        <f t="shared" si="9"/>
        <v>0</v>
      </c>
      <c r="BB15" s="41">
        <f t="shared" si="10"/>
        <v>0</v>
      </c>
      <c r="BC15" s="46">
        <f t="shared" si="11"/>
        <v>0</v>
      </c>
      <c r="BD15" s="311">
        <f t="shared" si="12"/>
        <v>3964754720.000061</v>
      </c>
      <c r="BE15" s="41">
        <v>0</v>
      </c>
      <c r="BF15" s="41">
        <v>0</v>
      </c>
      <c r="BG15" s="52">
        <v>0</v>
      </c>
      <c r="BH15" s="98">
        <f t="shared" si="13"/>
        <v>530</v>
      </c>
      <c r="BI15" s="98">
        <f t="shared" si="14"/>
        <v>530</v>
      </c>
      <c r="BJ15" s="100">
        <f t="shared" si="15"/>
        <v>530</v>
      </c>
      <c r="BK15" s="99">
        <v>0</v>
      </c>
      <c r="BL15" s="99">
        <v>0</v>
      </c>
      <c r="BM15" s="53">
        <v>0</v>
      </c>
      <c r="BN15" s="98">
        <f t="shared" si="16"/>
        <v>0</v>
      </c>
      <c r="BO15" s="98">
        <f t="shared" si="17"/>
        <v>0</v>
      </c>
      <c r="BP15" s="98">
        <f t="shared" si="18"/>
        <v>0</v>
      </c>
    </row>
    <row r="16" spans="1:72" ht="14.25" customHeight="1" x14ac:dyDescent="0.25">
      <c r="A16" s="35" t="s">
        <v>62</v>
      </c>
      <c r="B16" s="62"/>
      <c r="C16" s="41">
        <v>0</v>
      </c>
      <c r="D16" s="41">
        <v>0</v>
      </c>
      <c r="E16" s="41">
        <v>0</v>
      </c>
      <c r="F16" s="41">
        <v>0</v>
      </c>
      <c r="G16" s="48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8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41">
        <v>0</v>
      </c>
      <c r="Y16" s="48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0</v>
      </c>
      <c r="AE16" s="41">
        <v>0</v>
      </c>
      <c r="AF16" s="41">
        <v>0</v>
      </c>
      <c r="AG16" s="41">
        <v>0</v>
      </c>
      <c r="AH16" s="48">
        <v>0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6">
        <v>0</v>
      </c>
      <c r="AR16" s="95">
        <f t="shared" si="0"/>
        <v>16</v>
      </c>
      <c r="AS16" s="95">
        <f t="shared" si="1"/>
        <v>16</v>
      </c>
      <c r="AT16" s="96">
        <f t="shared" si="2"/>
        <v>16</v>
      </c>
      <c r="AU16" s="41">
        <f t="shared" si="3"/>
        <v>16</v>
      </c>
      <c r="AV16" s="41">
        <f t="shared" si="4"/>
        <v>16</v>
      </c>
      <c r="AW16" s="41">
        <f t="shared" si="5"/>
        <v>16</v>
      </c>
      <c r="AX16" s="41">
        <f t="shared" si="6"/>
        <v>0</v>
      </c>
      <c r="AY16" s="41">
        <f t="shared" si="7"/>
        <v>0</v>
      </c>
      <c r="AZ16" s="41">
        <f t="shared" si="8"/>
        <v>0</v>
      </c>
      <c r="BA16" s="41">
        <f t="shared" si="9"/>
        <v>0</v>
      </c>
      <c r="BB16" s="41">
        <f t="shared" si="10"/>
        <v>0</v>
      </c>
      <c r="BC16" s="46">
        <f t="shared" si="11"/>
        <v>0</v>
      </c>
      <c r="BD16" s="311">
        <f t="shared" si="12"/>
        <v>3964754720.000061</v>
      </c>
      <c r="BE16" s="41">
        <v>0</v>
      </c>
      <c r="BF16" s="41">
        <v>0</v>
      </c>
      <c r="BG16" s="52">
        <v>0</v>
      </c>
      <c r="BH16" s="98">
        <f t="shared" si="13"/>
        <v>530</v>
      </c>
      <c r="BI16" s="98">
        <f t="shared" si="14"/>
        <v>530</v>
      </c>
      <c r="BJ16" s="100">
        <f t="shared" si="15"/>
        <v>530</v>
      </c>
      <c r="BK16" s="99">
        <v>0</v>
      </c>
      <c r="BL16" s="99">
        <v>0</v>
      </c>
      <c r="BM16" s="53">
        <v>0</v>
      </c>
      <c r="BN16" s="98">
        <f t="shared" si="16"/>
        <v>0</v>
      </c>
      <c r="BO16" s="98">
        <f t="shared" si="17"/>
        <v>0</v>
      </c>
      <c r="BP16" s="98">
        <f t="shared" si="18"/>
        <v>0</v>
      </c>
    </row>
    <row r="17" spans="1:68" ht="14.25" customHeight="1" x14ac:dyDescent="0.25">
      <c r="A17" s="35" t="s">
        <v>63</v>
      </c>
      <c r="B17" s="62"/>
      <c r="C17" s="41">
        <v>0</v>
      </c>
      <c r="D17" s="41">
        <v>0</v>
      </c>
      <c r="E17" s="41">
        <v>0</v>
      </c>
      <c r="F17" s="41">
        <v>0</v>
      </c>
      <c r="G17" s="48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8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8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8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6">
        <v>0</v>
      </c>
      <c r="AR17" s="95">
        <f t="shared" si="0"/>
        <v>16</v>
      </c>
      <c r="AS17" s="95">
        <f t="shared" si="1"/>
        <v>16</v>
      </c>
      <c r="AT17" s="96">
        <f t="shared" si="2"/>
        <v>16</v>
      </c>
      <c r="AU17" s="41">
        <f t="shared" si="3"/>
        <v>16</v>
      </c>
      <c r="AV17" s="41">
        <f t="shared" si="4"/>
        <v>16</v>
      </c>
      <c r="AW17" s="41">
        <f t="shared" si="5"/>
        <v>16</v>
      </c>
      <c r="AX17" s="41">
        <f t="shared" si="6"/>
        <v>0</v>
      </c>
      <c r="AY17" s="41">
        <f t="shared" si="7"/>
        <v>0</v>
      </c>
      <c r="AZ17" s="41">
        <f t="shared" si="8"/>
        <v>0</v>
      </c>
      <c r="BA17" s="41">
        <f t="shared" si="9"/>
        <v>0</v>
      </c>
      <c r="BB17" s="41">
        <f t="shared" si="10"/>
        <v>0</v>
      </c>
      <c r="BC17" s="46">
        <f t="shared" si="11"/>
        <v>0</v>
      </c>
      <c r="BD17" s="311">
        <f t="shared" si="12"/>
        <v>3964754720.000061</v>
      </c>
      <c r="BE17" s="41">
        <v>0</v>
      </c>
      <c r="BF17" s="41">
        <v>0</v>
      </c>
      <c r="BG17" s="52">
        <v>0</v>
      </c>
      <c r="BH17" s="98">
        <f t="shared" si="13"/>
        <v>530</v>
      </c>
      <c r="BI17" s="98">
        <f t="shared" si="14"/>
        <v>530</v>
      </c>
      <c r="BJ17" s="100">
        <f t="shared" si="15"/>
        <v>530</v>
      </c>
      <c r="BK17" s="99">
        <v>0</v>
      </c>
      <c r="BL17" s="99">
        <v>0</v>
      </c>
      <c r="BM17" s="53">
        <v>0</v>
      </c>
      <c r="BN17" s="98">
        <f t="shared" si="16"/>
        <v>0</v>
      </c>
      <c r="BO17" s="98">
        <f t="shared" si="17"/>
        <v>0</v>
      </c>
      <c r="BP17" s="98">
        <f t="shared" si="18"/>
        <v>0</v>
      </c>
    </row>
    <row r="18" spans="1:68" ht="14.25" customHeight="1" x14ac:dyDescent="0.25">
      <c r="A18" s="35" t="s">
        <v>64</v>
      </c>
      <c r="B18" s="382"/>
      <c r="C18" s="41">
        <v>0</v>
      </c>
      <c r="D18" s="41">
        <v>0</v>
      </c>
      <c r="E18" s="41">
        <v>0</v>
      </c>
      <c r="F18" s="41">
        <v>0</v>
      </c>
      <c r="G18" s="48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8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8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8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6">
        <v>0</v>
      </c>
      <c r="AR18" s="95">
        <f t="shared" ref="AR18:AR20" si="19">900*0.1+(BH18-900)*0.2</f>
        <v>16</v>
      </c>
      <c r="AS18" s="95">
        <f t="shared" ref="AS18:AS20" si="20">900*0.1+(BI18-900)*0.2</f>
        <v>16</v>
      </c>
      <c r="AT18" s="96">
        <f t="shared" ref="AT18:AT20" si="21">900*0.1+(BJ18-900)*0.2</f>
        <v>16</v>
      </c>
      <c r="AU18" s="41">
        <f t="shared" ref="AU18:AU20" si="22">Q18+Z18+AI18+AR18</f>
        <v>16</v>
      </c>
      <c r="AV18" s="41">
        <f t="shared" ref="AV18:AV20" si="23">R18+AA18+AJ18+AS18</f>
        <v>16</v>
      </c>
      <c r="AW18" s="41">
        <f t="shared" ref="AW18:AW20" si="24">S18+AB18+AK18+AT18</f>
        <v>16</v>
      </c>
      <c r="AX18" s="41">
        <f t="shared" ref="AX18:AX20" si="25">T18+AC18+AL18</f>
        <v>0</v>
      </c>
      <c r="AY18" s="41">
        <f t="shared" ref="AY18:AY20" si="26">U18+AD18+AM18</f>
        <v>0</v>
      </c>
      <c r="AZ18" s="41">
        <f t="shared" ref="AZ18:AZ20" si="27">V18+AE18+AN18</f>
        <v>0</v>
      </c>
      <c r="BA18" s="41">
        <f t="shared" ref="BA18:BA20" si="28">W18+AF18+AO18</f>
        <v>0</v>
      </c>
      <c r="BB18" s="41">
        <f t="shared" ref="BB18:BB20" si="29">X18+AG18+AP18</f>
        <v>0</v>
      </c>
      <c r="BC18" s="46">
        <f t="shared" ref="BC18:BC20" si="30">Y18+AH18+AQ18</f>
        <v>0</v>
      </c>
      <c r="BD18" s="311">
        <f t="shared" ref="BD18:BD20" si="31">(BR$2*(AX18/100)+BR$2+BR$3)*(BS$2*(AU18/100)+BS$2+BS$3)-BT$2</f>
        <v>3964754720.000061</v>
      </c>
      <c r="BE18" s="41">
        <v>0</v>
      </c>
      <c r="BF18" s="41">
        <v>0</v>
      </c>
      <c r="BG18" s="52">
        <v>0</v>
      </c>
      <c r="BH18" s="98">
        <f t="shared" ref="BH18:BH20" si="32">(BE18+BN18*(BS$9-1))+500+((BE18+BN18*(BS$9-1))+500)*$BT$10</f>
        <v>530</v>
      </c>
      <c r="BI18" s="98">
        <f t="shared" ref="BI18:BI20" si="33">(BF18+BO18*(BS$9-1))+500+((BF18+BO18*(BS$9-1))+500)*$BT$10</f>
        <v>530</v>
      </c>
      <c r="BJ18" s="100">
        <f t="shared" ref="BJ18:BJ20" si="34">(BG18+BP18*(BS$9-1))+500+((BG18+BP18*(BS$9-1))+500)*$BT$10</f>
        <v>530</v>
      </c>
      <c r="BK18" s="99">
        <v>0</v>
      </c>
      <c r="BL18" s="99">
        <v>0</v>
      </c>
      <c r="BM18" s="53">
        <v>0</v>
      </c>
      <c r="BN18" s="98">
        <f t="shared" ref="BN18:BN20" si="35">(((((1+20/100)*$BK18)*(1+20/100)))*(1+20/100))*(1+20/100)*(1+20/100)</f>
        <v>0</v>
      </c>
      <c r="BO18" s="98">
        <f t="shared" ref="BO18:BO20" si="36">(((((1+20/100)*$BL18)*(1+20/100)))*(1+20/100))*(1+20/100)*(1+20/100)</f>
        <v>0</v>
      </c>
      <c r="BP18" s="98">
        <f t="shared" ref="BP18:BP20" si="37">(((((1+20/100)*$BM18)*(1+20/100)))*(1+20/100))*(1+20/100)*(1+20/100)</f>
        <v>0</v>
      </c>
    </row>
    <row r="19" spans="1:68" ht="14.25" customHeight="1" x14ac:dyDescent="0.25">
      <c r="A19" s="35" t="s">
        <v>65</v>
      </c>
      <c r="B19" s="382"/>
      <c r="C19" s="41">
        <v>0</v>
      </c>
      <c r="D19" s="41">
        <v>0</v>
      </c>
      <c r="E19" s="41">
        <v>0</v>
      </c>
      <c r="F19" s="41">
        <v>0</v>
      </c>
      <c r="G19" s="48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8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8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8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6">
        <v>0</v>
      </c>
      <c r="AR19" s="95">
        <f t="shared" si="19"/>
        <v>16</v>
      </c>
      <c r="AS19" s="95">
        <f t="shared" si="20"/>
        <v>16</v>
      </c>
      <c r="AT19" s="96">
        <f t="shared" si="21"/>
        <v>16</v>
      </c>
      <c r="AU19" s="41">
        <f t="shared" si="22"/>
        <v>16</v>
      </c>
      <c r="AV19" s="41">
        <f t="shared" si="23"/>
        <v>16</v>
      </c>
      <c r="AW19" s="41">
        <f t="shared" si="24"/>
        <v>16</v>
      </c>
      <c r="AX19" s="41">
        <f t="shared" si="25"/>
        <v>0</v>
      </c>
      <c r="AY19" s="41">
        <f t="shared" si="26"/>
        <v>0</v>
      </c>
      <c r="AZ19" s="41">
        <f t="shared" si="27"/>
        <v>0</v>
      </c>
      <c r="BA19" s="41">
        <f t="shared" si="28"/>
        <v>0</v>
      </c>
      <c r="BB19" s="41">
        <f t="shared" si="29"/>
        <v>0</v>
      </c>
      <c r="BC19" s="46">
        <f t="shared" si="30"/>
        <v>0</v>
      </c>
      <c r="BD19" s="311">
        <f t="shared" si="31"/>
        <v>3964754720.000061</v>
      </c>
      <c r="BE19" s="41">
        <v>0</v>
      </c>
      <c r="BF19" s="41">
        <v>0</v>
      </c>
      <c r="BG19" s="52">
        <v>0</v>
      </c>
      <c r="BH19" s="98">
        <f t="shared" si="32"/>
        <v>530</v>
      </c>
      <c r="BI19" s="98">
        <f t="shared" si="33"/>
        <v>530</v>
      </c>
      <c r="BJ19" s="100">
        <f t="shared" si="34"/>
        <v>530</v>
      </c>
      <c r="BK19" s="99">
        <v>0</v>
      </c>
      <c r="BL19" s="99">
        <v>0</v>
      </c>
      <c r="BM19" s="53">
        <v>0</v>
      </c>
      <c r="BN19" s="98">
        <f t="shared" si="35"/>
        <v>0</v>
      </c>
      <c r="BO19" s="98">
        <f t="shared" si="36"/>
        <v>0</v>
      </c>
      <c r="BP19" s="98">
        <f t="shared" si="37"/>
        <v>0</v>
      </c>
    </row>
    <row r="20" spans="1:68" ht="14.25" customHeight="1" x14ac:dyDescent="0.25">
      <c r="A20" s="35" t="s">
        <v>66</v>
      </c>
      <c r="B20" s="382"/>
      <c r="C20" s="41">
        <v>0</v>
      </c>
      <c r="D20" s="41">
        <v>0</v>
      </c>
      <c r="E20" s="41">
        <v>0</v>
      </c>
      <c r="F20" s="41">
        <v>0</v>
      </c>
      <c r="G20" s="48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8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8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8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6">
        <v>0</v>
      </c>
      <c r="AR20" s="95">
        <f t="shared" si="19"/>
        <v>16</v>
      </c>
      <c r="AS20" s="95">
        <f t="shared" si="20"/>
        <v>16</v>
      </c>
      <c r="AT20" s="96">
        <f t="shared" si="21"/>
        <v>16</v>
      </c>
      <c r="AU20" s="41">
        <f t="shared" si="22"/>
        <v>16</v>
      </c>
      <c r="AV20" s="41">
        <f t="shared" si="23"/>
        <v>16</v>
      </c>
      <c r="AW20" s="41">
        <f t="shared" si="24"/>
        <v>16</v>
      </c>
      <c r="AX20" s="41">
        <f t="shared" si="25"/>
        <v>0</v>
      </c>
      <c r="AY20" s="41">
        <f t="shared" si="26"/>
        <v>0</v>
      </c>
      <c r="AZ20" s="41">
        <f t="shared" si="27"/>
        <v>0</v>
      </c>
      <c r="BA20" s="41">
        <f t="shared" si="28"/>
        <v>0</v>
      </c>
      <c r="BB20" s="41">
        <f t="shared" si="29"/>
        <v>0</v>
      </c>
      <c r="BC20" s="46">
        <f t="shared" si="30"/>
        <v>0</v>
      </c>
      <c r="BD20" s="311">
        <f t="shared" si="31"/>
        <v>3964754720.000061</v>
      </c>
      <c r="BE20" s="41">
        <v>0</v>
      </c>
      <c r="BF20" s="41">
        <v>0</v>
      </c>
      <c r="BG20" s="52">
        <v>0</v>
      </c>
      <c r="BH20" s="98">
        <f t="shared" si="32"/>
        <v>530</v>
      </c>
      <c r="BI20" s="98">
        <f t="shared" si="33"/>
        <v>530</v>
      </c>
      <c r="BJ20" s="100">
        <f t="shared" si="34"/>
        <v>530</v>
      </c>
      <c r="BK20" s="99">
        <v>0</v>
      </c>
      <c r="BL20" s="99">
        <v>0</v>
      </c>
      <c r="BM20" s="53">
        <v>0</v>
      </c>
      <c r="BN20" s="98">
        <f t="shared" si="35"/>
        <v>0</v>
      </c>
      <c r="BO20" s="98">
        <f t="shared" si="36"/>
        <v>0</v>
      </c>
      <c r="BP20" s="98">
        <f t="shared" si="37"/>
        <v>0</v>
      </c>
    </row>
    <row r="21" spans="1:68" ht="14.25" customHeight="1" x14ac:dyDescent="0.25">
      <c r="BH21" s="23"/>
      <c r="BI21" s="23"/>
      <c r="BJ21" s="23"/>
      <c r="BK21" s="23"/>
      <c r="BL21" s="23"/>
      <c r="BM21" s="23"/>
    </row>
    <row r="22" spans="1:68" s="60" customFormat="1" ht="18" customHeight="1" x14ac:dyDescent="0.25">
      <c r="A22" s="528" t="s">
        <v>110</v>
      </c>
      <c r="B22" s="529"/>
      <c r="C22" s="541" t="s">
        <v>323</v>
      </c>
      <c r="D22" s="541"/>
      <c r="E22" s="541"/>
      <c r="F22" s="541"/>
      <c r="G22" s="542"/>
      <c r="H22" s="608" t="s">
        <v>282</v>
      </c>
      <c r="I22" s="608"/>
      <c r="J22" s="608"/>
      <c r="K22" s="608"/>
      <c r="L22" s="608"/>
      <c r="M22" s="608"/>
      <c r="N22" s="608"/>
      <c r="O22" s="608"/>
      <c r="P22" s="609"/>
      <c r="Q22" s="548" t="s">
        <v>283</v>
      </c>
      <c r="R22" s="548"/>
      <c r="S22" s="548"/>
      <c r="T22" s="548"/>
      <c r="U22" s="548"/>
      <c r="V22" s="548"/>
      <c r="W22" s="548"/>
      <c r="X22" s="548"/>
      <c r="Y22" s="549"/>
      <c r="Z22" s="611" t="s">
        <v>284</v>
      </c>
      <c r="AA22" s="611"/>
      <c r="AB22" s="611"/>
      <c r="AC22" s="611"/>
      <c r="AD22" s="611"/>
      <c r="AE22" s="611"/>
      <c r="AF22" s="611"/>
      <c r="AG22" s="611"/>
      <c r="AH22" s="612"/>
      <c r="AI22" s="613" t="s">
        <v>285</v>
      </c>
      <c r="AJ22" s="613"/>
      <c r="AK22" s="613"/>
      <c r="AL22" s="613"/>
      <c r="AM22" s="613"/>
      <c r="AN22" s="613"/>
      <c r="AO22" s="613"/>
      <c r="AP22" s="613"/>
      <c r="AQ22" s="614"/>
      <c r="AR22" s="599" t="s">
        <v>327</v>
      </c>
      <c r="AS22" s="599"/>
      <c r="AT22" s="610"/>
      <c r="AU22" s="556" t="s">
        <v>5</v>
      </c>
      <c r="AV22" s="520"/>
      <c r="AW22" s="520"/>
      <c r="AX22" s="520"/>
      <c r="AY22" s="520"/>
      <c r="AZ22" s="520"/>
      <c r="BA22" s="520"/>
      <c r="BB22" s="520"/>
      <c r="BC22" s="520"/>
      <c r="BD22" s="522"/>
      <c r="BE22" s="61"/>
      <c r="BF22" s="61"/>
      <c r="BG22" s="61"/>
    </row>
    <row r="23" spans="1:68" ht="14.25" customHeight="1" x14ac:dyDescent="0.25">
      <c r="A23" s="38" t="s">
        <v>48</v>
      </c>
      <c r="B23" s="47" t="s">
        <v>0</v>
      </c>
      <c r="C23" s="38" t="s">
        <v>319</v>
      </c>
      <c r="D23" s="38" t="s">
        <v>320</v>
      </c>
      <c r="E23" s="38" t="s">
        <v>321</v>
      </c>
      <c r="F23" s="38" t="s">
        <v>322</v>
      </c>
      <c r="G23" s="47" t="s">
        <v>318</v>
      </c>
      <c r="H23" s="38" t="s">
        <v>270</v>
      </c>
      <c r="I23" s="38" t="s">
        <v>271</v>
      </c>
      <c r="J23" s="38" t="s">
        <v>272</v>
      </c>
      <c r="K23" s="38" t="s">
        <v>273</v>
      </c>
      <c r="L23" s="38" t="s">
        <v>317</v>
      </c>
      <c r="M23" s="38" t="s">
        <v>315</v>
      </c>
      <c r="N23" s="38" t="s">
        <v>316</v>
      </c>
      <c r="O23" s="38" t="s">
        <v>324</v>
      </c>
      <c r="P23" s="47" t="s">
        <v>325</v>
      </c>
      <c r="Q23" s="38" t="s">
        <v>336</v>
      </c>
      <c r="R23" s="38" t="s">
        <v>337</v>
      </c>
      <c r="S23" s="38" t="s">
        <v>338</v>
      </c>
      <c r="T23" s="38" t="s">
        <v>339</v>
      </c>
      <c r="U23" s="38" t="s">
        <v>399</v>
      </c>
      <c r="V23" s="38" t="s">
        <v>400</v>
      </c>
      <c r="W23" s="38" t="s">
        <v>401</v>
      </c>
      <c r="X23" s="38" t="s">
        <v>402</v>
      </c>
      <c r="Y23" s="47" t="s">
        <v>403</v>
      </c>
      <c r="Z23" s="38" t="s">
        <v>340</v>
      </c>
      <c r="AA23" s="38" t="s">
        <v>341</v>
      </c>
      <c r="AB23" s="38" t="s">
        <v>342</v>
      </c>
      <c r="AC23" s="38" t="s">
        <v>343</v>
      </c>
      <c r="AD23" s="38" t="s">
        <v>404</v>
      </c>
      <c r="AE23" s="38" t="s">
        <v>405</v>
      </c>
      <c r="AF23" s="38" t="s">
        <v>406</v>
      </c>
      <c r="AG23" s="38" t="s">
        <v>407</v>
      </c>
      <c r="AH23" s="47" t="s">
        <v>408</v>
      </c>
      <c r="AI23" s="38" t="s">
        <v>344</v>
      </c>
      <c r="AJ23" s="38" t="s">
        <v>345</v>
      </c>
      <c r="AK23" s="38" t="s">
        <v>346</v>
      </c>
      <c r="AL23" s="38" t="s">
        <v>347</v>
      </c>
      <c r="AM23" s="38" t="s">
        <v>409</v>
      </c>
      <c r="AN23" s="38" t="s">
        <v>410</v>
      </c>
      <c r="AO23" s="38" t="s">
        <v>411</v>
      </c>
      <c r="AP23" s="38" t="s">
        <v>412</v>
      </c>
      <c r="AQ23" s="47" t="s">
        <v>413</v>
      </c>
      <c r="AR23" s="38" t="s">
        <v>348</v>
      </c>
      <c r="AS23" s="38" t="s">
        <v>349</v>
      </c>
      <c r="AT23" s="47" t="s">
        <v>350</v>
      </c>
      <c r="AU23" s="38" t="s">
        <v>351</v>
      </c>
      <c r="AV23" s="38" t="s">
        <v>352</v>
      </c>
      <c r="AW23" s="38" t="s">
        <v>353</v>
      </c>
      <c r="AX23" s="38" t="s">
        <v>354</v>
      </c>
      <c r="AY23" s="38" t="s">
        <v>414</v>
      </c>
      <c r="AZ23" s="38" t="s">
        <v>415</v>
      </c>
      <c r="BA23" s="38" t="s">
        <v>416</v>
      </c>
      <c r="BB23" s="38" t="s">
        <v>417</v>
      </c>
      <c r="BC23" s="47" t="s">
        <v>418</v>
      </c>
      <c r="BD23" s="312" t="s">
        <v>274</v>
      </c>
      <c r="BH23" s="23"/>
      <c r="BI23" s="23"/>
      <c r="BJ23" s="23"/>
      <c r="BK23" s="23"/>
      <c r="BL23" s="23"/>
      <c r="BM23" s="23"/>
    </row>
    <row r="24" spans="1:68" ht="14.25" customHeight="1" x14ac:dyDescent="0.25">
      <c r="A24" s="35" t="s">
        <v>49</v>
      </c>
      <c r="B24" s="70" t="s">
        <v>130</v>
      </c>
      <c r="C24" s="34">
        <v>45</v>
      </c>
      <c r="D24" s="34">
        <v>45</v>
      </c>
      <c r="E24" s="34">
        <v>45</v>
      </c>
      <c r="F24" s="34">
        <v>12</v>
      </c>
      <c r="G24" s="46">
        <v>18</v>
      </c>
      <c r="H24" s="34">
        <v>35</v>
      </c>
      <c r="I24" s="34">
        <v>35</v>
      </c>
      <c r="J24" s="34">
        <v>30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46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46">
        <v>0</v>
      </c>
      <c r="Z24" s="34">
        <v>85</v>
      </c>
      <c r="AA24" s="34">
        <v>20</v>
      </c>
      <c r="AB24" s="34">
        <v>10</v>
      </c>
      <c r="AC24" s="34">
        <v>6</v>
      </c>
      <c r="AD24" s="34">
        <v>0</v>
      </c>
      <c r="AE24" s="34">
        <v>35</v>
      </c>
      <c r="AF24" s="34">
        <v>0</v>
      </c>
      <c r="AG24" s="34">
        <v>0</v>
      </c>
      <c r="AH24" s="46">
        <v>0</v>
      </c>
      <c r="AI24" s="34">
        <v>15</v>
      </c>
      <c r="AJ24" s="34">
        <v>0</v>
      </c>
      <c r="AK24" s="34">
        <v>15</v>
      </c>
      <c r="AL24" s="34">
        <v>8</v>
      </c>
      <c r="AM24" s="34">
        <v>0</v>
      </c>
      <c r="AN24" s="34">
        <v>15</v>
      </c>
      <c r="AO24" s="34">
        <v>0</v>
      </c>
      <c r="AP24" s="34">
        <v>0</v>
      </c>
      <c r="AQ24" s="46">
        <v>10</v>
      </c>
      <c r="AR24" s="34">
        <v>0</v>
      </c>
      <c r="AS24" s="34">
        <v>0</v>
      </c>
      <c r="AT24" s="46">
        <v>0</v>
      </c>
      <c r="AU24" s="34">
        <f t="shared" ref="AU24:AU38" si="38">H24+Z24+AI24</f>
        <v>135</v>
      </c>
      <c r="AV24" s="34">
        <f t="shared" ref="AV24:AV38" si="39">I24+AA24+AJ24</f>
        <v>55</v>
      </c>
      <c r="AW24" s="34">
        <f t="shared" ref="AW24:AW38" si="40">J24+AB24+AK24</f>
        <v>55</v>
      </c>
      <c r="AX24" s="34">
        <f t="shared" ref="AX24:AX38" si="41">K24+AC24+AL24</f>
        <v>14</v>
      </c>
      <c r="AY24" s="34">
        <f t="shared" ref="AY24:AY38" si="42">L24+AD24+AM24</f>
        <v>0</v>
      </c>
      <c r="AZ24" s="34">
        <f t="shared" ref="AZ24:AZ38" si="43">M24+AE24+AN24</f>
        <v>50</v>
      </c>
      <c r="BA24" s="34">
        <f t="shared" ref="BA24:BA38" si="44">N24+AF24+AO24</f>
        <v>0</v>
      </c>
      <c r="BB24" s="34">
        <f t="shared" ref="BB24:BB38" si="45">O24+AG24+AP24</f>
        <v>0</v>
      </c>
      <c r="BC24" s="46">
        <f t="shared" ref="BC24:BC38" si="46">P24+AH24+AQ24</f>
        <v>10</v>
      </c>
      <c r="BD24" s="313">
        <f t="shared" ref="BD24:BD38" si="47">(BR$2*(AX24/100)+BR$2+BR$3)*(BS$2*(AU24/100)+BS$2+BS$3)-BT$2</f>
        <v>47227101750</v>
      </c>
      <c r="BH24" s="23"/>
      <c r="BI24" s="23"/>
      <c r="BJ24" s="23"/>
      <c r="BK24" s="23"/>
      <c r="BL24" s="23"/>
      <c r="BM24" s="23"/>
    </row>
    <row r="25" spans="1:68" ht="14.25" customHeight="1" x14ac:dyDescent="0.25">
      <c r="A25" s="35" t="s">
        <v>50</v>
      </c>
      <c r="B25" s="70" t="s">
        <v>313</v>
      </c>
      <c r="C25" s="34">
        <v>45</v>
      </c>
      <c r="D25" s="34">
        <v>45</v>
      </c>
      <c r="E25" s="34">
        <v>45</v>
      </c>
      <c r="F25" s="34">
        <v>12</v>
      </c>
      <c r="G25" s="46">
        <v>18</v>
      </c>
      <c r="H25" s="34">
        <v>60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46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46">
        <v>0</v>
      </c>
      <c r="Z25" s="34">
        <v>46</v>
      </c>
      <c r="AA25" s="34">
        <v>0</v>
      </c>
      <c r="AB25" s="34">
        <v>10</v>
      </c>
      <c r="AC25" s="34">
        <v>0</v>
      </c>
      <c r="AD25" s="34">
        <v>15</v>
      </c>
      <c r="AE25" s="34">
        <v>0</v>
      </c>
      <c r="AF25" s="34">
        <v>0</v>
      </c>
      <c r="AG25" s="34">
        <v>20</v>
      </c>
      <c r="AH25" s="46">
        <v>20</v>
      </c>
      <c r="AI25" s="34">
        <v>45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46">
        <v>0</v>
      </c>
      <c r="AR25" s="34">
        <v>0</v>
      </c>
      <c r="AS25" s="34">
        <v>0</v>
      </c>
      <c r="AT25" s="46">
        <v>0</v>
      </c>
      <c r="AU25" s="34">
        <f t="shared" si="38"/>
        <v>151</v>
      </c>
      <c r="AV25" s="34">
        <f t="shared" si="39"/>
        <v>0</v>
      </c>
      <c r="AW25" s="34">
        <f t="shared" si="40"/>
        <v>10</v>
      </c>
      <c r="AX25" s="34">
        <f t="shared" si="41"/>
        <v>0</v>
      </c>
      <c r="AY25" s="34">
        <f t="shared" si="42"/>
        <v>15</v>
      </c>
      <c r="AZ25" s="34">
        <f t="shared" si="43"/>
        <v>0</v>
      </c>
      <c r="BA25" s="34">
        <f t="shared" si="44"/>
        <v>0</v>
      </c>
      <c r="BB25" s="34">
        <f t="shared" si="45"/>
        <v>20</v>
      </c>
      <c r="BC25" s="46">
        <f t="shared" si="46"/>
        <v>20</v>
      </c>
      <c r="BD25" s="313">
        <f t="shared" si="47"/>
        <v>37417372670</v>
      </c>
      <c r="BH25" s="23"/>
      <c r="BI25" s="23"/>
      <c r="BJ25" s="23"/>
      <c r="BK25" s="23"/>
      <c r="BL25" s="23"/>
      <c r="BM25" s="23"/>
    </row>
    <row r="26" spans="1:68" ht="14.25" customHeight="1" x14ac:dyDescent="0.25">
      <c r="A26" s="35" t="s">
        <v>51</v>
      </c>
      <c r="B26" s="62" t="s">
        <v>642</v>
      </c>
      <c r="C26" s="41">
        <v>45</v>
      </c>
      <c r="D26" s="41">
        <v>45</v>
      </c>
      <c r="E26" s="41">
        <v>45</v>
      </c>
      <c r="F26" s="41">
        <v>12</v>
      </c>
      <c r="G26" s="48">
        <v>18</v>
      </c>
      <c r="H26" s="41">
        <v>35</v>
      </c>
      <c r="I26" s="41">
        <v>35</v>
      </c>
      <c r="J26" s="41">
        <v>35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8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8">
        <v>0</v>
      </c>
      <c r="Z26" s="41">
        <v>70</v>
      </c>
      <c r="AA26" s="41">
        <v>50</v>
      </c>
      <c r="AB26" s="41">
        <v>40</v>
      </c>
      <c r="AC26" s="41">
        <v>0</v>
      </c>
      <c r="AD26" s="41">
        <v>15</v>
      </c>
      <c r="AE26" s="41">
        <v>0</v>
      </c>
      <c r="AF26" s="41">
        <v>0</v>
      </c>
      <c r="AG26" s="41">
        <v>0</v>
      </c>
      <c r="AH26" s="48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8">
        <v>0</v>
      </c>
      <c r="AR26" s="41">
        <v>0</v>
      </c>
      <c r="AS26" s="41">
        <v>0</v>
      </c>
      <c r="AT26" s="48">
        <v>0</v>
      </c>
      <c r="AU26" s="41">
        <f t="shared" si="38"/>
        <v>105</v>
      </c>
      <c r="AV26" s="41">
        <f t="shared" si="39"/>
        <v>85</v>
      </c>
      <c r="AW26" s="41">
        <f t="shared" si="40"/>
        <v>75</v>
      </c>
      <c r="AX26" s="41">
        <f t="shared" si="41"/>
        <v>0</v>
      </c>
      <c r="AY26" s="41">
        <f t="shared" si="42"/>
        <v>15</v>
      </c>
      <c r="AZ26" s="41">
        <f t="shared" si="43"/>
        <v>0</v>
      </c>
      <c r="BA26" s="41">
        <f t="shared" si="44"/>
        <v>0</v>
      </c>
      <c r="BB26" s="41">
        <f t="shared" si="45"/>
        <v>0</v>
      </c>
      <c r="BC26" s="48">
        <f t="shared" si="46"/>
        <v>0</v>
      </c>
      <c r="BD26" s="314">
        <f t="shared" si="47"/>
        <v>26018702850</v>
      </c>
      <c r="BH26" s="23"/>
      <c r="BI26" s="23"/>
      <c r="BJ26" s="23"/>
      <c r="BK26" s="23"/>
      <c r="BL26" s="23"/>
      <c r="BM26" s="23"/>
    </row>
    <row r="27" spans="1:68" ht="14.25" customHeight="1" x14ac:dyDescent="0.25">
      <c r="A27" s="35" t="s">
        <v>52</v>
      </c>
      <c r="B27" s="70" t="s">
        <v>306</v>
      </c>
      <c r="C27" s="34">
        <v>45</v>
      </c>
      <c r="D27" s="34">
        <v>45</v>
      </c>
      <c r="E27" s="34">
        <v>45</v>
      </c>
      <c r="F27" s="34">
        <v>12</v>
      </c>
      <c r="G27" s="46">
        <v>18</v>
      </c>
      <c r="H27" s="34">
        <v>45</v>
      </c>
      <c r="I27" s="34">
        <v>45</v>
      </c>
      <c r="J27" s="34">
        <v>45</v>
      </c>
      <c r="K27" s="34">
        <v>0</v>
      </c>
      <c r="L27" s="34">
        <v>0</v>
      </c>
      <c r="M27" s="34">
        <v>0</v>
      </c>
      <c r="N27" s="34">
        <v>20</v>
      </c>
      <c r="O27" s="34">
        <v>0</v>
      </c>
      <c r="P27" s="46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46">
        <v>0</v>
      </c>
      <c r="Z27" s="34">
        <v>55</v>
      </c>
      <c r="AA27" s="34">
        <v>35</v>
      </c>
      <c r="AB27" s="34">
        <v>10</v>
      </c>
      <c r="AC27" s="34">
        <v>0</v>
      </c>
      <c r="AD27" s="34">
        <v>0</v>
      </c>
      <c r="AE27" s="34">
        <v>40</v>
      </c>
      <c r="AF27" s="34">
        <v>0</v>
      </c>
      <c r="AG27" s="34">
        <v>15</v>
      </c>
      <c r="AH27" s="46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46">
        <v>0</v>
      </c>
      <c r="AR27" s="34">
        <v>0</v>
      </c>
      <c r="AS27" s="34">
        <v>0</v>
      </c>
      <c r="AT27" s="46">
        <v>0</v>
      </c>
      <c r="AU27" s="34">
        <f t="shared" si="38"/>
        <v>100</v>
      </c>
      <c r="AV27" s="34">
        <f t="shared" si="39"/>
        <v>80</v>
      </c>
      <c r="AW27" s="34">
        <f t="shared" si="40"/>
        <v>55</v>
      </c>
      <c r="AX27" s="34">
        <f t="shared" si="41"/>
        <v>0</v>
      </c>
      <c r="AY27" s="34">
        <f t="shared" si="42"/>
        <v>0</v>
      </c>
      <c r="AZ27" s="34">
        <f t="shared" si="43"/>
        <v>40</v>
      </c>
      <c r="BA27" s="34">
        <f t="shared" si="44"/>
        <v>20</v>
      </c>
      <c r="BB27" s="34">
        <f t="shared" si="45"/>
        <v>15</v>
      </c>
      <c r="BC27" s="46">
        <f t="shared" si="46"/>
        <v>0</v>
      </c>
      <c r="BD27" s="313">
        <f t="shared" si="47"/>
        <v>24779717000</v>
      </c>
      <c r="BH27" s="23"/>
      <c r="BI27" s="23"/>
      <c r="BJ27" s="23"/>
      <c r="BK27" s="23"/>
      <c r="BL27" s="23"/>
      <c r="BM27" s="23"/>
    </row>
    <row r="28" spans="1:68" ht="14.25" customHeight="1" x14ac:dyDescent="0.25">
      <c r="A28" s="35" t="s">
        <v>53</v>
      </c>
      <c r="B28" s="70" t="s">
        <v>314</v>
      </c>
      <c r="C28" s="34">
        <v>25</v>
      </c>
      <c r="D28" s="34">
        <v>45</v>
      </c>
      <c r="E28" s="34">
        <v>45</v>
      </c>
      <c r="F28" s="34">
        <v>12</v>
      </c>
      <c r="G28" s="46">
        <v>18</v>
      </c>
      <c r="H28" s="34">
        <v>55</v>
      </c>
      <c r="I28" s="34">
        <v>55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46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46">
        <v>0</v>
      </c>
      <c r="Z28" s="34">
        <v>40</v>
      </c>
      <c r="AA28" s="34">
        <v>40</v>
      </c>
      <c r="AB28" s="34">
        <v>10</v>
      </c>
      <c r="AC28" s="34">
        <v>0</v>
      </c>
      <c r="AD28" s="34">
        <v>15</v>
      </c>
      <c r="AE28" s="34">
        <v>0</v>
      </c>
      <c r="AF28" s="34">
        <v>0</v>
      </c>
      <c r="AG28" s="34">
        <v>15</v>
      </c>
      <c r="AH28" s="46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46">
        <v>0</v>
      </c>
      <c r="AR28" s="34">
        <v>0</v>
      </c>
      <c r="AS28" s="34">
        <v>0</v>
      </c>
      <c r="AT28" s="46">
        <v>0</v>
      </c>
      <c r="AU28" s="34">
        <f t="shared" si="38"/>
        <v>95</v>
      </c>
      <c r="AV28" s="34">
        <f t="shared" si="39"/>
        <v>95</v>
      </c>
      <c r="AW28" s="34">
        <f t="shared" si="40"/>
        <v>10</v>
      </c>
      <c r="AX28" s="34">
        <f t="shared" si="41"/>
        <v>0</v>
      </c>
      <c r="AY28" s="34">
        <f t="shared" si="42"/>
        <v>15</v>
      </c>
      <c r="AZ28" s="34">
        <f t="shared" si="43"/>
        <v>0</v>
      </c>
      <c r="BA28" s="34">
        <f t="shared" si="44"/>
        <v>0</v>
      </c>
      <c r="BB28" s="34">
        <f t="shared" si="45"/>
        <v>15</v>
      </c>
      <c r="BC28" s="46">
        <f t="shared" si="46"/>
        <v>0</v>
      </c>
      <c r="BD28" s="313">
        <f t="shared" si="47"/>
        <v>23540731150</v>
      </c>
      <c r="BH28" s="23"/>
      <c r="BI28" s="23"/>
      <c r="BJ28" s="23"/>
      <c r="BK28" s="23"/>
      <c r="BL28" s="23"/>
      <c r="BM28" s="23"/>
    </row>
    <row r="29" spans="1:68" ht="14.25" customHeight="1" x14ac:dyDescent="0.25">
      <c r="A29" s="35" t="s">
        <v>54</v>
      </c>
      <c r="B29" s="70" t="s">
        <v>311</v>
      </c>
      <c r="C29" s="34">
        <v>45</v>
      </c>
      <c r="D29" s="34">
        <v>45</v>
      </c>
      <c r="E29" s="34">
        <v>45</v>
      </c>
      <c r="F29" s="34">
        <v>12</v>
      </c>
      <c r="G29" s="46">
        <v>18</v>
      </c>
      <c r="H29" s="34">
        <v>30</v>
      </c>
      <c r="I29" s="34">
        <v>0</v>
      </c>
      <c r="J29" s="34">
        <v>0</v>
      </c>
      <c r="K29" s="34">
        <v>0</v>
      </c>
      <c r="L29" s="34">
        <v>10</v>
      </c>
      <c r="M29" s="34">
        <v>0</v>
      </c>
      <c r="N29" s="34">
        <v>0</v>
      </c>
      <c r="O29" s="34">
        <v>0</v>
      </c>
      <c r="P29" s="46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46">
        <v>0</v>
      </c>
      <c r="Z29" s="34">
        <v>15</v>
      </c>
      <c r="AA29" s="34">
        <v>0</v>
      </c>
      <c r="AB29" s="34">
        <v>0</v>
      </c>
      <c r="AC29" s="34">
        <v>0</v>
      </c>
      <c r="AD29" s="34">
        <v>15</v>
      </c>
      <c r="AE29" s="34">
        <v>0</v>
      </c>
      <c r="AF29" s="34">
        <v>0</v>
      </c>
      <c r="AG29" s="34">
        <v>15</v>
      </c>
      <c r="AH29" s="46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46">
        <v>0</v>
      </c>
      <c r="AR29" s="34">
        <v>0</v>
      </c>
      <c r="AS29" s="34">
        <v>0</v>
      </c>
      <c r="AT29" s="46">
        <v>0</v>
      </c>
      <c r="AU29" s="34">
        <f t="shared" si="38"/>
        <v>45</v>
      </c>
      <c r="AV29" s="34">
        <f t="shared" si="39"/>
        <v>0</v>
      </c>
      <c r="AW29" s="34">
        <f t="shared" si="40"/>
        <v>0</v>
      </c>
      <c r="AX29" s="34">
        <f t="shared" si="41"/>
        <v>0</v>
      </c>
      <c r="AY29" s="34">
        <f t="shared" si="42"/>
        <v>25</v>
      </c>
      <c r="AZ29" s="34">
        <f t="shared" si="43"/>
        <v>0</v>
      </c>
      <c r="BA29" s="34">
        <f t="shared" si="44"/>
        <v>0</v>
      </c>
      <c r="BB29" s="34">
        <f t="shared" si="45"/>
        <v>15</v>
      </c>
      <c r="BC29" s="46">
        <f t="shared" si="46"/>
        <v>0</v>
      </c>
      <c r="BD29" s="313">
        <f t="shared" si="47"/>
        <v>11150872650</v>
      </c>
      <c r="BH29" s="23"/>
      <c r="BI29" s="23"/>
      <c r="BJ29" s="23"/>
      <c r="BK29" s="23"/>
      <c r="BL29" s="23"/>
      <c r="BM29" s="23"/>
    </row>
    <row r="30" spans="1:68" ht="14.25" customHeight="1" x14ac:dyDescent="0.25">
      <c r="A30" s="35" t="s">
        <v>55</v>
      </c>
      <c r="B30" s="68" t="s">
        <v>307</v>
      </c>
      <c r="C30" s="34">
        <v>45</v>
      </c>
      <c r="D30" s="34">
        <v>45</v>
      </c>
      <c r="E30" s="34">
        <v>45</v>
      </c>
      <c r="F30" s="34">
        <v>12</v>
      </c>
      <c r="G30" s="46">
        <v>18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25</v>
      </c>
      <c r="O30" s="34">
        <v>0</v>
      </c>
      <c r="P30" s="46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46">
        <v>0</v>
      </c>
      <c r="Z30" s="34">
        <v>36</v>
      </c>
      <c r="AA30" s="34">
        <v>10</v>
      </c>
      <c r="AB30" s="34">
        <v>0</v>
      </c>
      <c r="AC30" s="34">
        <v>0</v>
      </c>
      <c r="AD30" s="34">
        <v>0</v>
      </c>
      <c r="AE30" s="34">
        <v>20</v>
      </c>
      <c r="AF30" s="34">
        <v>0</v>
      </c>
      <c r="AG30" s="34">
        <v>0</v>
      </c>
      <c r="AH30" s="46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46">
        <v>0</v>
      </c>
      <c r="AR30" s="34">
        <v>0</v>
      </c>
      <c r="AS30" s="34">
        <v>0</v>
      </c>
      <c r="AT30" s="46">
        <v>0</v>
      </c>
      <c r="AU30" s="34">
        <f t="shared" si="38"/>
        <v>36</v>
      </c>
      <c r="AV30" s="34">
        <f t="shared" si="39"/>
        <v>10</v>
      </c>
      <c r="AW30" s="34">
        <f t="shared" si="40"/>
        <v>0</v>
      </c>
      <c r="AX30" s="34">
        <f t="shared" si="41"/>
        <v>0</v>
      </c>
      <c r="AY30" s="34">
        <f t="shared" si="42"/>
        <v>0</v>
      </c>
      <c r="AZ30" s="34">
        <f t="shared" si="43"/>
        <v>20</v>
      </c>
      <c r="BA30" s="34">
        <f t="shared" si="44"/>
        <v>25</v>
      </c>
      <c r="BB30" s="34">
        <f t="shared" si="45"/>
        <v>0</v>
      </c>
      <c r="BC30" s="46">
        <f t="shared" si="46"/>
        <v>0</v>
      </c>
      <c r="BD30" s="313">
        <f t="shared" si="47"/>
        <v>8920698120.000061</v>
      </c>
      <c r="BH30" s="23"/>
      <c r="BI30" s="23"/>
      <c r="BJ30" s="23"/>
      <c r="BK30" s="23"/>
      <c r="BL30" s="23"/>
      <c r="BM30" s="23"/>
    </row>
    <row r="31" spans="1:68" ht="14.25" customHeight="1" x14ac:dyDescent="0.25">
      <c r="A31" s="35" t="s">
        <v>56</v>
      </c>
      <c r="B31" s="68" t="s">
        <v>309</v>
      </c>
      <c r="C31" s="34">
        <v>45</v>
      </c>
      <c r="D31" s="34">
        <v>45</v>
      </c>
      <c r="E31" s="34">
        <v>45</v>
      </c>
      <c r="F31" s="34">
        <v>12</v>
      </c>
      <c r="G31" s="46">
        <v>18</v>
      </c>
      <c r="H31" s="34">
        <v>20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46">
        <v>5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46">
        <v>0</v>
      </c>
      <c r="Z31" s="34">
        <v>6</v>
      </c>
      <c r="AA31" s="34">
        <v>0</v>
      </c>
      <c r="AB31" s="34">
        <v>0</v>
      </c>
      <c r="AC31" s="34">
        <v>0</v>
      </c>
      <c r="AD31" s="34">
        <v>0</v>
      </c>
      <c r="AE31" s="34">
        <v>40</v>
      </c>
      <c r="AF31" s="34">
        <v>0</v>
      </c>
      <c r="AG31" s="34">
        <v>15</v>
      </c>
      <c r="AH31" s="46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46">
        <v>0</v>
      </c>
      <c r="AR31" s="34">
        <v>0</v>
      </c>
      <c r="AS31" s="34">
        <v>0</v>
      </c>
      <c r="AT31" s="46">
        <v>0</v>
      </c>
      <c r="AU31" s="34">
        <f t="shared" si="38"/>
        <v>26</v>
      </c>
      <c r="AV31" s="34">
        <f t="shared" si="39"/>
        <v>0</v>
      </c>
      <c r="AW31" s="34">
        <f t="shared" si="40"/>
        <v>0</v>
      </c>
      <c r="AX31" s="34">
        <f t="shared" si="41"/>
        <v>0</v>
      </c>
      <c r="AY31" s="34">
        <f t="shared" si="42"/>
        <v>0</v>
      </c>
      <c r="AZ31" s="34">
        <f t="shared" si="43"/>
        <v>40</v>
      </c>
      <c r="BA31" s="34">
        <f t="shared" si="44"/>
        <v>0</v>
      </c>
      <c r="BB31" s="34">
        <f t="shared" si="45"/>
        <v>15</v>
      </c>
      <c r="BC31" s="46">
        <f t="shared" si="46"/>
        <v>5</v>
      </c>
      <c r="BD31" s="313">
        <f t="shared" si="47"/>
        <v>6442726420.000061</v>
      </c>
      <c r="BH31" s="23"/>
      <c r="BI31" s="23"/>
      <c r="BJ31" s="23"/>
      <c r="BK31" s="23"/>
      <c r="BL31" s="23"/>
      <c r="BM31" s="23"/>
    </row>
    <row r="32" spans="1:68" ht="14.25" customHeight="1" x14ac:dyDescent="0.25">
      <c r="A32" s="35" t="s">
        <v>57</v>
      </c>
      <c r="B32" s="68" t="s">
        <v>310</v>
      </c>
      <c r="C32" s="34">
        <v>45</v>
      </c>
      <c r="D32" s="34">
        <v>45</v>
      </c>
      <c r="E32" s="34">
        <v>45</v>
      </c>
      <c r="F32" s="34">
        <v>12</v>
      </c>
      <c r="G32" s="46">
        <v>0</v>
      </c>
      <c r="H32" s="34">
        <v>0</v>
      </c>
      <c r="I32" s="34">
        <v>0</v>
      </c>
      <c r="J32" s="34">
        <v>0</v>
      </c>
      <c r="K32" s="34">
        <v>0</v>
      </c>
      <c r="L32" s="34">
        <v>25</v>
      </c>
      <c r="M32" s="34">
        <v>0</v>
      </c>
      <c r="N32" s="34">
        <v>0</v>
      </c>
      <c r="O32" s="34">
        <v>0</v>
      </c>
      <c r="P32" s="46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46">
        <v>0</v>
      </c>
      <c r="Z32" s="34">
        <v>20</v>
      </c>
      <c r="AA32" s="34">
        <v>20</v>
      </c>
      <c r="AB32" s="34">
        <v>10</v>
      </c>
      <c r="AC32" s="34">
        <v>0</v>
      </c>
      <c r="AD32" s="34">
        <v>16</v>
      </c>
      <c r="AE32" s="34">
        <v>10</v>
      </c>
      <c r="AF32" s="34">
        <v>0</v>
      </c>
      <c r="AG32" s="34">
        <v>0</v>
      </c>
      <c r="AH32" s="46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46">
        <v>0</v>
      </c>
      <c r="AR32" s="34">
        <v>0</v>
      </c>
      <c r="AS32" s="34">
        <v>0</v>
      </c>
      <c r="AT32" s="46">
        <v>0</v>
      </c>
      <c r="AU32" s="34">
        <f t="shared" si="38"/>
        <v>20</v>
      </c>
      <c r="AV32" s="34">
        <f t="shared" si="39"/>
        <v>20</v>
      </c>
      <c r="AW32" s="34">
        <f t="shared" si="40"/>
        <v>10</v>
      </c>
      <c r="AX32" s="34">
        <f t="shared" si="41"/>
        <v>0</v>
      </c>
      <c r="AY32" s="34">
        <f t="shared" si="42"/>
        <v>41</v>
      </c>
      <c r="AZ32" s="34">
        <f t="shared" si="43"/>
        <v>10</v>
      </c>
      <c r="BA32" s="34">
        <f t="shared" si="44"/>
        <v>0</v>
      </c>
      <c r="BB32" s="34">
        <f t="shared" si="45"/>
        <v>0</v>
      </c>
      <c r="BC32" s="46">
        <f t="shared" si="46"/>
        <v>0</v>
      </c>
      <c r="BD32" s="313">
        <f t="shared" si="47"/>
        <v>4955943400</v>
      </c>
      <c r="BH32" s="23"/>
      <c r="BI32" s="23"/>
      <c r="BJ32" s="23"/>
      <c r="BK32" s="23"/>
      <c r="BL32" s="23"/>
      <c r="BM32" s="23"/>
    </row>
    <row r="33" spans="1:65" ht="14.25" customHeight="1" x14ac:dyDescent="0.25">
      <c r="A33" s="35" t="s">
        <v>58</v>
      </c>
      <c r="B33" s="68" t="s">
        <v>308</v>
      </c>
      <c r="C33" s="34">
        <v>45</v>
      </c>
      <c r="D33" s="34">
        <v>45</v>
      </c>
      <c r="E33" s="34">
        <v>45</v>
      </c>
      <c r="F33" s="34">
        <v>12</v>
      </c>
      <c r="G33" s="46">
        <v>18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75</v>
      </c>
      <c r="N33" s="34">
        <v>0</v>
      </c>
      <c r="O33" s="34">
        <v>0</v>
      </c>
      <c r="P33" s="46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46">
        <v>0</v>
      </c>
      <c r="Z33" s="34">
        <v>10</v>
      </c>
      <c r="AA33" s="34">
        <v>10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46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46">
        <v>0</v>
      </c>
      <c r="AR33" s="34">
        <v>0</v>
      </c>
      <c r="AS33" s="34">
        <v>0</v>
      </c>
      <c r="AT33" s="46">
        <v>0</v>
      </c>
      <c r="AU33" s="34">
        <f t="shared" si="38"/>
        <v>10</v>
      </c>
      <c r="AV33" s="34">
        <f t="shared" si="39"/>
        <v>10</v>
      </c>
      <c r="AW33" s="34">
        <f t="shared" si="40"/>
        <v>0</v>
      </c>
      <c r="AX33" s="34">
        <f t="shared" si="41"/>
        <v>0</v>
      </c>
      <c r="AY33" s="34">
        <f t="shared" si="42"/>
        <v>0</v>
      </c>
      <c r="AZ33" s="34">
        <f t="shared" si="43"/>
        <v>75</v>
      </c>
      <c r="BA33" s="34">
        <f t="shared" si="44"/>
        <v>0</v>
      </c>
      <c r="BB33" s="34">
        <f t="shared" si="45"/>
        <v>0</v>
      </c>
      <c r="BC33" s="46">
        <f t="shared" si="46"/>
        <v>0</v>
      </c>
      <c r="BD33" s="313">
        <f t="shared" si="47"/>
        <v>2477971700</v>
      </c>
      <c r="BH33" s="23"/>
      <c r="BI33" s="23"/>
      <c r="BJ33" s="23"/>
      <c r="BK33" s="23"/>
      <c r="BL33" s="23"/>
      <c r="BM33" s="23"/>
    </row>
    <row r="34" spans="1:65" ht="14.25" customHeight="1" x14ac:dyDescent="0.25">
      <c r="A34" s="35" t="s">
        <v>59</v>
      </c>
      <c r="B34" s="68" t="s">
        <v>312</v>
      </c>
      <c r="C34" s="34">
        <v>45</v>
      </c>
      <c r="D34" s="34">
        <v>45</v>
      </c>
      <c r="E34" s="34">
        <v>45</v>
      </c>
      <c r="F34" s="34">
        <v>12</v>
      </c>
      <c r="G34" s="46">
        <v>0</v>
      </c>
      <c r="H34" s="34">
        <v>0</v>
      </c>
      <c r="I34" s="34">
        <v>0</v>
      </c>
      <c r="J34" s="34">
        <v>0</v>
      </c>
      <c r="K34" s="34">
        <v>0</v>
      </c>
      <c r="L34" s="34">
        <v>20</v>
      </c>
      <c r="M34" s="34">
        <v>0</v>
      </c>
      <c r="N34" s="34">
        <v>0</v>
      </c>
      <c r="O34" s="34">
        <v>0</v>
      </c>
      <c r="P34" s="46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46">
        <v>0</v>
      </c>
      <c r="Z34" s="34">
        <v>0</v>
      </c>
      <c r="AA34" s="34">
        <v>10</v>
      </c>
      <c r="AB34" s="34">
        <v>10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46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46">
        <v>0</v>
      </c>
      <c r="AR34" s="34">
        <v>0</v>
      </c>
      <c r="AS34" s="34">
        <v>0</v>
      </c>
      <c r="AT34" s="46">
        <v>0</v>
      </c>
      <c r="AU34" s="34">
        <f t="shared" si="38"/>
        <v>0</v>
      </c>
      <c r="AV34" s="34">
        <f t="shared" si="39"/>
        <v>10</v>
      </c>
      <c r="AW34" s="34">
        <f t="shared" si="40"/>
        <v>10</v>
      </c>
      <c r="AX34" s="34">
        <f t="shared" si="41"/>
        <v>0</v>
      </c>
      <c r="AY34" s="34">
        <f t="shared" si="42"/>
        <v>20</v>
      </c>
      <c r="AZ34" s="34">
        <f t="shared" si="43"/>
        <v>0</v>
      </c>
      <c r="BA34" s="34">
        <f t="shared" si="44"/>
        <v>0</v>
      </c>
      <c r="BB34" s="34">
        <f t="shared" si="45"/>
        <v>0</v>
      </c>
      <c r="BC34" s="34">
        <f t="shared" si="46"/>
        <v>0</v>
      </c>
      <c r="BD34" s="313">
        <f t="shared" si="47"/>
        <v>0</v>
      </c>
    </row>
    <row r="35" spans="1:65" ht="14.25" customHeight="1" x14ac:dyDescent="0.25">
      <c r="A35" s="35" t="s">
        <v>60</v>
      </c>
      <c r="B35" s="62"/>
      <c r="C35" s="41">
        <v>0</v>
      </c>
      <c r="D35" s="41">
        <v>0</v>
      </c>
      <c r="E35" s="41">
        <v>0</v>
      </c>
      <c r="F35" s="41">
        <v>0</v>
      </c>
      <c r="G35" s="48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8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8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8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8">
        <v>0</v>
      </c>
      <c r="AR35" s="41">
        <v>0</v>
      </c>
      <c r="AS35" s="41">
        <v>0</v>
      </c>
      <c r="AT35" s="48">
        <v>0</v>
      </c>
      <c r="AU35" s="41">
        <f t="shared" si="38"/>
        <v>0</v>
      </c>
      <c r="AV35" s="41">
        <f t="shared" si="39"/>
        <v>0</v>
      </c>
      <c r="AW35" s="41">
        <f t="shared" si="40"/>
        <v>0</v>
      </c>
      <c r="AX35" s="41">
        <f t="shared" si="41"/>
        <v>0</v>
      </c>
      <c r="AY35" s="41">
        <f t="shared" si="42"/>
        <v>0</v>
      </c>
      <c r="AZ35" s="41">
        <f t="shared" si="43"/>
        <v>0</v>
      </c>
      <c r="BA35" s="41">
        <f t="shared" si="44"/>
        <v>0</v>
      </c>
      <c r="BB35" s="41">
        <f t="shared" si="45"/>
        <v>0</v>
      </c>
      <c r="BC35" s="41">
        <f t="shared" si="46"/>
        <v>0</v>
      </c>
      <c r="BD35" s="314">
        <f t="shared" si="47"/>
        <v>0</v>
      </c>
    </row>
    <row r="36" spans="1:65" ht="14.25" customHeight="1" x14ac:dyDescent="0.25">
      <c r="A36" s="35" t="s">
        <v>61</v>
      </c>
      <c r="B36" s="62"/>
      <c r="C36" s="41">
        <v>0</v>
      </c>
      <c r="D36" s="41">
        <v>0</v>
      </c>
      <c r="E36" s="41">
        <v>0</v>
      </c>
      <c r="F36" s="41">
        <v>0</v>
      </c>
      <c r="G36" s="48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8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8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41">
        <v>0</v>
      </c>
      <c r="AH36" s="48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8">
        <v>0</v>
      </c>
      <c r="AR36" s="41">
        <v>0</v>
      </c>
      <c r="AS36" s="41">
        <v>0</v>
      </c>
      <c r="AT36" s="48">
        <v>0</v>
      </c>
      <c r="AU36" s="41">
        <f t="shared" si="38"/>
        <v>0</v>
      </c>
      <c r="AV36" s="41">
        <f t="shared" si="39"/>
        <v>0</v>
      </c>
      <c r="AW36" s="41">
        <f t="shared" si="40"/>
        <v>0</v>
      </c>
      <c r="AX36" s="41">
        <f t="shared" si="41"/>
        <v>0</v>
      </c>
      <c r="AY36" s="41">
        <f t="shared" si="42"/>
        <v>0</v>
      </c>
      <c r="AZ36" s="41">
        <f t="shared" si="43"/>
        <v>0</v>
      </c>
      <c r="BA36" s="41">
        <f t="shared" si="44"/>
        <v>0</v>
      </c>
      <c r="BB36" s="41">
        <f t="shared" si="45"/>
        <v>0</v>
      </c>
      <c r="BC36" s="41">
        <f t="shared" si="46"/>
        <v>0</v>
      </c>
      <c r="BD36" s="314">
        <f t="shared" si="47"/>
        <v>0</v>
      </c>
    </row>
    <row r="37" spans="1:65" ht="14.25" customHeight="1" x14ac:dyDescent="0.25">
      <c r="A37" s="35" t="s">
        <v>62</v>
      </c>
      <c r="B37" s="62"/>
      <c r="C37" s="41">
        <v>0</v>
      </c>
      <c r="D37" s="41">
        <v>0</v>
      </c>
      <c r="E37" s="41">
        <v>0</v>
      </c>
      <c r="F37" s="41">
        <v>0</v>
      </c>
      <c r="G37" s="48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8">
        <v>0</v>
      </c>
      <c r="Q37" s="41">
        <v>0</v>
      </c>
      <c r="R37" s="41">
        <v>0</v>
      </c>
      <c r="S37" s="41">
        <v>0</v>
      </c>
      <c r="T37" s="41">
        <v>0</v>
      </c>
      <c r="U37" s="41">
        <v>0</v>
      </c>
      <c r="V37" s="41">
        <v>0</v>
      </c>
      <c r="W37" s="41">
        <v>0</v>
      </c>
      <c r="X37" s="41">
        <v>0</v>
      </c>
      <c r="Y37" s="48">
        <v>0</v>
      </c>
      <c r="Z37" s="41">
        <v>0</v>
      </c>
      <c r="AA37" s="41">
        <v>0</v>
      </c>
      <c r="AB37" s="41">
        <v>0</v>
      </c>
      <c r="AC37" s="41">
        <v>0</v>
      </c>
      <c r="AD37" s="41">
        <v>0</v>
      </c>
      <c r="AE37" s="41">
        <v>0</v>
      </c>
      <c r="AF37" s="41">
        <v>0</v>
      </c>
      <c r="AG37" s="41">
        <v>0</v>
      </c>
      <c r="AH37" s="48">
        <v>0</v>
      </c>
      <c r="AI37" s="41">
        <v>0</v>
      </c>
      <c r="AJ37" s="41">
        <v>0</v>
      </c>
      <c r="AK37" s="41">
        <v>0</v>
      </c>
      <c r="AL37" s="41">
        <v>0</v>
      </c>
      <c r="AM37" s="41">
        <v>0</v>
      </c>
      <c r="AN37" s="41">
        <v>0</v>
      </c>
      <c r="AO37" s="41">
        <v>0</v>
      </c>
      <c r="AP37" s="41">
        <v>0</v>
      </c>
      <c r="AQ37" s="48">
        <v>0</v>
      </c>
      <c r="AR37" s="41">
        <v>0</v>
      </c>
      <c r="AS37" s="41">
        <v>0</v>
      </c>
      <c r="AT37" s="48">
        <v>0</v>
      </c>
      <c r="AU37" s="41">
        <f t="shared" si="38"/>
        <v>0</v>
      </c>
      <c r="AV37" s="41">
        <f t="shared" si="39"/>
        <v>0</v>
      </c>
      <c r="AW37" s="41">
        <f t="shared" si="40"/>
        <v>0</v>
      </c>
      <c r="AX37" s="41">
        <f t="shared" si="41"/>
        <v>0</v>
      </c>
      <c r="AY37" s="41">
        <f t="shared" si="42"/>
        <v>0</v>
      </c>
      <c r="AZ37" s="41">
        <f t="shared" si="43"/>
        <v>0</v>
      </c>
      <c r="BA37" s="41">
        <f t="shared" si="44"/>
        <v>0</v>
      </c>
      <c r="BB37" s="41">
        <f t="shared" si="45"/>
        <v>0</v>
      </c>
      <c r="BC37" s="41">
        <f t="shared" si="46"/>
        <v>0</v>
      </c>
      <c r="BD37" s="314">
        <f t="shared" si="47"/>
        <v>0</v>
      </c>
    </row>
    <row r="38" spans="1:65" ht="14.25" customHeight="1" x14ac:dyDescent="0.25">
      <c r="A38" s="35" t="s">
        <v>63</v>
      </c>
      <c r="B38" s="62"/>
      <c r="C38" s="41">
        <v>0</v>
      </c>
      <c r="D38" s="41">
        <v>0</v>
      </c>
      <c r="E38" s="41">
        <v>0</v>
      </c>
      <c r="F38" s="41">
        <v>0</v>
      </c>
      <c r="G38" s="48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8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8">
        <v>0</v>
      </c>
      <c r="Z38" s="41">
        <v>0</v>
      </c>
      <c r="AA38" s="41">
        <v>0</v>
      </c>
      <c r="AB38" s="41">
        <v>0</v>
      </c>
      <c r="AC38" s="41">
        <v>0</v>
      </c>
      <c r="AD38" s="41">
        <v>0</v>
      </c>
      <c r="AE38" s="41">
        <v>0</v>
      </c>
      <c r="AF38" s="41">
        <v>0</v>
      </c>
      <c r="AG38" s="41">
        <v>0</v>
      </c>
      <c r="AH38" s="48">
        <v>0</v>
      </c>
      <c r="AI38" s="41">
        <v>0</v>
      </c>
      <c r="AJ38" s="41">
        <v>0</v>
      </c>
      <c r="AK38" s="41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8">
        <v>0</v>
      </c>
      <c r="AR38" s="41">
        <v>0</v>
      </c>
      <c r="AS38" s="41">
        <v>0</v>
      </c>
      <c r="AT38" s="48">
        <v>0</v>
      </c>
      <c r="AU38" s="41">
        <f t="shared" si="38"/>
        <v>0</v>
      </c>
      <c r="AV38" s="41">
        <f t="shared" si="39"/>
        <v>0</v>
      </c>
      <c r="AW38" s="41">
        <f t="shared" si="40"/>
        <v>0</v>
      </c>
      <c r="AX38" s="41">
        <f t="shared" si="41"/>
        <v>0</v>
      </c>
      <c r="AY38" s="41">
        <f t="shared" si="42"/>
        <v>0</v>
      </c>
      <c r="AZ38" s="41">
        <f t="shared" si="43"/>
        <v>0</v>
      </c>
      <c r="BA38" s="41">
        <f t="shared" si="44"/>
        <v>0</v>
      </c>
      <c r="BB38" s="41">
        <f t="shared" si="45"/>
        <v>0</v>
      </c>
      <c r="BC38" s="41">
        <f t="shared" si="46"/>
        <v>0</v>
      </c>
      <c r="BD38" s="314">
        <f t="shared" si="47"/>
        <v>0</v>
      </c>
    </row>
    <row r="39" spans="1:65" ht="14.25" customHeight="1" x14ac:dyDescent="0.25">
      <c r="A39" s="35" t="s">
        <v>64</v>
      </c>
      <c r="B39" s="382"/>
      <c r="C39" s="41">
        <v>0</v>
      </c>
      <c r="D39" s="41">
        <v>0</v>
      </c>
      <c r="E39" s="41">
        <v>0</v>
      </c>
      <c r="F39" s="41">
        <v>0</v>
      </c>
      <c r="G39" s="48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8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8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41">
        <v>0</v>
      </c>
      <c r="AH39" s="48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8">
        <v>0</v>
      </c>
      <c r="AR39" s="41">
        <v>0</v>
      </c>
      <c r="AS39" s="41">
        <v>0</v>
      </c>
      <c r="AT39" s="48">
        <v>0</v>
      </c>
      <c r="AU39" s="41">
        <f t="shared" ref="AU39:AU41" si="48">H39+Z39+AI39</f>
        <v>0</v>
      </c>
      <c r="AV39" s="41">
        <f t="shared" ref="AV39:AV41" si="49">I39+AA39+AJ39</f>
        <v>0</v>
      </c>
      <c r="AW39" s="41">
        <f t="shared" ref="AW39:AW41" si="50">J39+AB39+AK39</f>
        <v>0</v>
      </c>
      <c r="AX39" s="41">
        <f t="shared" ref="AX39:AX41" si="51">K39+AC39+AL39</f>
        <v>0</v>
      </c>
      <c r="AY39" s="41">
        <f t="shared" ref="AY39:AY41" si="52">L39+AD39+AM39</f>
        <v>0</v>
      </c>
      <c r="AZ39" s="41">
        <f t="shared" ref="AZ39:AZ41" si="53">M39+AE39+AN39</f>
        <v>0</v>
      </c>
      <c r="BA39" s="41">
        <f t="shared" ref="BA39:BA41" si="54">N39+AF39+AO39</f>
        <v>0</v>
      </c>
      <c r="BB39" s="41">
        <f t="shared" ref="BB39:BB41" si="55">O39+AG39+AP39</f>
        <v>0</v>
      </c>
      <c r="BC39" s="41">
        <f t="shared" ref="BC39:BC41" si="56">P39+AH39+AQ39</f>
        <v>0</v>
      </c>
      <c r="BD39" s="314">
        <f t="shared" ref="BD39:BD41" si="57">(BR$2*(AX39/100)+BR$2+BR$3)*(BS$2*(AU39/100)+BS$2+BS$3)-BT$2</f>
        <v>0</v>
      </c>
    </row>
    <row r="40" spans="1:65" ht="14.25" customHeight="1" x14ac:dyDescent="0.25">
      <c r="A40" s="35" t="s">
        <v>65</v>
      </c>
      <c r="B40" s="382"/>
      <c r="C40" s="41">
        <v>0</v>
      </c>
      <c r="D40" s="41">
        <v>0</v>
      </c>
      <c r="E40" s="41">
        <v>0</v>
      </c>
      <c r="F40" s="41">
        <v>0</v>
      </c>
      <c r="G40" s="48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8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8">
        <v>0</v>
      </c>
      <c r="Z40" s="41">
        <v>0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0</v>
      </c>
      <c r="AG40" s="41">
        <v>0</v>
      </c>
      <c r="AH40" s="48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8">
        <v>0</v>
      </c>
      <c r="AR40" s="41">
        <v>0</v>
      </c>
      <c r="AS40" s="41">
        <v>0</v>
      </c>
      <c r="AT40" s="48">
        <v>0</v>
      </c>
      <c r="AU40" s="41">
        <f t="shared" si="48"/>
        <v>0</v>
      </c>
      <c r="AV40" s="41">
        <f t="shared" si="49"/>
        <v>0</v>
      </c>
      <c r="AW40" s="41">
        <f t="shared" si="50"/>
        <v>0</v>
      </c>
      <c r="AX40" s="41">
        <f t="shared" si="51"/>
        <v>0</v>
      </c>
      <c r="AY40" s="41">
        <f t="shared" si="52"/>
        <v>0</v>
      </c>
      <c r="AZ40" s="41">
        <f t="shared" si="53"/>
        <v>0</v>
      </c>
      <c r="BA40" s="41">
        <f t="shared" si="54"/>
        <v>0</v>
      </c>
      <c r="BB40" s="41">
        <f t="shared" si="55"/>
        <v>0</v>
      </c>
      <c r="BC40" s="41">
        <f t="shared" si="56"/>
        <v>0</v>
      </c>
      <c r="BD40" s="314">
        <f t="shared" si="57"/>
        <v>0</v>
      </c>
    </row>
    <row r="41" spans="1:65" ht="14.25" customHeight="1" x14ac:dyDescent="0.25">
      <c r="A41" s="35" t="s">
        <v>66</v>
      </c>
      <c r="B41" s="382"/>
      <c r="C41" s="41">
        <v>0</v>
      </c>
      <c r="D41" s="41">
        <v>0</v>
      </c>
      <c r="E41" s="41">
        <v>0</v>
      </c>
      <c r="F41" s="41">
        <v>0</v>
      </c>
      <c r="G41" s="48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8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1">
        <v>0</v>
      </c>
      <c r="Y41" s="48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41">
        <v>0</v>
      </c>
      <c r="AH41" s="48">
        <v>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8">
        <v>0</v>
      </c>
      <c r="AR41" s="41">
        <v>0</v>
      </c>
      <c r="AS41" s="41">
        <v>0</v>
      </c>
      <c r="AT41" s="48">
        <v>0</v>
      </c>
      <c r="AU41" s="41">
        <f t="shared" si="48"/>
        <v>0</v>
      </c>
      <c r="AV41" s="41">
        <f t="shared" si="49"/>
        <v>0</v>
      </c>
      <c r="AW41" s="41">
        <f t="shared" si="50"/>
        <v>0</v>
      </c>
      <c r="AX41" s="41">
        <f t="shared" si="51"/>
        <v>0</v>
      </c>
      <c r="AY41" s="41">
        <f t="shared" si="52"/>
        <v>0</v>
      </c>
      <c r="AZ41" s="41">
        <f t="shared" si="53"/>
        <v>0</v>
      </c>
      <c r="BA41" s="41">
        <f t="shared" si="54"/>
        <v>0</v>
      </c>
      <c r="BB41" s="41">
        <f t="shared" si="55"/>
        <v>0</v>
      </c>
      <c r="BC41" s="41">
        <f t="shared" si="56"/>
        <v>0</v>
      </c>
      <c r="BD41" s="314">
        <f t="shared" si="57"/>
        <v>0</v>
      </c>
    </row>
  </sheetData>
  <sheetProtection autoFilter="0"/>
  <mergeCells count="18">
    <mergeCell ref="AR1:AT1"/>
    <mergeCell ref="AU1:BD1"/>
    <mergeCell ref="BE1:BJ1"/>
    <mergeCell ref="BK1:BP1"/>
    <mergeCell ref="Z22:AH22"/>
    <mergeCell ref="Z1:AH1"/>
    <mergeCell ref="AI1:AQ1"/>
    <mergeCell ref="AI22:AQ22"/>
    <mergeCell ref="AR22:AT22"/>
    <mergeCell ref="AU22:BD22"/>
    <mergeCell ref="A22:B22"/>
    <mergeCell ref="A1:B1"/>
    <mergeCell ref="H1:P1"/>
    <mergeCell ref="H22:P22"/>
    <mergeCell ref="Q22:Y22"/>
    <mergeCell ref="Q1:Y1"/>
    <mergeCell ref="C1:G1"/>
    <mergeCell ref="C22:G22"/>
  </mergeCells>
  <phoneticPr fontId="2" type="noConversion"/>
  <conditionalFormatting sqref="C3:G20 C24:G41">
    <cfRule type="cellIs" dxfId="10" priority="1" operator="equal">
      <formula>25</formula>
    </cfRule>
    <cfRule type="cellIs" dxfId="9" priority="2" operator="equal">
      <formula>0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3A6AC9-3A67-4241-AFF3-EAB09CB914BE}">
          <x14:formula1>
            <xm:f>Calculator!$S$2:$S$51</xm:f>
          </x14:formula1>
          <xm:sqref>BS9</xm:sqref>
        </x14:dataValidation>
        <x14:dataValidation type="list" allowBlank="1" showInputMessage="1" showErrorMessage="1" xr:uid="{978CB088-B0E4-49E8-A494-C2D73E18376F}">
          <x14:formula1>
            <xm:f>Calculator!$I$2:$I$18</xm:f>
          </x14:formula1>
          <xm:sqref>BS5</xm:sqref>
        </x14:dataValidation>
        <x14:dataValidation type="list" allowBlank="1" showInputMessage="1" showErrorMessage="1" xr:uid="{E5B91780-F8DF-4F82-B58C-7334F847EA57}">
          <x14:formula1>
            <xm:f>Calculator!$P$2:$P$51</xm:f>
          </x14:formula1>
          <xm:sqref>BS6</xm:sqref>
        </x14:dataValidation>
        <x14:dataValidation type="list" allowBlank="1" showInputMessage="1" showErrorMessage="1" xr:uid="{0E043D51-70D0-4D05-A76F-79E259485E45}">
          <x14:formula1>
            <xm:f>Calculator!$X$2:$X$13</xm:f>
          </x14:formula1>
          <xm:sqref>BS10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3F74-1D02-442C-BA11-04F727E97EAE}">
  <dimension ref="A1:AQ198"/>
  <sheetViews>
    <sheetView showGridLines="0" topLeftCell="A6" zoomScaleNormal="100" workbookViewId="0">
      <selection activeCell="K8" sqref="K8"/>
    </sheetView>
  </sheetViews>
  <sheetFormatPr defaultColWidth="6.140625" defaultRowHeight="14.25" customHeight="1" x14ac:dyDescent="0.25"/>
  <cols>
    <col min="1" max="1" width="20" style="83" customWidth="1"/>
    <col min="2" max="16384" width="6.140625" style="83"/>
  </cols>
  <sheetData>
    <row r="1" spans="1:43" ht="14.25" hidden="1" customHeight="1" x14ac:dyDescent="0.25">
      <c r="B1" s="621" t="s">
        <v>4</v>
      </c>
      <c r="C1" s="621"/>
      <c r="D1" s="621"/>
      <c r="E1" s="621"/>
      <c r="F1" s="621"/>
      <c r="H1" s="621" t="s">
        <v>4</v>
      </c>
      <c r="I1" s="621"/>
      <c r="J1" s="621"/>
      <c r="K1" s="621"/>
      <c r="L1" s="621"/>
    </row>
    <row r="2" spans="1:43" ht="14.25" hidden="1" customHeight="1" x14ac:dyDescent="0.25">
      <c r="B2" s="618" t="s">
        <v>479</v>
      </c>
      <c r="C2" s="618"/>
      <c r="D2" s="618"/>
      <c r="E2" s="618"/>
      <c r="F2" s="618"/>
      <c r="H2" s="617" t="s">
        <v>480</v>
      </c>
      <c r="I2" s="617"/>
      <c r="J2" s="617"/>
      <c r="K2" s="617"/>
      <c r="L2" s="617"/>
    </row>
    <row r="3" spans="1:43" ht="14.25" hidden="1" customHeight="1" x14ac:dyDescent="0.25">
      <c r="B3" s="84" t="s">
        <v>481</v>
      </c>
      <c r="C3" s="615" t="str">
        <f>'Comparison Tool'!L21</f>
        <v>Romulus</v>
      </c>
      <c r="D3" s="615"/>
      <c r="E3" s="85" t="e">
        <f>MATCH(C3,A7:A48,0)</f>
        <v>#N/A</v>
      </c>
      <c r="F3" s="84" t="s">
        <v>482</v>
      </c>
      <c r="H3" s="84" t="s">
        <v>481</v>
      </c>
      <c r="I3" s="615" t="str">
        <f>'Comparison Tool'!L28</f>
        <v>Romulus</v>
      </c>
      <c r="J3" s="615"/>
      <c r="K3" s="85" t="e">
        <f>MATCH(I3,A7:A48,0)</f>
        <v>#N/A</v>
      </c>
      <c r="L3" s="84" t="s">
        <v>482</v>
      </c>
    </row>
    <row r="4" spans="1:43" ht="14.25" hidden="1" customHeight="1" x14ac:dyDescent="0.25">
      <c r="B4" s="84" t="s">
        <v>483</v>
      </c>
      <c r="C4" s="615" t="str">
        <f>'Comparison Tool'!L23</f>
        <v>Hersilia</v>
      </c>
      <c r="D4" s="615"/>
      <c r="E4" s="85" t="e">
        <f>MATCH(C4,B6:AQ6,0)</f>
        <v>#N/A</v>
      </c>
      <c r="F4" s="84" t="s">
        <v>484</v>
      </c>
      <c r="H4" s="84" t="s">
        <v>483</v>
      </c>
      <c r="I4" s="615" t="str">
        <f>'Comparison Tool'!L30</f>
        <v>Daniel Morgan</v>
      </c>
      <c r="J4" s="615"/>
      <c r="K4" s="85" t="e">
        <f>MATCH(I4,B6:AQ6,)</f>
        <v>#N/A</v>
      </c>
      <c r="L4" s="84" t="s">
        <v>484</v>
      </c>
    </row>
    <row r="5" spans="1:43" ht="14.25" hidden="1" customHeight="1" x14ac:dyDescent="0.25">
      <c r="B5" s="86"/>
      <c r="C5" s="616" t="s">
        <v>485</v>
      </c>
      <c r="D5" s="616"/>
      <c r="E5" s="83" t="e">
        <f>INDEX(B7:AQ48,E4,E3)</f>
        <v>#N/A</v>
      </c>
      <c r="H5" s="86"/>
      <c r="I5" s="616" t="s">
        <v>485</v>
      </c>
      <c r="J5" s="616"/>
      <c r="K5" s="83" t="e">
        <f>INDEX(B7:AQ48,K4,K3)</f>
        <v>#N/A</v>
      </c>
    </row>
    <row r="6" spans="1:43" ht="67.5" customHeight="1" x14ac:dyDescent="0.25">
      <c r="A6" s="87" t="s">
        <v>486</v>
      </c>
      <c r="B6" s="88" t="s">
        <v>170</v>
      </c>
      <c r="C6" s="88" t="s">
        <v>171</v>
      </c>
      <c r="D6" s="88" t="s">
        <v>172</v>
      </c>
      <c r="E6" s="88" t="s">
        <v>326</v>
      </c>
      <c r="F6" s="88" t="s">
        <v>173</v>
      </c>
      <c r="G6" s="88" t="s">
        <v>209</v>
      </c>
      <c r="H6" s="88" t="s">
        <v>174</v>
      </c>
      <c r="I6" s="88" t="s">
        <v>175</v>
      </c>
      <c r="J6" s="88" t="s">
        <v>176</v>
      </c>
      <c r="K6" s="88" t="s">
        <v>178</v>
      </c>
      <c r="L6" s="88" t="s">
        <v>180</v>
      </c>
      <c r="M6" s="88" t="s">
        <v>177</v>
      </c>
      <c r="N6" s="88" t="s">
        <v>179</v>
      </c>
      <c r="O6" s="88" t="s">
        <v>181</v>
      </c>
      <c r="P6" s="88" t="s">
        <v>182</v>
      </c>
      <c r="Q6" s="88" t="s">
        <v>183</v>
      </c>
      <c r="R6" s="88" t="s">
        <v>185</v>
      </c>
      <c r="S6" s="88" t="s">
        <v>187</v>
      </c>
      <c r="T6" s="88" t="s">
        <v>184</v>
      </c>
      <c r="U6" s="88" t="s">
        <v>299</v>
      </c>
      <c r="V6" s="88" t="s">
        <v>186</v>
      </c>
      <c r="W6" s="88" t="s">
        <v>288</v>
      </c>
      <c r="X6" s="88" t="s">
        <v>188</v>
      </c>
      <c r="Y6" s="88" t="s">
        <v>192</v>
      </c>
      <c r="Z6" s="88" t="s">
        <v>300</v>
      </c>
      <c r="AA6" s="88" t="s">
        <v>189</v>
      </c>
      <c r="AB6" s="88" t="s">
        <v>193</v>
      </c>
      <c r="AC6" s="88" t="s">
        <v>26</v>
      </c>
      <c r="AD6" s="88" t="s">
        <v>302</v>
      </c>
      <c r="AE6" s="88" t="s">
        <v>194</v>
      </c>
      <c r="AF6" s="88" t="s">
        <v>191</v>
      </c>
      <c r="AG6" s="88" t="s">
        <v>190</v>
      </c>
      <c r="AH6" s="88" t="s">
        <v>195</v>
      </c>
      <c r="AI6" s="88" t="s">
        <v>168</v>
      </c>
      <c r="AJ6" s="88" t="s">
        <v>163</v>
      </c>
      <c r="AK6" s="88" t="s">
        <v>196</v>
      </c>
      <c r="AL6" s="88" t="s">
        <v>490</v>
      </c>
      <c r="AM6" s="88"/>
      <c r="AN6" s="88"/>
      <c r="AO6" s="88"/>
      <c r="AP6" s="88"/>
      <c r="AQ6" s="88"/>
    </row>
    <row r="7" spans="1:43" ht="14.25" customHeight="1" x14ac:dyDescent="0.25">
      <c r="A7" s="89" t="s">
        <v>170</v>
      </c>
      <c r="B7" s="85" t="s">
        <v>477</v>
      </c>
      <c r="C7" s="85" t="s">
        <v>478</v>
      </c>
      <c r="D7" s="85" t="s">
        <v>478</v>
      </c>
      <c r="E7" s="85" t="s">
        <v>478</v>
      </c>
      <c r="F7" s="85" t="s">
        <v>478</v>
      </c>
      <c r="G7" s="85" t="s">
        <v>478</v>
      </c>
      <c r="H7" s="85" t="s">
        <v>478</v>
      </c>
      <c r="I7" s="85" t="s">
        <v>478</v>
      </c>
      <c r="J7" s="85" t="s">
        <v>478</v>
      </c>
      <c r="K7" s="85" t="s">
        <v>478</v>
      </c>
      <c r="L7" s="85" t="s">
        <v>478</v>
      </c>
      <c r="M7" s="85" t="s">
        <v>478</v>
      </c>
      <c r="N7" s="85">
        <v>0</v>
      </c>
      <c r="O7" s="85" t="s">
        <v>478</v>
      </c>
      <c r="P7" s="85">
        <v>0</v>
      </c>
      <c r="Q7" s="85" t="s">
        <v>478</v>
      </c>
      <c r="R7" s="85">
        <v>0</v>
      </c>
      <c r="S7" s="85">
        <v>0</v>
      </c>
      <c r="T7" s="85" t="s">
        <v>478</v>
      </c>
      <c r="U7" s="85">
        <v>0</v>
      </c>
      <c r="V7" s="85">
        <v>0</v>
      </c>
      <c r="W7" s="85">
        <v>0</v>
      </c>
      <c r="X7" s="85">
        <v>0</v>
      </c>
      <c r="Y7" s="85">
        <v>0</v>
      </c>
      <c r="Z7" s="85" t="s">
        <v>478</v>
      </c>
      <c r="AA7" s="85">
        <v>0</v>
      </c>
      <c r="AB7" s="85">
        <v>0</v>
      </c>
      <c r="AC7" s="85">
        <v>0</v>
      </c>
      <c r="AD7" s="85">
        <v>0</v>
      </c>
      <c r="AE7" s="85">
        <v>0</v>
      </c>
      <c r="AF7" s="85">
        <v>0</v>
      </c>
      <c r="AG7" s="85">
        <v>0</v>
      </c>
      <c r="AH7" s="85">
        <v>0</v>
      </c>
      <c r="AI7" s="85">
        <v>0</v>
      </c>
      <c r="AJ7" s="85">
        <v>0</v>
      </c>
      <c r="AK7" s="85">
        <v>0</v>
      </c>
      <c r="AL7" s="85">
        <v>0</v>
      </c>
      <c r="AM7" s="85">
        <v>0</v>
      </c>
      <c r="AN7" s="85">
        <v>0</v>
      </c>
      <c r="AO7" s="85">
        <v>0</v>
      </c>
      <c r="AP7" s="85">
        <v>0</v>
      </c>
      <c r="AQ7" s="85">
        <v>0</v>
      </c>
    </row>
    <row r="8" spans="1:43" ht="14.25" customHeight="1" x14ac:dyDescent="0.25">
      <c r="A8" s="89" t="s">
        <v>171</v>
      </c>
      <c r="B8" s="85" t="s">
        <v>478</v>
      </c>
      <c r="C8" s="85" t="s">
        <v>477</v>
      </c>
      <c r="D8" s="85" t="s">
        <v>478</v>
      </c>
      <c r="E8" s="85" t="s">
        <v>478</v>
      </c>
      <c r="F8" s="85" t="s">
        <v>478</v>
      </c>
      <c r="G8" s="85" t="s">
        <v>478</v>
      </c>
      <c r="H8" s="85" t="s">
        <v>478</v>
      </c>
      <c r="I8" s="85" t="s">
        <v>478</v>
      </c>
      <c r="J8" s="85" t="s">
        <v>478</v>
      </c>
      <c r="K8" s="85" t="s">
        <v>478</v>
      </c>
      <c r="L8" s="85" t="s">
        <v>478</v>
      </c>
      <c r="M8" s="85" t="s">
        <v>478</v>
      </c>
      <c r="N8" s="85" t="s">
        <v>478</v>
      </c>
      <c r="O8" s="85" t="s">
        <v>478</v>
      </c>
      <c r="P8" s="85">
        <v>0</v>
      </c>
      <c r="Q8" s="85" t="s">
        <v>478</v>
      </c>
      <c r="R8" s="85" t="s">
        <v>478</v>
      </c>
      <c r="S8" s="85">
        <v>0</v>
      </c>
      <c r="T8" s="85" t="s">
        <v>478</v>
      </c>
      <c r="U8" s="85">
        <v>0</v>
      </c>
      <c r="V8" s="85" t="s">
        <v>478</v>
      </c>
      <c r="W8" s="85">
        <v>0</v>
      </c>
      <c r="X8" s="85">
        <v>0</v>
      </c>
      <c r="Y8" s="85" t="s">
        <v>478</v>
      </c>
      <c r="Z8" s="85" t="s">
        <v>478</v>
      </c>
      <c r="AA8" s="85">
        <v>0</v>
      </c>
      <c r="AB8" s="85" t="s">
        <v>478</v>
      </c>
      <c r="AC8" s="85">
        <v>0</v>
      </c>
      <c r="AD8" s="85">
        <v>0</v>
      </c>
      <c r="AE8" s="85" t="s">
        <v>478</v>
      </c>
      <c r="AF8" s="85">
        <v>0</v>
      </c>
      <c r="AG8" s="85">
        <v>0</v>
      </c>
      <c r="AH8" s="85" t="s">
        <v>478</v>
      </c>
      <c r="AI8" s="85">
        <v>0</v>
      </c>
      <c r="AJ8" s="85">
        <v>0</v>
      </c>
      <c r="AK8" s="85">
        <v>0</v>
      </c>
      <c r="AL8" s="85" t="s">
        <v>478</v>
      </c>
      <c r="AM8" s="85">
        <v>0</v>
      </c>
      <c r="AN8" s="85">
        <v>0</v>
      </c>
      <c r="AO8" s="85">
        <v>0</v>
      </c>
      <c r="AP8" s="85">
        <v>0</v>
      </c>
      <c r="AQ8" s="85">
        <v>0</v>
      </c>
    </row>
    <row r="9" spans="1:43" ht="14.25" customHeight="1" x14ac:dyDescent="0.25">
      <c r="A9" s="89" t="s">
        <v>172</v>
      </c>
      <c r="B9" s="85" t="s">
        <v>478</v>
      </c>
      <c r="C9" s="85" t="s">
        <v>478</v>
      </c>
      <c r="D9" s="85" t="s">
        <v>477</v>
      </c>
      <c r="E9" s="85" t="s">
        <v>477</v>
      </c>
      <c r="F9" s="85" t="s">
        <v>477</v>
      </c>
      <c r="G9" s="85" t="s">
        <v>478</v>
      </c>
      <c r="H9" s="85" t="s">
        <v>478</v>
      </c>
      <c r="I9" s="85" t="s">
        <v>478</v>
      </c>
      <c r="J9" s="85" t="s">
        <v>478</v>
      </c>
      <c r="K9" s="85" t="s">
        <v>478</v>
      </c>
      <c r="L9" s="85" t="s">
        <v>478</v>
      </c>
      <c r="M9" s="85" t="s">
        <v>478</v>
      </c>
      <c r="N9" s="85" t="s">
        <v>478</v>
      </c>
      <c r="O9" s="85" t="s">
        <v>478</v>
      </c>
      <c r="P9" s="85">
        <v>0</v>
      </c>
      <c r="Q9" s="85" t="s">
        <v>478</v>
      </c>
      <c r="R9" s="85" t="s">
        <v>478</v>
      </c>
      <c r="S9" s="85">
        <v>0</v>
      </c>
      <c r="T9" s="85" t="s">
        <v>478</v>
      </c>
      <c r="U9" s="85">
        <v>0</v>
      </c>
      <c r="V9" s="85" t="s">
        <v>478</v>
      </c>
      <c r="W9" s="85">
        <v>0</v>
      </c>
      <c r="X9" s="85">
        <v>0</v>
      </c>
      <c r="Y9" s="85" t="s">
        <v>478</v>
      </c>
      <c r="Z9" s="85" t="s">
        <v>478</v>
      </c>
      <c r="AA9" s="85">
        <v>0</v>
      </c>
      <c r="AB9" s="85" t="s">
        <v>478</v>
      </c>
      <c r="AC9" s="85">
        <v>0</v>
      </c>
      <c r="AD9" s="85">
        <v>0</v>
      </c>
      <c r="AE9" s="85" t="s">
        <v>478</v>
      </c>
      <c r="AF9" s="85">
        <v>0</v>
      </c>
      <c r="AG9" s="85">
        <v>0</v>
      </c>
      <c r="AH9" s="85" t="s">
        <v>478</v>
      </c>
      <c r="AI9" s="85">
        <v>0</v>
      </c>
      <c r="AJ9" s="85">
        <v>0</v>
      </c>
      <c r="AK9" s="85">
        <v>0</v>
      </c>
      <c r="AL9" s="85" t="s">
        <v>478</v>
      </c>
      <c r="AM9" s="85">
        <v>0</v>
      </c>
      <c r="AN9" s="85">
        <v>0</v>
      </c>
      <c r="AO9" s="85">
        <v>0</v>
      </c>
      <c r="AP9" s="85">
        <v>0</v>
      </c>
      <c r="AQ9" s="85">
        <v>0</v>
      </c>
    </row>
    <row r="10" spans="1:43" ht="14.25" customHeight="1" x14ac:dyDescent="0.25">
      <c r="A10" s="89" t="s">
        <v>326</v>
      </c>
      <c r="B10" s="85" t="s">
        <v>478</v>
      </c>
      <c r="C10" s="85" t="s">
        <v>478</v>
      </c>
      <c r="D10" s="85" t="s">
        <v>477</v>
      </c>
      <c r="E10" s="85" t="s">
        <v>477</v>
      </c>
      <c r="F10" s="85" t="s">
        <v>477</v>
      </c>
      <c r="G10" s="85" t="s">
        <v>478</v>
      </c>
      <c r="H10" s="85" t="s">
        <v>478</v>
      </c>
      <c r="I10" s="85" t="s">
        <v>478</v>
      </c>
      <c r="J10" s="85" t="s">
        <v>478</v>
      </c>
      <c r="K10" s="85" t="s">
        <v>478</v>
      </c>
      <c r="L10" s="85" t="s">
        <v>478</v>
      </c>
      <c r="M10" s="85" t="s">
        <v>478</v>
      </c>
      <c r="N10" s="85">
        <v>0</v>
      </c>
      <c r="O10" s="85" t="s">
        <v>478</v>
      </c>
      <c r="P10" s="85">
        <v>0</v>
      </c>
      <c r="Q10" s="85" t="s">
        <v>478</v>
      </c>
      <c r="R10" s="85">
        <v>0</v>
      </c>
      <c r="S10" s="85">
        <v>0</v>
      </c>
      <c r="T10" s="85" t="s">
        <v>477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85" t="s">
        <v>478</v>
      </c>
      <c r="AA10" s="85">
        <v>0</v>
      </c>
      <c r="AB10" s="85">
        <v>0</v>
      </c>
      <c r="AC10" s="85">
        <v>0</v>
      </c>
      <c r="AD10" s="85">
        <v>0</v>
      </c>
      <c r="AE10" s="85">
        <v>0</v>
      </c>
      <c r="AF10" s="85">
        <v>0</v>
      </c>
      <c r="AG10" s="85">
        <v>0</v>
      </c>
      <c r="AH10" s="85">
        <v>0</v>
      </c>
      <c r="AI10" s="85">
        <v>0</v>
      </c>
      <c r="AJ10" s="85">
        <v>0</v>
      </c>
      <c r="AK10" s="85">
        <v>0</v>
      </c>
      <c r="AL10" s="85">
        <v>0</v>
      </c>
      <c r="AM10" s="85">
        <v>0</v>
      </c>
      <c r="AN10" s="85">
        <v>0</v>
      </c>
      <c r="AO10" s="85">
        <v>0</v>
      </c>
      <c r="AP10" s="85">
        <v>0</v>
      </c>
      <c r="AQ10" s="85">
        <v>0</v>
      </c>
    </row>
    <row r="11" spans="1:43" ht="14.25" customHeight="1" x14ac:dyDescent="0.25">
      <c r="A11" s="89" t="s">
        <v>173</v>
      </c>
      <c r="B11" s="85" t="s">
        <v>478</v>
      </c>
      <c r="C11" s="85" t="s">
        <v>478</v>
      </c>
      <c r="D11" s="85" t="s">
        <v>478</v>
      </c>
      <c r="E11" s="85" t="s">
        <v>477</v>
      </c>
      <c r="F11" s="85" t="s">
        <v>477</v>
      </c>
      <c r="G11" s="85" t="s">
        <v>478</v>
      </c>
      <c r="H11" s="85" t="s">
        <v>478</v>
      </c>
      <c r="I11" s="85" t="s">
        <v>478</v>
      </c>
      <c r="J11" s="85" t="s">
        <v>478</v>
      </c>
      <c r="K11" s="85" t="s">
        <v>478</v>
      </c>
      <c r="L11" s="85" t="s">
        <v>478</v>
      </c>
      <c r="M11" s="85" t="s">
        <v>478</v>
      </c>
      <c r="N11" s="85" t="s">
        <v>478</v>
      </c>
      <c r="O11" s="85" t="s">
        <v>478</v>
      </c>
      <c r="P11" s="85">
        <v>0</v>
      </c>
      <c r="Q11" s="85" t="s">
        <v>478</v>
      </c>
      <c r="R11" s="85" t="s">
        <v>478</v>
      </c>
      <c r="S11" s="85">
        <v>0</v>
      </c>
      <c r="T11" s="85" t="s">
        <v>478</v>
      </c>
      <c r="U11" s="85">
        <v>0</v>
      </c>
      <c r="V11" s="85" t="s">
        <v>478</v>
      </c>
      <c r="W11" s="85">
        <v>0</v>
      </c>
      <c r="X11" s="85">
        <v>0</v>
      </c>
      <c r="Y11" s="85" t="s">
        <v>478</v>
      </c>
      <c r="Z11" s="85" t="s">
        <v>478</v>
      </c>
      <c r="AA11" s="85">
        <v>0</v>
      </c>
      <c r="AB11" s="85">
        <v>0</v>
      </c>
      <c r="AC11" s="85">
        <v>0</v>
      </c>
      <c r="AD11" s="85">
        <v>0</v>
      </c>
      <c r="AE11" s="85">
        <v>0</v>
      </c>
      <c r="AF11" s="85">
        <v>0</v>
      </c>
      <c r="AG11" s="85">
        <v>0</v>
      </c>
      <c r="AH11" s="85" t="s">
        <v>478</v>
      </c>
      <c r="AI11" s="85">
        <v>0</v>
      </c>
      <c r="AJ11" s="85">
        <v>0</v>
      </c>
      <c r="AK11" s="85">
        <v>0</v>
      </c>
      <c r="AL11" s="85">
        <v>0</v>
      </c>
      <c r="AM11" s="85">
        <v>0</v>
      </c>
      <c r="AN11" s="85">
        <v>0</v>
      </c>
      <c r="AO11" s="85">
        <v>0</v>
      </c>
      <c r="AP11" s="85">
        <v>0</v>
      </c>
      <c r="AQ11" s="85">
        <v>0</v>
      </c>
    </row>
    <row r="12" spans="1:43" ht="14.25" customHeight="1" x14ac:dyDescent="0.25">
      <c r="A12" s="89" t="s">
        <v>209</v>
      </c>
      <c r="B12" s="85" t="s">
        <v>478</v>
      </c>
      <c r="C12" s="85" t="s">
        <v>478</v>
      </c>
      <c r="D12" s="85" t="s">
        <v>478</v>
      </c>
      <c r="E12" s="85" t="s">
        <v>478</v>
      </c>
      <c r="F12" s="85" t="s">
        <v>478</v>
      </c>
      <c r="G12" s="85" t="s">
        <v>477</v>
      </c>
      <c r="H12" s="85" t="s">
        <v>477</v>
      </c>
      <c r="I12" s="85" t="s">
        <v>477</v>
      </c>
      <c r="J12" s="85" t="s">
        <v>477</v>
      </c>
      <c r="K12" s="85" t="s">
        <v>478</v>
      </c>
      <c r="L12" s="85" t="s">
        <v>478</v>
      </c>
      <c r="M12" s="85" t="s">
        <v>478</v>
      </c>
      <c r="N12" s="85">
        <v>0</v>
      </c>
      <c r="O12" s="85" t="s">
        <v>478</v>
      </c>
      <c r="P12" s="85">
        <v>0</v>
      </c>
      <c r="Q12" s="85" t="s">
        <v>478</v>
      </c>
      <c r="R12" s="85">
        <v>0</v>
      </c>
      <c r="S12" s="85">
        <v>0</v>
      </c>
      <c r="T12" s="85" t="s">
        <v>478</v>
      </c>
      <c r="U12" s="85">
        <v>0</v>
      </c>
      <c r="V12" s="85">
        <v>0</v>
      </c>
      <c r="W12" s="85">
        <v>0</v>
      </c>
      <c r="X12" s="85">
        <v>0</v>
      </c>
      <c r="Y12" s="85">
        <v>0</v>
      </c>
      <c r="Z12" s="85" t="s">
        <v>478</v>
      </c>
      <c r="AA12" s="85">
        <v>0</v>
      </c>
      <c r="AB12" s="85">
        <v>0</v>
      </c>
      <c r="AC12" s="85">
        <v>0</v>
      </c>
      <c r="AD12" s="85">
        <v>0</v>
      </c>
      <c r="AE12" s="85">
        <v>0</v>
      </c>
      <c r="AF12" s="85">
        <v>0</v>
      </c>
      <c r="AG12" s="85">
        <v>0</v>
      </c>
      <c r="AH12" s="85">
        <v>0</v>
      </c>
      <c r="AI12" s="85">
        <v>0</v>
      </c>
      <c r="AJ12" s="85">
        <v>0</v>
      </c>
      <c r="AK12" s="85">
        <v>0</v>
      </c>
      <c r="AL12" s="85">
        <v>0</v>
      </c>
      <c r="AM12" s="85">
        <v>0</v>
      </c>
      <c r="AN12" s="85">
        <v>0</v>
      </c>
      <c r="AO12" s="85">
        <v>0</v>
      </c>
      <c r="AP12" s="85">
        <v>0</v>
      </c>
      <c r="AQ12" s="85">
        <v>0</v>
      </c>
    </row>
    <row r="13" spans="1:43" ht="14.25" customHeight="1" x14ac:dyDescent="0.25">
      <c r="A13" s="89" t="s">
        <v>174</v>
      </c>
      <c r="B13" s="85" t="s">
        <v>478</v>
      </c>
      <c r="C13" s="85" t="s">
        <v>478</v>
      </c>
      <c r="D13" s="85" t="s">
        <v>478</v>
      </c>
      <c r="E13" s="85" t="s">
        <v>478</v>
      </c>
      <c r="F13" s="85" t="s">
        <v>478</v>
      </c>
      <c r="G13" s="85" t="s">
        <v>477</v>
      </c>
      <c r="H13" s="85" t="s">
        <v>477</v>
      </c>
      <c r="I13" s="85" t="s">
        <v>477</v>
      </c>
      <c r="J13" s="85" t="s">
        <v>477</v>
      </c>
      <c r="K13" s="85" t="s">
        <v>478</v>
      </c>
      <c r="L13" s="85" t="s">
        <v>478</v>
      </c>
      <c r="M13" s="85" t="s">
        <v>477</v>
      </c>
      <c r="N13" s="85" t="s">
        <v>478</v>
      </c>
      <c r="O13" s="85" t="s">
        <v>478</v>
      </c>
      <c r="P13" s="85" t="s">
        <v>478</v>
      </c>
      <c r="Q13" s="85" t="s">
        <v>478</v>
      </c>
      <c r="R13" s="85" t="s">
        <v>478</v>
      </c>
      <c r="S13" s="85">
        <v>0</v>
      </c>
      <c r="T13" s="85" t="s">
        <v>478</v>
      </c>
      <c r="U13" s="85">
        <v>0</v>
      </c>
      <c r="V13" s="85">
        <v>0</v>
      </c>
      <c r="W13" s="85">
        <v>0</v>
      </c>
      <c r="X13" s="85">
        <v>0</v>
      </c>
      <c r="Y13" s="85" t="s">
        <v>478</v>
      </c>
      <c r="Z13" s="85" t="s">
        <v>478</v>
      </c>
      <c r="AA13" s="85">
        <v>0</v>
      </c>
      <c r="AB13" s="85">
        <v>0</v>
      </c>
      <c r="AC13" s="85">
        <v>0</v>
      </c>
      <c r="AD13" s="85">
        <v>0</v>
      </c>
      <c r="AE13" s="85">
        <v>0</v>
      </c>
      <c r="AF13" s="85">
        <v>0</v>
      </c>
      <c r="AG13" s="85">
        <v>0</v>
      </c>
      <c r="AH13" s="85">
        <v>0</v>
      </c>
      <c r="AI13" s="85">
        <v>0</v>
      </c>
      <c r="AJ13" s="85">
        <v>0</v>
      </c>
      <c r="AK13" s="85">
        <v>0</v>
      </c>
      <c r="AL13" s="85">
        <v>0</v>
      </c>
      <c r="AM13" s="85">
        <v>0</v>
      </c>
      <c r="AN13" s="85">
        <v>0</v>
      </c>
      <c r="AO13" s="85">
        <v>0</v>
      </c>
      <c r="AP13" s="85">
        <v>0</v>
      </c>
      <c r="AQ13" s="85">
        <v>0</v>
      </c>
    </row>
    <row r="14" spans="1:43" ht="14.25" customHeight="1" x14ac:dyDescent="0.25">
      <c r="A14" s="89" t="s">
        <v>175</v>
      </c>
      <c r="B14" s="85" t="s">
        <v>478</v>
      </c>
      <c r="C14" s="85" t="s">
        <v>478</v>
      </c>
      <c r="D14" s="85" t="s">
        <v>478</v>
      </c>
      <c r="E14" s="85" t="s">
        <v>478</v>
      </c>
      <c r="F14" s="85" t="s">
        <v>478</v>
      </c>
      <c r="G14" s="85" t="s">
        <v>478</v>
      </c>
      <c r="H14" s="85" t="s">
        <v>478</v>
      </c>
      <c r="I14" s="85" t="s">
        <v>477</v>
      </c>
      <c r="J14" s="85" t="s">
        <v>478</v>
      </c>
      <c r="K14" s="85" t="s">
        <v>478</v>
      </c>
      <c r="L14" s="85" t="s">
        <v>478</v>
      </c>
      <c r="M14" s="85" t="s">
        <v>478</v>
      </c>
      <c r="N14" s="85" t="s">
        <v>478</v>
      </c>
      <c r="O14" s="85" t="s">
        <v>478</v>
      </c>
      <c r="P14" s="85" t="s">
        <v>478</v>
      </c>
      <c r="Q14" s="85" t="s">
        <v>478</v>
      </c>
      <c r="R14" s="85">
        <v>0</v>
      </c>
      <c r="S14" s="85">
        <v>0</v>
      </c>
      <c r="T14" s="85" t="s">
        <v>478</v>
      </c>
      <c r="U14" s="85">
        <v>0</v>
      </c>
      <c r="V14" s="85" t="s">
        <v>478</v>
      </c>
      <c r="W14" s="85">
        <v>0</v>
      </c>
      <c r="X14" s="85" t="s">
        <v>478</v>
      </c>
      <c r="Y14" s="85" t="s">
        <v>478</v>
      </c>
      <c r="Z14" s="85" t="s">
        <v>478</v>
      </c>
      <c r="AA14" s="85">
        <v>0</v>
      </c>
      <c r="AB14" s="85">
        <v>0</v>
      </c>
      <c r="AC14" s="85">
        <v>0</v>
      </c>
      <c r="AD14" s="85">
        <v>0</v>
      </c>
      <c r="AE14" s="85">
        <v>0</v>
      </c>
      <c r="AF14" s="85">
        <v>0</v>
      </c>
      <c r="AG14" s="85">
        <v>0</v>
      </c>
      <c r="AH14" s="85" t="s">
        <v>478</v>
      </c>
      <c r="AI14" s="85">
        <v>0</v>
      </c>
      <c r="AJ14" s="85">
        <v>0</v>
      </c>
      <c r="AK14" s="85">
        <v>0</v>
      </c>
      <c r="AL14" s="85">
        <v>0</v>
      </c>
      <c r="AM14" s="85">
        <v>0</v>
      </c>
      <c r="AN14" s="85">
        <v>0</v>
      </c>
      <c r="AO14" s="85">
        <v>0</v>
      </c>
      <c r="AP14" s="85">
        <v>0</v>
      </c>
      <c r="AQ14" s="85">
        <v>0</v>
      </c>
    </row>
    <row r="15" spans="1:43" ht="14.25" customHeight="1" x14ac:dyDescent="0.25">
      <c r="A15" s="89" t="s">
        <v>176</v>
      </c>
      <c r="B15" s="85" t="s">
        <v>478</v>
      </c>
      <c r="C15" s="85" t="s">
        <v>478</v>
      </c>
      <c r="D15" s="85" t="s">
        <v>478</v>
      </c>
      <c r="E15" s="85" t="s">
        <v>478</v>
      </c>
      <c r="F15" s="85" t="s">
        <v>478</v>
      </c>
      <c r="G15" s="85" t="s">
        <v>477</v>
      </c>
      <c r="H15" s="85" t="s">
        <v>477</v>
      </c>
      <c r="I15" s="85" t="s">
        <v>477</v>
      </c>
      <c r="J15" s="85" t="s">
        <v>477</v>
      </c>
      <c r="K15" s="85" t="s">
        <v>478</v>
      </c>
      <c r="L15" s="85" t="s">
        <v>478</v>
      </c>
      <c r="M15" s="85" t="s">
        <v>478</v>
      </c>
      <c r="N15" s="85" t="s">
        <v>478</v>
      </c>
      <c r="O15" s="85" t="s">
        <v>478</v>
      </c>
      <c r="P15" s="85" t="s">
        <v>478</v>
      </c>
      <c r="Q15" s="85" t="s">
        <v>478</v>
      </c>
      <c r="R15" s="85" t="s">
        <v>478</v>
      </c>
      <c r="S15" s="85" t="s">
        <v>478</v>
      </c>
      <c r="T15" s="85" t="s">
        <v>478</v>
      </c>
      <c r="U15" s="85">
        <v>0</v>
      </c>
      <c r="V15" s="85" t="s">
        <v>478</v>
      </c>
      <c r="W15" s="85" t="s">
        <v>478</v>
      </c>
      <c r="X15" s="85" t="s">
        <v>478</v>
      </c>
      <c r="Y15" s="85" t="s">
        <v>478</v>
      </c>
      <c r="Z15" s="85" t="s">
        <v>478</v>
      </c>
      <c r="AA15" s="85" t="s">
        <v>478</v>
      </c>
      <c r="AB15" s="85" t="s">
        <v>478</v>
      </c>
      <c r="AC15" s="85" t="s">
        <v>478</v>
      </c>
      <c r="AD15" s="85">
        <v>0</v>
      </c>
      <c r="AE15" s="85" t="s">
        <v>478</v>
      </c>
      <c r="AF15" s="85">
        <v>0</v>
      </c>
      <c r="AG15" s="85">
        <v>0</v>
      </c>
      <c r="AH15" s="85" t="s">
        <v>478</v>
      </c>
      <c r="AI15" s="85" t="s">
        <v>478</v>
      </c>
      <c r="AJ15" s="85">
        <v>0</v>
      </c>
      <c r="AK15" s="85">
        <v>0</v>
      </c>
      <c r="AL15" s="85" t="s">
        <v>478</v>
      </c>
      <c r="AM15" s="85">
        <v>0</v>
      </c>
      <c r="AN15" s="85">
        <v>0</v>
      </c>
      <c r="AO15" s="85">
        <v>0</v>
      </c>
      <c r="AP15" s="85">
        <v>0</v>
      </c>
      <c r="AQ15" s="85">
        <v>0</v>
      </c>
    </row>
    <row r="16" spans="1:43" ht="14.25" customHeight="1" x14ac:dyDescent="0.25">
      <c r="A16" s="89" t="s">
        <v>178</v>
      </c>
      <c r="B16" s="85" t="s">
        <v>478</v>
      </c>
      <c r="C16" s="85" t="s">
        <v>478</v>
      </c>
      <c r="D16" s="85" t="s">
        <v>478</v>
      </c>
      <c r="E16" s="85" t="s">
        <v>478</v>
      </c>
      <c r="F16" s="85" t="s">
        <v>478</v>
      </c>
      <c r="G16" s="85" t="s">
        <v>478</v>
      </c>
      <c r="H16" s="85" t="s">
        <v>478</v>
      </c>
      <c r="I16" s="85" t="s">
        <v>478</v>
      </c>
      <c r="J16" s="85" t="s">
        <v>478</v>
      </c>
      <c r="K16" s="85" t="s">
        <v>477</v>
      </c>
      <c r="L16" s="85" t="s">
        <v>478</v>
      </c>
      <c r="M16" s="85" t="s">
        <v>478</v>
      </c>
      <c r="N16" s="85">
        <v>0</v>
      </c>
      <c r="O16" s="85" t="s">
        <v>478</v>
      </c>
      <c r="P16" s="85">
        <v>0</v>
      </c>
      <c r="Q16" s="85" t="s">
        <v>478</v>
      </c>
      <c r="R16" s="85">
        <v>0</v>
      </c>
      <c r="S16" s="85">
        <v>0</v>
      </c>
      <c r="T16" s="85" t="s">
        <v>478</v>
      </c>
      <c r="U16" s="85">
        <v>0</v>
      </c>
      <c r="V16" s="85">
        <v>0</v>
      </c>
      <c r="W16" s="85">
        <v>0</v>
      </c>
      <c r="X16" s="85">
        <v>0</v>
      </c>
      <c r="Y16" s="85">
        <v>0</v>
      </c>
      <c r="Z16" s="85" t="s">
        <v>478</v>
      </c>
      <c r="AA16" s="85">
        <v>0</v>
      </c>
      <c r="AB16" s="85">
        <v>0</v>
      </c>
      <c r="AC16" s="85">
        <v>0</v>
      </c>
      <c r="AD16" s="85">
        <v>0</v>
      </c>
      <c r="AE16" s="85">
        <v>0</v>
      </c>
      <c r="AF16" s="85">
        <v>0</v>
      </c>
      <c r="AG16" s="85">
        <v>0</v>
      </c>
      <c r="AH16" s="85">
        <v>0</v>
      </c>
      <c r="AI16" s="85">
        <v>0</v>
      </c>
      <c r="AJ16" s="85">
        <v>0</v>
      </c>
      <c r="AK16" s="85">
        <v>0</v>
      </c>
      <c r="AL16" s="85">
        <v>0</v>
      </c>
      <c r="AM16" s="85">
        <v>0</v>
      </c>
      <c r="AN16" s="85">
        <v>0</v>
      </c>
      <c r="AO16" s="85">
        <v>0</v>
      </c>
      <c r="AP16" s="85">
        <v>0</v>
      </c>
      <c r="AQ16" s="85">
        <v>0</v>
      </c>
    </row>
    <row r="17" spans="1:43" ht="14.25" customHeight="1" x14ac:dyDescent="0.25">
      <c r="A17" s="89" t="s">
        <v>180</v>
      </c>
      <c r="B17" s="85" t="s">
        <v>478</v>
      </c>
      <c r="C17" s="85" t="s">
        <v>478</v>
      </c>
      <c r="D17" s="85" t="s">
        <v>478</v>
      </c>
      <c r="E17" s="85" t="s">
        <v>478</v>
      </c>
      <c r="F17" s="85" t="s">
        <v>478</v>
      </c>
      <c r="G17" s="85" t="s">
        <v>478</v>
      </c>
      <c r="H17" s="85" t="s">
        <v>478</v>
      </c>
      <c r="I17" s="85" t="s">
        <v>477</v>
      </c>
      <c r="J17" s="85" t="s">
        <v>477</v>
      </c>
      <c r="K17" s="85" t="s">
        <v>478</v>
      </c>
      <c r="L17" s="85" t="s">
        <v>477</v>
      </c>
      <c r="M17" s="85" t="s">
        <v>478</v>
      </c>
      <c r="N17" s="85">
        <v>0</v>
      </c>
      <c r="O17" s="85" t="s">
        <v>478</v>
      </c>
      <c r="P17" s="85">
        <v>0</v>
      </c>
      <c r="Q17" s="85" t="s">
        <v>478</v>
      </c>
      <c r="R17" s="85">
        <v>0</v>
      </c>
      <c r="S17" s="85">
        <v>0</v>
      </c>
      <c r="T17" s="85" t="s">
        <v>478</v>
      </c>
      <c r="U17" s="85">
        <v>0</v>
      </c>
      <c r="V17" s="85">
        <v>0</v>
      </c>
      <c r="W17" s="85">
        <v>0</v>
      </c>
      <c r="X17" s="85">
        <v>0</v>
      </c>
      <c r="Y17" s="85">
        <v>0</v>
      </c>
      <c r="Z17" s="85" t="s">
        <v>478</v>
      </c>
      <c r="AA17" s="85">
        <v>0</v>
      </c>
      <c r="AB17" s="85">
        <v>0</v>
      </c>
      <c r="AC17" s="85">
        <v>0</v>
      </c>
      <c r="AD17" s="85">
        <v>0</v>
      </c>
      <c r="AE17" s="85">
        <v>0</v>
      </c>
      <c r="AF17" s="85">
        <v>0</v>
      </c>
      <c r="AG17" s="85">
        <v>0</v>
      </c>
      <c r="AH17" s="85">
        <v>0</v>
      </c>
      <c r="AI17" s="85">
        <v>0</v>
      </c>
      <c r="AJ17" s="85">
        <v>0</v>
      </c>
      <c r="AK17" s="85">
        <v>0</v>
      </c>
      <c r="AL17" s="85">
        <v>0</v>
      </c>
      <c r="AM17" s="85">
        <v>0</v>
      </c>
      <c r="AN17" s="85">
        <v>0</v>
      </c>
      <c r="AO17" s="85">
        <v>0</v>
      </c>
      <c r="AP17" s="85">
        <v>0</v>
      </c>
      <c r="AQ17" s="85">
        <v>0</v>
      </c>
    </row>
    <row r="18" spans="1:43" ht="14.25" customHeight="1" x14ac:dyDescent="0.25">
      <c r="A18" s="89" t="s">
        <v>177</v>
      </c>
      <c r="B18" s="85" t="s">
        <v>478</v>
      </c>
      <c r="C18" s="85" t="s">
        <v>478</v>
      </c>
      <c r="D18" s="85" t="s">
        <v>478</v>
      </c>
      <c r="E18" s="85" t="s">
        <v>478</v>
      </c>
      <c r="F18" s="85" t="s">
        <v>478</v>
      </c>
      <c r="G18" s="85" t="s">
        <v>478</v>
      </c>
      <c r="H18" s="85" t="s">
        <v>477</v>
      </c>
      <c r="I18" s="85" t="s">
        <v>478</v>
      </c>
      <c r="J18" s="85" t="s">
        <v>478</v>
      </c>
      <c r="K18" s="85" t="s">
        <v>478</v>
      </c>
      <c r="L18" s="85" t="s">
        <v>478</v>
      </c>
      <c r="M18" s="85" t="s">
        <v>477</v>
      </c>
      <c r="N18" s="85">
        <v>0</v>
      </c>
      <c r="O18" s="85" t="s">
        <v>477</v>
      </c>
      <c r="P18" s="85">
        <v>0</v>
      </c>
      <c r="Q18" s="85" t="s">
        <v>477</v>
      </c>
      <c r="R18" s="85">
        <v>0</v>
      </c>
      <c r="S18" s="85">
        <v>0</v>
      </c>
      <c r="T18" s="85" t="s">
        <v>478</v>
      </c>
      <c r="U18" s="85">
        <v>0</v>
      </c>
      <c r="V18" s="85">
        <v>0</v>
      </c>
      <c r="W18" s="85">
        <v>0</v>
      </c>
      <c r="X18" s="85">
        <v>0</v>
      </c>
      <c r="Y18" s="85">
        <v>0</v>
      </c>
      <c r="Z18" s="85" t="s">
        <v>478</v>
      </c>
      <c r="AA18" s="85">
        <v>0</v>
      </c>
      <c r="AB18" s="85">
        <v>0</v>
      </c>
      <c r="AC18" s="85">
        <v>0</v>
      </c>
      <c r="AD18" s="85">
        <v>0</v>
      </c>
      <c r="AE18" s="85">
        <v>0</v>
      </c>
      <c r="AF18" s="85">
        <v>0</v>
      </c>
      <c r="AG18" s="85">
        <v>0</v>
      </c>
      <c r="AH18" s="85">
        <v>0</v>
      </c>
      <c r="AI18" s="85">
        <v>0</v>
      </c>
      <c r="AJ18" s="85">
        <v>0</v>
      </c>
      <c r="AK18" s="85">
        <v>0</v>
      </c>
      <c r="AL18" s="85">
        <v>0</v>
      </c>
      <c r="AM18" s="85">
        <v>0</v>
      </c>
      <c r="AN18" s="85">
        <v>0</v>
      </c>
      <c r="AO18" s="85">
        <v>0</v>
      </c>
      <c r="AP18" s="85">
        <v>0</v>
      </c>
      <c r="AQ18" s="85">
        <v>0</v>
      </c>
    </row>
    <row r="19" spans="1:43" ht="14.25" customHeight="1" x14ac:dyDescent="0.25">
      <c r="A19" s="89" t="s">
        <v>179</v>
      </c>
      <c r="B19" s="85">
        <v>0</v>
      </c>
      <c r="C19" s="85">
        <v>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5">
        <v>0</v>
      </c>
      <c r="Y19" s="85">
        <v>0</v>
      </c>
      <c r="Z19" s="85">
        <v>0</v>
      </c>
      <c r="AA19" s="85" t="s">
        <v>478</v>
      </c>
      <c r="AB19" s="85">
        <v>0</v>
      </c>
      <c r="AC19" s="85">
        <v>0</v>
      </c>
      <c r="AD19" s="85">
        <v>0</v>
      </c>
      <c r="AE19" s="85">
        <v>0</v>
      </c>
      <c r="AF19" s="85">
        <v>0</v>
      </c>
      <c r="AG19" s="85">
        <v>0</v>
      </c>
      <c r="AH19" s="85">
        <v>0</v>
      </c>
      <c r="AI19" s="85">
        <v>0</v>
      </c>
      <c r="AJ19" s="85">
        <v>0</v>
      </c>
      <c r="AK19" s="85">
        <v>0</v>
      </c>
      <c r="AL19" s="85">
        <v>0</v>
      </c>
      <c r="AM19" s="85">
        <v>0</v>
      </c>
      <c r="AN19" s="85">
        <v>0</v>
      </c>
      <c r="AO19" s="85">
        <v>0</v>
      </c>
      <c r="AP19" s="85">
        <v>0</v>
      </c>
      <c r="AQ19" s="85">
        <v>0</v>
      </c>
    </row>
    <row r="20" spans="1:43" ht="14.25" customHeight="1" x14ac:dyDescent="0.25">
      <c r="A20" s="89" t="s">
        <v>181</v>
      </c>
      <c r="B20" s="85" t="s">
        <v>478</v>
      </c>
      <c r="C20" s="85" t="s">
        <v>478</v>
      </c>
      <c r="D20" s="85" t="s">
        <v>478</v>
      </c>
      <c r="E20" s="85" t="s">
        <v>478</v>
      </c>
      <c r="F20" s="85" t="s">
        <v>478</v>
      </c>
      <c r="G20" s="85" t="s">
        <v>478</v>
      </c>
      <c r="H20" s="85" t="s">
        <v>478</v>
      </c>
      <c r="I20" s="85" t="s">
        <v>478</v>
      </c>
      <c r="J20" s="85" t="s">
        <v>478</v>
      </c>
      <c r="K20" s="85" t="s">
        <v>478</v>
      </c>
      <c r="L20" s="85" t="s">
        <v>478</v>
      </c>
      <c r="M20" s="85" t="s">
        <v>477</v>
      </c>
      <c r="N20" s="85">
        <v>0</v>
      </c>
      <c r="O20" s="85" t="s">
        <v>477</v>
      </c>
      <c r="P20" s="85">
        <v>0</v>
      </c>
      <c r="Q20" s="85" t="s">
        <v>478</v>
      </c>
      <c r="R20" s="85">
        <v>0</v>
      </c>
      <c r="S20" s="85">
        <v>0</v>
      </c>
      <c r="T20" s="85" t="s">
        <v>478</v>
      </c>
      <c r="U20" s="85">
        <v>0</v>
      </c>
      <c r="V20" s="85">
        <v>0</v>
      </c>
      <c r="W20" s="85">
        <v>0</v>
      </c>
      <c r="X20" s="85">
        <v>0</v>
      </c>
      <c r="Y20" s="85">
        <v>0</v>
      </c>
      <c r="Z20" s="85" t="s">
        <v>478</v>
      </c>
      <c r="AA20" s="85">
        <v>0</v>
      </c>
      <c r="AB20" s="85">
        <v>0</v>
      </c>
      <c r="AC20" s="85">
        <v>0</v>
      </c>
      <c r="AD20" s="85">
        <v>0</v>
      </c>
      <c r="AE20" s="85">
        <v>0</v>
      </c>
      <c r="AF20" s="85">
        <v>0</v>
      </c>
      <c r="AG20" s="85">
        <v>0</v>
      </c>
      <c r="AH20" s="85">
        <v>0</v>
      </c>
      <c r="AI20" s="85">
        <v>0</v>
      </c>
      <c r="AJ20" s="85">
        <v>0</v>
      </c>
      <c r="AK20" s="85">
        <v>0</v>
      </c>
      <c r="AL20" s="85">
        <v>0</v>
      </c>
      <c r="AM20" s="85">
        <v>0</v>
      </c>
      <c r="AN20" s="85">
        <v>0</v>
      </c>
      <c r="AO20" s="85">
        <v>0</v>
      </c>
      <c r="AP20" s="85">
        <v>0</v>
      </c>
      <c r="AQ20" s="85">
        <v>0</v>
      </c>
    </row>
    <row r="21" spans="1:43" ht="14.25" customHeight="1" x14ac:dyDescent="0.25">
      <c r="A21" s="89" t="s">
        <v>182</v>
      </c>
      <c r="B21" s="85">
        <v>0</v>
      </c>
      <c r="C21" s="85"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5">
        <v>0</v>
      </c>
      <c r="Y21" s="85">
        <v>0</v>
      </c>
      <c r="Z21" s="85">
        <v>0</v>
      </c>
      <c r="AA21" s="85">
        <v>0</v>
      </c>
      <c r="AB21" s="85">
        <v>0</v>
      </c>
      <c r="AC21" s="85">
        <v>0</v>
      </c>
      <c r="AD21" s="85">
        <v>0</v>
      </c>
      <c r="AE21" s="85">
        <v>0</v>
      </c>
      <c r="AF21" s="85">
        <v>0</v>
      </c>
      <c r="AG21" s="85">
        <v>0</v>
      </c>
      <c r="AH21" s="85">
        <v>0</v>
      </c>
      <c r="AI21" s="85">
        <v>0</v>
      </c>
      <c r="AJ21" s="85">
        <v>0</v>
      </c>
      <c r="AK21" s="85">
        <v>0</v>
      </c>
      <c r="AL21" s="85">
        <v>0</v>
      </c>
      <c r="AM21" s="85">
        <v>0</v>
      </c>
      <c r="AN21" s="85">
        <v>0</v>
      </c>
      <c r="AO21" s="85">
        <v>0</v>
      </c>
      <c r="AP21" s="85">
        <v>0</v>
      </c>
      <c r="AQ21" s="85">
        <v>0</v>
      </c>
    </row>
    <row r="22" spans="1:43" ht="14.25" customHeight="1" x14ac:dyDescent="0.25">
      <c r="A22" s="89" t="s">
        <v>183</v>
      </c>
      <c r="B22" s="85" t="s">
        <v>478</v>
      </c>
      <c r="C22" s="85" t="s">
        <v>478</v>
      </c>
      <c r="D22" s="85" t="s">
        <v>478</v>
      </c>
      <c r="E22" s="85" t="s">
        <v>478</v>
      </c>
      <c r="F22" s="85" t="s">
        <v>478</v>
      </c>
      <c r="G22" s="85" t="s">
        <v>478</v>
      </c>
      <c r="H22" s="85" t="s">
        <v>478</v>
      </c>
      <c r="I22" s="85" t="s">
        <v>478</v>
      </c>
      <c r="J22" s="85" t="s">
        <v>478</v>
      </c>
      <c r="K22" s="85" t="s">
        <v>478</v>
      </c>
      <c r="L22" s="85" t="s">
        <v>478</v>
      </c>
      <c r="M22" s="85" t="s">
        <v>477</v>
      </c>
      <c r="N22" s="85">
        <v>0</v>
      </c>
      <c r="O22" s="85" t="s">
        <v>478</v>
      </c>
      <c r="P22" s="85">
        <v>0</v>
      </c>
      <c r="Q22" s="85" t="s">
        <v>477</v>
      </c>
      <c r="R22" s="85">
        <v>0</v>
      </c>
      <c r="S22" s="85">
        <v>0</v>
      </c>
      <c r="T22" s="85" t="s">
        <v>478</v>
      </c>
      <c r="U22" s="85">
        <v>0</v>
      </c>
      <c r="V22" s="85">
        <v>0</v>
      </c>
      <c r="W22" s="85">
        <v>0</v>
      </c>
      <c r="X22" s="85">
        <v>0</v>
      </c>
      <c r="Y22" s="85">
        <v>0</v>
      </c>
      <c r="Z22" s="85" t="s">
        <v>478</v>
      </c>
      <c r="AA22" s="85" t="s">
        <v>478</v>
      </c>
      <c r="AB22" s="85">
        <v>0</v>
      </c>
      <c r="AC22" s="85">
        <v>0</v>
      </c>
      <c r="AD22" s="85">
        <v>0</v>
      </c>
      <c r="AE22" s="85">
        <v>0</v>
      </c>
      <c r="AF22" s="85">
        <v>0</v>
      </c>
      <c r="AG22" s="85">
        <v>0</v>
      </c>
      <c r="AH22" s="85">
        <v>0</v>
      </c>
      <c r="AI22" s="85">
        <v>0</v>
      </c>
      <c r="AJ22" s="85">
        <v>0</v>
      </c>
      <c r="AK22" s="85">
        <v>0</v>
      </c>
      <c r="AL22" s="85">
        <v>0</v>
      </c>
      <c r="AM22" s="85">
        <v>0</v>
      </c>
      <c r="AN22" s="85">
        <v>0</v>
      </c>
      <c r="AO22" s="85">
        <v>0</v>
      </c>
      <c r="AP22" s="85">
        <v>0</v>
      </c>
      <c r="AQ22" s="85">
        <v>0</v>
      </c>
    </row>
    <row r="23" spans="1:43" ht="14.25" customHeight="1" x14ac:dyDescent="0.25">
      <c r="A23" s="89" t="s">
        <v>185</v>
      </c>
      <c r="B23" s="85">
        <v>0</v>
      </c>
      <c r="C23" s="85">
        <v>0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5">
        <v>0</v>
      </c>
      <c r="Y23" s="85">
        <v>0</v>
      </c>
      <c r="Z23" s="85">
        <v>0</v>
      </c>
      <c r="AA23" s="85">
        <v>0</v>
      </c>
      <c r="AB23" s="85">
        <v>0</v>
      </c>
      <c r="AC23" s="85">
        <v>0</v>
      </c>
      <c r="AD23" s="85">
        <v>0</v>
      </c>
      <c r="AE23" s="85">
        <v>0</v>
      </c>
      <c r="AF23" s="85">
        <v>0</v>
      </c>
      <c r="AG23" s="85">
        <v>0</v>
      </c>
      <c r="AH23" s="85">
        <v>0</v>
      </c>
      <c r="AI23" s="85">
        <v>0</v>
      </c>
      <c r="AJ23" s="85">
        <v>0</v>
      </c>
      <c r="AK23" s="85">
        <v>0</v>
      </c>
      <c r="AL23" s="85">
        <v>0</v>
      </c>
      <c r="AM23" s="85">
        <v>0</v>
      </c>
      <c r="AN23" s="85">
        <v>0</v>
      </c>
      <c r="AO23" s="85">
        <v>0</v>
      </c>
      <c r="AP23" s="85">
        <v>0</v>
      </c>
      <c r="AQ23" s="85">
        <v>0</v>
      </c>
    </row>
    <row r="24" spans="1:43" ht="14.25" customHeight="1" x14ac:dyDescent="0.25">
      <c r="A24" s="89" t="s">
        <v>187</v>
      </c>
      <c r="B24" s="85">
        <v>0</v>
      </c>
      <c r="C24" s="85">
        <v>0</v>
      </c>
      <c r="D24" s="85" t="s">
        <v>478</v>
      </c>
      <c r="E24" s="85" t="s">
        <v>478</v>
      </c>
      <c r="F24" s="85" t="s">
        <v>478</v>
      </c>
      <c r="G24" s="85">
        <v>0</v>
      </c>
      <c r="H24" s="85">
        <v>0</v>
      </c>
      <c r="I24" s="85">
        <v>0</v>
      </c>
      <c r="J24" s="85" t="s">
        <v>478</v>
      </c>
      <c r="K24" s="85" t="s">
        <v>478</v>
      </c>
      <c r="L24" s="85">
        <v>0</v>
      </c>
      <c r="M24" s="85" t="s">
        <v>478</v>
      </c>
      <c r="N24" s="85" t="s">
        <v>478</v>
      </c>
      <c r="O24" s="85" t="s">
        <v>478</v>
      </c>
      <c r="P24" s="85" t="s">
        <v>478</v>
      </c>
      <c r="Q24" s="85" t="s">
        <v>478</v>
      </c>
      <c r="R24" s="85" t="s">
        <v>478</v>
      </c>
      <c r="S24" s="85">
        <v>0</v>
      </c>
      <c r="T24" s="85" t="s">
        <v>478</v>
      </c>
      <c r="U24" s="85" t="s">
        <v>478</v>
      </c>
      <c r="V24" s="85">
        <v>0</v>
      </c>
      <c r="W24" s="85" t="s">
        <v>478</v>
      </c>
      <c r="X24" s="85" t="s">
        <v>478</v>
      </c>
      <c r="Y24" s="85">
        <v>0</v>
      </c>
      <c r="Z24" s="85" t="s">
        <v>478</v>
      </c>
      <c r="AA24" s="85" t="s">
        <v>478</v>
      </c>
      <c r="AB24" s="85" t="s">
        <v>478</v>
      </c>
      <c r="AC24" s="85" t="s">
        <v>478</v>
      </c>
      <c r="AD24" s="85">
        <v>0</v>
      </c>
      <c r="AE24" s="85" t="s">
        <v>478</v>
      </c>
      <c r="AF24" s="85" t="s">
        <v>478</v>
      </c>
      <c r="AG24" s="85">
        <v>0</v>
      </c>
      <c r="AH24" s="85" t="s">
        <v>478</v>
      </c>
      <c r="AI24" s="85" t="s">
        <v>478</v>
      </c>
      <c r="AJ24" s="85">
        <v>0</v>
      </c>
      <c r="AK24" s="85">
        <v>0</v>
      </c>
      <c r="AL24" s="85">
        <v>0</v>
      </c>
      <c r="AM24" s="85">
        <v>0</v>
      </c>
      <c r="AN24" s="85">
        <v>0</v>
      </c>
      <c r="AO24" s="85">
        <v>0</v>
      </c>
      <c r="AP24" s="85">
        <v>0</v>
      </c>
      <c r="AQ24" s="85">
        <v>0</v>
      </c>
    </row>
    <row r="25" spans="1:43" ht="14.25" customHeight="1" x14ac:dyDescent="0.25">
      <c r="A25" s="89" t="s">
        <v>184</v>
      </c>
      <c r="B25" s="85" t="s">
        <v>478</v>
      </c>
      <c r="C25" s="85" t="s">
        <v>478</v>
      </c>
      <c r="D25" s="85" t="s">
        <v>477</v>
      </c>
      <c r="E25" s="85" t="s">
        <v>477</v>
      </c>
      <c r="F25" s="85" t="s">
        <v>477</v>
      </c>
      <c r="G25" s="85" t="s">
        <v>478</v>
      </c>
      <c r="H25" s="85" t="s">
        <v>478</v>
      </c>
      <c r="I25" s="85" t="s">
        <v>478</v>
      </c>
      <c r="J25" s="85" t="s">
        <v>478</v>
      </c>
      <c r="K25" s="85" t="s">
        <v>478</v>
      </c>
      <c r="L25" s="85" t="s">
        <v>478</v>
      </c>
      <c r="M25" s="85" t="s">
        <v>478</v>
      </c>
      <c r="N25" s="85">
        <v>0</v>
      </c>
      <c r="O25" s="85" t="s">
        <v>478</v>
      </c>
      <c r="P25" s="85">
        <v>0</v>
      </c>
      <c r="Q25" s="85" t="s">
        <v>478</v>
      </c>
      <c r="R25" s="85">
        <v>0</v>
      </c>
      <c r="S25" s="85">
        <v>0</v>
      </c>
      <c r="T25" s="85" t="s">
        <v>477</v>
      </c>
      <c r="U25" s="85">
        <v>0</v>
      </c>
      <c r="V25" s="85">
        <v>0</v>
      </c>
      <c r="W25" s="85">
        <v>0</v>
      </c>
      <c r="X25" s="85">
        <v>0</v>
      </c>
      <c r="Y25" s="85">
        <v>0</v>
      </c>
      <c r="Z25" s="85" t="s">
        <v>478</v>
      </c>
      <c r="AA25" s="85">
        <v>0</v>
      </c>
      <c r="AB25" s="85">
        <v>0</v>
      </c>
      <c r="AC25" s="85">
        <v>0</v>
      </c>
      <c r="AD25" s="85">
        <v>0</v>
      </c>
      <c r="AE25" s="85">
        <v>0</v>
      </c>
      <c r="AF25" s="85">
        <v>0</v>
      </c>
      <c r="AG25" s="85">
        <v>0</v>
      </c>
      <c r="AH25" s="85">
        <v>0</v>
      </c>
      <c r="AI25" s="85">
        <v>0</v>
      </c>
      <c r="AJ25" s="85">
        <v>0</v>
      </c>
      <c r="AK25" s="85">
        <v>0</v>
      </c>
      <c r="AL25" s="85">
        <v>0</v>
      </c>
      <c r="AM25" s="85">
        <v>0</v>
      </c>
      <c r="AN25" s="85">
        <v>0</v>
      </c>
      <c r="AO25" s="85">
        <v>0</v>
      </c>
      <c r="AP25" s="85">
        <v>0</v>
      </c>
      <c r="AQ25" s="85">
        <v>0</v>
      </c>
    </row>
    <row r="26" spans="1:43" ht="14.25" customHeight="1" x14ac:dyDescent="0.25">
      <c r="A26" s="89" t="s">
        <v>299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5">
        <v>0</v>
      </c>
      <c r="Y26" s="85">
        <v>0</v>
      </c>
      <c r="Z26" s="85">
        <v>0</v>
      </c>
      <c r="AA26" s="85">
        <v>0</v>
      </c>
      <c r="AB26" s="85">
        <v>0</v>
      </c>
      <c r="AC26" s="85">
        <v>0</v>
      </c>
      <c r="AD26" s="85">
        <v>0</v>
      </c>
      <c r="AE26" s="85">
        <v>0</v>
      </c>
      <c r="AF26" s="85">
        <v>0</v>
      </c>
      <c r="AG26" s="85">
        <v>0</v>
      </c>
      <c r="AH26" s="85">
        <v>0</v>
      </c>
      <c r="AI26" s="85">
        <v>0</v>
      </c>
      <c r="AJ26" s="85">
        <v>0</v>
      </c>
      <c r="AK26" s="85">
        <v>0</v>
      </c>
      <c r="AL26" s="85">
        <v>0</v>
      </c>
      <c r="AM26" s="85">
        <v>0</v>
      </c>
      <c r="AN26" s="85">
        <v>0</v>
      </c>
      <c r="AO26" s="85">
        <v>0</v>
      </c>
      <c r="AP26" s="85">
        <v>0</v>
      </c>
      <c r="AQ26" s="85">
        <v>0</v>
      </c>
    </row>
    <row r="27" spans="1:43" ht="14.25" customHeight="1" x14ac:dyDescent="0.25">
      <c r="A27" s="89" t="s">
        <v>186</v>
      </c>
      <c r="B27" s="85">
        <v>0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5">
        <v>0</v>
      </c>
      <c r="Y27" s="85">
        <v>0</v>
      </c>
      <c r="Z27" s="85">
        <v>0</v>
      </c>
      <c r="AA27" s="85">
        <v>0</v>
      </c>
      <c r="AB27" s="85">
        <v>0</v>
      </c>
      <c r="AC27" s="85">
        <v>0</v>
      </c>
      <c r="AD27" s="85">
        <v>0</v>
      </c>
      <c r="AE27" s="85">
        <v>0</v>
      </c>
      <c r="AF27" s="85">
        <v>0</v>
      </c>
      <c r="AG27" s="85">
        <v>0</v>
      </c>
      <c r="AH27" s="85">
        <v>0</v>
      </c>
      <c r="AI27" s="85">
        <v>0</v>
      </c>
      <c r="AJ27" s="85">
        <v>0</v>
      </c>
      <c r="AK27" s="85">
        <v>0</v>
      </c>
      <c r="AL27" s="85">
        <v>0</v>
      </c>
      <c r="AM27" s="85">
        <v>0</v>
      </c>
      <c r="AN27" s="85">
        <v>0</v>
      </c>
      <c r="AO27" s="85">
        <v>0</v>
      </c>
      <c r="AP27" s="85">
        <v>0</v>
      </c>
      <c r="AQ27" s="85">
        <v>0</v>
      </c>
    </row>
    <row r="28" spans="1:43" ht="14.25" customHeight="1" x14ac:dyDescent="0.25">
      <c r="A28" s="89" t="s">
        <v>288</v>
      </c>
      <c r="B28" s="85">
        <v>0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5">
        <v>0</v>
      </c>
      <c r="Y28" s="85">
        <v>0</v>
      </c>
      <c r="Z28" s="85">
        <v>0</v>
      </c>
      <c r="AA28" s="85">
        <v>0</v>
      </c>
      <c r="AB28" s="85">
        <v>0</v>
      </c>
      <c r="AC28" s="85">
        <v>0</v>
      </c>
      <c r="AD28" s="85">
        <v>0</v>
      </c>
      <c r="AE28" s="85">
        <v>0</v>
      </c>
      <c r="AF28" s="85">
        <v>0</v>
      </c>
      <c r="AG28" s="85">
        <v>0</v>
      </c>
      <c r="AH28" s="85">
        <v>0</v>
      </c>
      <c r="AI28" s="85">
        <v>0</v>
      </c>
      <c r="AJ28" s="85">
        <v>0</v>
      </c>
      <c r="AK28" s="85">
        <v>0</v>
      </c>
      <c r="AL28" s="85">
        <v>0</v>
      </c>
      <c r="AM28" s="85">
        <v>0</v>
      </c>
      <c r="AN28" s="85">
        <v>0</v>
      </c>
      <c r="AO28" s="85">
        <v>0</v>
      </c>
      <c r="AP28" s="85">
        <v>0</v>
      </c>
      <c r="AQ28" s="85">
        <v>0</v>
      </c>
    </row>
    <row r="29" spans="1:43" ht="14.25" customHeight="1" x14ac:dyDescent="0.25">
      <c r="A29" s="89" t="s">
        <v>188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85">
        <v>0</v>
      </c>
      <c r="AC29" s="85">
        <v>0</v>
      </c>
      <c r="AD29" s="85">
        <v>0</v>
      </c>
      <c r="AE29" s="85">
        <v>0</v>
      </c>
      <c r="AF29" s="85">
        <v>0</v>
      </c>
      <c r="AG29" s="85">
        <v>0</v>
      </c>
      <c r="AH29" s="85">
        <v>0</v>
      </c>
      <c r="AI29" s="85">
        <v>0</v>
      </c>
      <c r="AJ29" s="85">
        <v>0</v>
      </c>
      <c r="AK29" s="85">
        <v>0</v>
      </c>
      <c r="AL29" s="85">
        <v>0</v>
      </c>
      <c r="AM29" s="85">
        <v>0</v>
      </c>
      <c r="AN29" s="85">
        <v>0</v>
      </c>
      <c r="AO29" s="85">
        <v>0</v>
      </c>
      <c r="AP29" s="85">
        <v>0</v>
      </c>
      <c r="AQ29" s="85">
        <v>0</v>
      </c>
    </row>
    <row r="30" spans="1:43" ht="14.25" customHeight="1" x14ac:dyDescent="0.25">
      <c r="A30" s="89" t="s">
        <v>192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5">
        <v>0</v>
      </c>
      <c r="Y30" s="85">
        <v>0</v>
      </c>
      <c r="Z30" s="85">
        <v>0</v>
      </c>
      <c r="AA30" s="85">
        <v>0</v>
      </c>
      <c r="AB30" s="85">
        <v>0</v>
      </c>
      <c r="AC30" s="85">
        <v>0</v>
      </c>
      <c r="AD30" s="85">
        <v>0</v>
      </c>
      <c r="AE30" s="85">
        <v>0</v>
      </c>
      <c r="AF30" s="85">
        <v>0</v>
      </c>
      <c r="AG30" s="85">
        <v>0</v>
      </c>
      <c r="AH30" s="85">
        <v>0</v>
      </c>
      <c r="AI30" s="85">
        <v>0</v>
      </c>
      <c r="AJ30" s="85">
        <v>0</v>
      </c>
      <c r="AK30" s="85">
        <v>0</v>
      </c>
      <c r="AL30" s="85">
        <v>0</v>
      </c>
      <c r="AM30" s="85">
        <v>0</v>
      </c>
      <c r="AN30" s="85">
        <v>0</v>
      </c>
      <c r="AO30" s="85">
        <v>0</v>
      </c>
      <c r="AP30" s="85">
        <v>0</v>
      </c>
      <c r="AQ30" s="85">
        <v>0</v>
      </c>
    </row>
    <row r="31" spans="1:43" ht="14.25" customHeight="1" x14ac:dyDescent="0.25">
      <c r="A31" s="89" t="s">
        <v>300</v>
      </c>
      <c r="B31" s="85" t="s">
        <v>478</v>
      </c>
      <c r="C31" s="85" t="s">
        <v>478</v>
      </c>
      <c r="D31" s="85" t="s">
        <v>478</v>
      </c>
      <c r="E31" s="85" t="s">
        <v>478</v>
      </c>
      <c r="F31" s="85" t="s">
        <v>478</v>
      </c>
      <c r="G31" s="85" t="s">
        <v>478</v>
      </c>
      <c r="H31" s="85" t="s">
        <v>478</v>
      </c>
      <c r="I31" s="85" t="s">
        <v>478</v>
      </c>
      <c r="J31" s="85" t="s">
        <v>478</v>
      </c>
      <c r="K31" s="85" t="s">
        <v>478</v>
      </c>
      <c r="L31" s="85" t="s">
        <v>478</v>
      </c>
      <c r="M31" s="85" t="s">
        <v>478</v>
      </c>
      <c r="N31" s="85">
        <v>0</v>
      </c>
      <c r="O31" s="85" t="s">
        <v>478</v>
      </c>
      <c r="P31" s="85">
        <v>0</v>
      </c>
      <c r="Q31" s="85" t="s">
        <v>478</v>
      </c>
      <c r="R31" s="85">
        <v>0</v>
      </c>
      <c r="S31" s="85">
        <v>0</v>
      </c>
      <c r="T31" s="85" t="s">
        <v>478</v>
      </c>
      <c r="U31" s="85">
        <v>0</v>
      </c>
      <c r="V31" s="85">
        <v>0</v>
      </c>
      <c r="W31" s="85">
        <v>0</v>
      </c>
      <c r="X31" s="85">
        <v>0</v>
      </c>
      <c r="Y31" s="85">
        <v>0</v>
      </c>
      <c r="Z31" s="85" t="s">
        <v>477</v>
      </c>
      <c r="AA31" s="85">
        <v>0</v>
      </c>
      <c r="AB31" s="85">
        <v>0</v>
      </c>
      <c r="AC31" s="85">
        <v>0</v>
      </c>
      <c r="AD31" s="85">
        <v>0</v>
      </c>
      <c r="AE31" s="85">
        <v>0</v>
      </c>
      <c r="AF31" s="85">
        <v>0</v>
      </c>
      <c r="AG31" s="85">
        <v>0</v>
      </c>
      <c r="AH31" s="85">
        <v>0</v>
      </c>
      <c r="AI31" s="85">
        <v>0</v>
      </c>
      <c r="AJ31" s="85">
        <v>0</v>
      </c>
      <c r="AK31" s="85">
        <v>0</v>
      </c>
      <c r="AL31" s="85">
        <v>0</v>
      </c>
      <c r="AM31" s="85">
        <v>0</v>
      </c>
      <c r="AN31" s="85">
        <v>0</v>
      </c>
      <c r="AO31" s="85">
        <v>0</v>
      </c>
      <c r="AP31" s="85">
        <v>0</v>
      </c>
      <c r="AQ31" s="85">
        <v>0</v>
      </c>
    </row>
    <row r="32" spans="1:43" ht="14.25" customHeight="1" x14ac:dyDescent="0.25">
      <c r="A32" s="89" t="s">
        <v>189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 t="s">
        <v>478</v>
      </c>
      <c r="K32" s="85" t="s">
        <v>478</v>
      </c>
      <c r="L32" s="85">
        <v>0</v>
      </c>
      <c r="M32" s="85" t="s">
        <v>478</v>
      </c>
      <c r="N32" s="85" t="s">
        <v>478</v>
      </c>
      <c r="O32" s="85" t="s">
        <v>478</v>
      </c>
      <c r="P32" s="85">
        <v>0</v>
      </c>
      <c r="Q32" s="85" t="s">
        <v>478</v>
      </c>
      <c r="R32" s="85" t="s">
        <v>478</v>
      </c>
      <c r="S32" s="85">
        <v>0</v>
      </c>
      <c r="T32" s="85" t="s">
        <v>478</v>
      </c>
      <c r="U32" s="85">
        <v>0</v>
      </c>
      <c r="V32" s="85" t="s">
        <v>478</v>
      </c>
      <c r="W32" s="85">
        <v>0</v>
      </c>
      <c r="X32" s="85">
        <v>0</v>
      </c>
      <c r="Y32" s="85" t="s">
        <v>478</v>
      </c>
      <c r="Z32" s="85" t="s">
        <v>478</v>
      </c>
      <c r="AA32" s="85">
        <v>0</v>
      </c>
      <c r="AB32" s="85" t="s">
        <v>478</v>
      </c>
      <c r="AC32" s="85">
        <v>0</v>
      </c>
      <c r="AD32" s="85">
        <v>0</v>
      </c>
      <c r="AE32" s="85" t="s">
        <v>478</v>
      </c>
      <c r="AF32" s="85">
        <v>0</v>
      </c>
      <c r="AG32" s="85">
        <v>0</v>
      </c>
      <c r="AH32" s="85" t="s">
        <v>478</v>
      </c>
      <c r="AI32" s="85" t="s">
        <v>478</v>
      </c>
      <c r="AJ32" s="85">
        <v>0</v>
      </c>
      <c r="AK32" s="85">
        <v>0</v>
      </c>
      <c r="AL32" s="85" t="s">
        <v>478</v>
      </c>
      <c r="AM32" s="85">
        <v>0</v>
      </c>
      <c r="AN32" s="85">
        <v>0</v>
      </c>
      <c r="AO32" s="85">
        <v>0</v>
      </c>
      <c r="AP32" s="85">
        <v>0</v>
      </c>
      <c r="AQ32" s="85">
        <v>0</v>
      </c>
    </row>
    <row r="33" spans="1:43" ht="14.25" customHeight="1" x14ac:dyDescent="0.25">
      <c r="A33" s="89" t="s">
        <v>193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5">
        <v>0</v>
      </c>
      <c r="Y33" s="85">
        <v>0</v>
      </c>
      <c r="Z33" s="85">
        <v>0</v>
      </c>
      <c r="AA33" s="85">
        <v>0</v>
      </c>
      <c r="AB33" s="85">
        <v>0</v>
      </c>
      <c r="AC33" s="85">
        <v>0</v>
      </c>
      <c r="AD33" s="85">
        <v>0</v>
      </c>
      <c r="AE33" s="85">
        <v>0</v>
      </c>
      <c r="AF33" s="85">
        <v>0</v>
      </c>
      <c r="AG33" s="85">
        <v>0</v>
      </c>
      <c r="AH33" s="85">
        <v>0</v>
      </c>
      <c r="AI33" s="85">
        <v>0</v>
      </c>
      <c r="AJ33" s="85">
        <v>0</v>
      </c>
      <c r="AK33" s="85">
        <v>0</v>
      </c>
      <c r="AL33" s="85">
        <v>0</v>
      </c>
      <c r="AM33" s="85">
        <v>0</v>
      </c>
      <c r="AN33" s="85">
        <v>0</v>
      </c>
      <c r="AO33" s="85">
        <v>0</v>
      </c>
      <c r="AP33" s="85">
        <v>0</v>
      </c>
      <c r="AQ33" s="85">
        <v>0</v>
      </c>
    </row>
    <row r="34" spans="1:43" ht="14.25" customHeight="1" x14ac:dyDescent="0.25">
      <c r="A34" s="89" t="s">
        <v>26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U34" s="85">
        <v>0</v>
      </c>
      <c r="V34" s="85">
        <v>0</v>
      </c>
      <c r="W34" s="85">
        <v>0</v>
      </c>
      <c r="X34" s="85">
        <v>0</v>
      </c>
      <c r="Y34" s="85">
        <v>0</v>
      </c>
      <c r="Z34" s="85">
        <v>0</v>
      </c>
      <c r="AA34" s="85">
        <v>0</v>
      </c>
      <c r="AB34" s="85">
        <v>0</v>
      </c>
      <c r="AC34" s="85">
        <v>0</v>
      </c>
      <c r="AD34" s="85">
        <v>0</v>
      </c>
      <c r="AE34" s="85">
        <v>0</v>
      </c>
      <c r="AF34" s="85">
        <v>0</v>
      </c>
      <c r="AG34" s="85">
        <v>0</v>
      </c>
      <c r="AH34" s="85">
        <v>0</v>
      </c>
      <c r="AI34" s="85">
        <v>0</v>
      </c>
      <c r="AJ34" s="85">
        <v>0</v>
      </c>
      <c r="AK34" s="85">
        <v>0</v>
      </c>
      <c r="AL34" s="85">
        <v>0</v>
      </c>
      <c r="AM34" s="85">
        <v>0</v>
      </c>
      <c r="AN34" s="85">
        <v>0</v>
      </c>
      <c r="AO34" s="85">
        <v>0</v>
      </c>
      <c r="AP34" s="85">
        <v>0</v>
      </c>
      <c r="AQ34" s="85">
        <v>0</v>
      </c>
    </row>
    <row r="35" spans="1:43" ht="14.25" customHeight="1" x14ac:dyDescent="0.25">
      <c r="A35" s="89" t="s">
        <v>302</v>
      </c>
      <c r="B35" s="85">
        <v>0</v>
      </c>
      <c r="C35" s="85">
        <v>0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85"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5">
        <v>0</v>
      </c>
      <c r="Y35" s="85">
        <v>0</v>
      </c>
      <c r="Z35" s="85">
        <v>0</v>
      </c>
      <c r="AA35" s="85">
        <v>0</v>
      </c>
      <c r="AB35" s="85">
        <v>0</v>
      </c>
      <c r="AC35" s="85">
        <v>0</v>
      </c>
      <c r="AD35" s="85">
        <v>0</v>
      </c>
      <c r="AE35" s="85">
        <v>0</v>
      </c>
      <c r="AF35" s="85">
        <v>0</v>
      </c>
      <c r="AG35" s="85">
        <v>0</v>
      </c>
      <c r="AH35" s="85">
        <v>0</v>
      </c>
      <c r="AI35" s="85">
        <v>0</v>
      </c>
      <c r="AJ35" s="85">
        <v>0</v>
      </c>
      <c r="AK35" s="85">
        <v>0</v>
      </c>
      <c r="AL35" s="85">
        <v>0</v>
      </c>
      <c r="AM35" s="85">
        <v>0</v>
      </c>
      <c r="AN35" s="85">
        <v>0</v>
      </c>
      <c r="AO35" s="85">
        <v>0</v>
      </c>
      <c r="AP35" s="85">
        <v>0</v>
      </c>
      <c r="AQ35" s="85">
        <v>0</v>
      </c>
    </row>
    <row r="36" spans="1:43" ht="14.25" customHeight="1" x14ac:dyDescent="0.25">
      <c r="A36" s="89" t="s">
        <v>194</v>
      </c>
      <c r="B36" s="85">
        <v>0</v>
      </c>
      <c r="C36" s="85">
        <v>0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K36" s="85">
        <v>0</v>
      </c>
      <c r="L36" s="85">
        <v>0</v>
      </c>
      <c r="M36" s="85">
        <v>0</v>
      </c>
      <c r="N36" s="85">
        <v>0</v>
      </c>
      <c r="O36" s="85">
        <v>0</v>
      </c>
      <c r="P36" s="85">
        <v>0</v>
      </c>
      <c r="Q36" s="85">
        <v>0</v>
      </c>
      <c r="R36" s="85">
        <v>0</v>
      </c>
      <c r="S36" s="85">
        <v>0</v>
      </c>
      <c r="T36" s="85">
        <v>0</v>
      </c>
      <c r="U36" s="85">
        <v>0</v>
      </c>
      <c r="V36" s="85">
        <v>0</v>
      </c>
      <c r="W36" s="85">
        <v>0</v>
      </c>
      <c r="X36" s="85">
        <v>0</v>
      </c>
      <c r="Y36" s="85">
        <v>0</v>
      </c>
      <c r="Z36" s="85">
        <v>0</v>
      </c>
      <c r="AA36" s="85">
        <v>0</v>
      </c>
      <c r="AB36" s="85">
        <v>0</v>
      </c>
      <c r="AC36" s="85">
        <v>0</v>
      </c>
      <c r="AD36" s="85">
        <v>0</v>
      </c>
      <c r="AE36" s="85">
        <v>0</v>
      </c>
      <c r="AF36" s="85">
        <v>0</v>
      </c>
      <c r="AG36" s="85">
        <v>0</v>
      </c>
      <c r="AH36" s="85">
        <v>0</v>
      </c>
      <c r="AI36" s="85">
        <v>0</v>
      </c>
      <c r="AJ36" s="85">
        <v>0</v>
      </c>
      <c r="AK36" s="85">
        <v>0</v>
      </c>
      <c r="AL36" s="85">
        <v>0</v>
      </c>
      <c r="AM36" s="85">
        <v>0</v>
      </c>
      <c r="AN36" s="85">
        <v>0</v>
      </c>
      <c r="AO36" s="85">
        <v>0</v>
      </c>
      <c r="AP36" s="85">
        <v>0</v>
      </c>
      <c r="AQ36" s="85">
        <v>0</v>
      </c>
    </row>
    <row r="37" spans="1:43" ht="14.25" customHeight="1" x14ac:dyDescent="0.25">
      <c r="A37" s="89" t="s">
        <v>191</v>
      </c>
      <c r="B37" s="85">
        <v>0</v>
      </c>
      <c r="C37" s="85">
        <v>0</v>
      </c>
      <c r="D37" s="85">
        <v>0</v>
      </c>
      <c r="E37" s="85">
        <v>0</v>
      </c>
      <c r="F37" s="85">
        <v>0</v>
      </c>
      <c r="G37" s="85">
        <v>0</v>
      </c>
      <c r="H37" s="85">
        <v>0</v>
      </c>
      <c r="I37" s="85">
        <v>0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0</v>
      </c>
      <c r="AA37" s="85">
        <v>0</v>
      </c>
      <c r="AB37" s="85">
        <v>0</v>
      </c>
      <c r="AC37" s="85">
        <v>0</v>
      </c>
      <c r="AD37" s="85">
        <v>0</v>
      </c>
      <c r="AE37" s="85">
        <v>0</v>
      </c>
      <c r="AF37" s="85">
        <v>0</v>
      </c>
      <c r="AG37" s="85">
        <v>0</v>
      </c>
      <c r="AH37" s="85">
        <v>0</v>
      </c>
      <c r="AI37" s="85">
        <v>0</v>
      </c>
      <c r="AJ37" s="85">
        <v>0</v>
      </c>
      <c r="AK37" s="85">
        <v>0</v>
      </c>
      <c r="AL37" s="85">
        <v>0</v>
      </c>
      <c r="AM37" s="85">
        <v>0</v>
      </c>
      <c r="AN37" s="85">
        <v>0</v>
      </c>
      <c r="AO37" s="85">
        <v>0</v>
      </c>
      <c r="AP37" s="85">
        <v>0</v>
      </c>
      <c r="AQ37" s="85">
        <v>0</v>
      </c>
    </row>
    <row r="38" spans="1:43" ht="14.25" customHeight="1" x14ac:dyDescent="0.25">
      <c r="A38" s="89" t="s">
        <v>190</v>
      </c>
      <c r="B38" s="85">
        <v>0</v>
      </c>
      <c r="C38" s="85">
        <v>0</v>
      </c>
      <c r="D38" s="85">
        <v>0</v>
      </c>
      <c r="E38" s="85">
        <v>0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85">
        <v>0</v>
      </c>
      <c r="AC38" s="85">
        <v>0</v>
      </c>
      <c r="AD38" s="85">
        <v>0</v>
      </c>
      <c r="AE38" s="85">
        <v>0</v>
      </c>
      <c r="AF38" s="85">
        <v>0</v>
      </c>
      <c r="AG38" s="85">
        <v>0</v>
      </c>
      <c r="AH38" s="85">
        <v>0</v>
      </c>
      <c r="AI38" s="85">
        <v>0</v>
      </c>
      <c r="AJ38" s="85">
        <v>0</v>
      </c>
      <c r="AK38" s="85">
        <v>0</v>
      </c>
      <c r="AL38" s="85">
        <v>0</v>
      </c>
      <c r="AM38" s="85">
        <v>0</v>
      </c>
      <c r="AN38" s="85">
        <v>0</v>
      </c>
      <c r="AO38" s="85">
        <v>0</v>
      </c>
      <c r="AP38" s="85">
        <v>0</v>
      </c>
      <c r="AQ38" s="85">
        <v>0</v>
      </c>
    </row>
    <row r="39" spans="1:43" ht="14.25" customHeight="1" x14ac:dyDescent="0.25">
      <c r="A39" s="89" t="s">
        <v>195</v>
      </c>
      <c r="B39" s="85">
        <v>0</v>
      </c>
      <c r="C39" s="85">
        <v>0</v>
      </c>
      <c r="D39" s="85">
        <v>0</v>
      </c>
      <c r="E39" s="85">
        <v>0</v>
      </c>
      <c r="F39" s="85">
        <v>0</v>
      </c>
      <c r="G39" s="85">
        <v>0</v>
      </c>
      <c r="H39" s="85">
        <v>0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85">
        <v>0</v>
      </c>
      <c r="AC39" s="85">
        <v>0</v>
      </c>
      <c r="AD39" s="85">
        <v>0</v>
      </c>
      <c r="AE39" s="85">
        <v>0</v>
      </c>
      <c r="AF39" s="85">
        <v>0</v>
      </c>
      <c r="AG39" s="85">
        <v>0</v>
      </c>
      <c r="AH39" s="85">
        <v>0</v>
      </c>
      <c r="AI39" s="85">
        <v>0</v>
      </c>
      <c r="AJ39" s="85">
        <v>0</v>
      </c>
      <c r="AK39" s="85">
        <v>0</v>
      </c>
      <c r="AL39" s="85">
        <v>0</v>
      </c>
      <c r="AM39" s="85">
        <v>0</v>
      </c>
      <c r="AN39" s="85">
        <v>0</v>
      </c>
      <c r="AO39" s="85">
        <v>0</v>
      </c>
      <c r="AP39" s="85">
        <v>0</v>
      </c>
      <c r="AQ39" s="85">
        <v>0</v>
      </c>
    </row>
    <row r="40" spans="1:43" ht="14.25" customHeight="1" x14ac:dyDescent="0.25">
      <c r="A40" s="89" t="s">
        <v>168</v>
      </c>
      <c r="B40" s="85">
        <v>0</v>
      </c>
      <c r="C40" s="85">
        <v>0</v>
      </c>
      <c r="D40" s="85">
        <v>0</v>
      </c>
      <c r="E40" s="85">
        <v>0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K40" s="85">
        <v>0</v>
      </c>
      <c r="L40" s="85">
        <v>0</v>
      </c>
      <c r="M40" s="85">
        <v>0</v>
      </c>
      <c r="N40" s="85">
        <v>0</v>
      </c>
      <c r="O40" s="85">
        <v>0</v>
      </c>
      <c r="P40" s="85">
        <v>0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5">
        <v>0</v>
      </c>
      <c r="Y40" s="85">
        <v>0</v>
      </c>
      <c r="Z40" s="85">
        <v>0</v>
      </c>
      <c r="AA40" s="85">
        <v>0</v>
      </c>
      <c r="AB40" s="85">
        <v>0</v>
      </c>
      <c r="AC40" s="85">
        <v>0</v>
      </c>
      <c r="AD40" s="85">
        <v>0</v>
      </c>
      <c r="AE40" s="85">
        <v>0</v>
      </c>
      <c r="AF40" s="85">
        <v>0</v>
      </c>
      <c r="AG40" s="85">
        <v>0</v>
      </c>
      <c r="AH40" s="85">
        <v>0</v>
      </c>
      <c r="AI40" s="85">
        <v>0</v>
      </c>
      <c r="AJ40" s="85">
        <v>0</v>
      </c>
      <c r="AK40" s="85">
        <v>0</v>
      </c>
      <c r="AL40" s="85">
        <v>0</v>
      </c>
      <c r="AM40" s="85">
        <v>0</v>
      </c>
      <c r="AN40" s="85">
        <v>0</v>
      </c>
      <c r="AO40" s="85">
        <v>0</v>
      </c>
      <c r="AP40" s="85">
        <v>0</v>
      </c>
      <c r="AQ40" s="85">
        <v>0</v>
      </c>
    </row>
    <row r="41" spans="1:43" ht="14.25" customHeight="1" x14ac:dyDescent="0.25">
      <c r="A41" s="89" t="s">
        <v>163</v>
      </c>
      <c r="B41" s="85">
        <v>0</v>
      </c>
      <c r="C41" s="85">
        <v>0</v>
      </c>
      <c r="D41" s="85">
        <v>0</v>
      </c>
      <c r="E41" s="85">
        <v>0</v>
      </c>
      <c r="F41" s="85">
        <v>0</v>
      </c>
      <c r="G41" s="85">
        <v>0</v>
      </c>
      <c r="H41" s="85">
        <v>0</v>
      </c>
      <c r="I41" s="85">
        <v>0</v>
      </c>
      <c r="J41" s="85">
        <v>0</v>
      </c>
      <c r="K41" s="85">
        <v>0</v>
      </c>
      <c r="L41" s="85">
        <v>0</v>
      </c>
      <c r="M41" s="85">
        <v>0</v>
      </c>
      <c r="N41" s="85">
        <v>0</v>
      </c>
      <c r="O41" s="85">
        <v>0</v>
      </c>
      <c r="P41" s="85">
        <v>0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5">
        <v>0</v>
      </c>
      <c r="Y41" s="85">
        <v>0</v>
      </c>
      <c r="Z41" s="85">
        <v>0</v>
      </c>
      <c r="AA41" s="85">
        <v>0</v>
      </c>
      <c r="AB41" s="85">
        <v>0</v>
      </c>
      <c r="AC41" s="85">
        <v>0</v>
      </c>
      <c r="AD41" s="85">
        <v>0</v>
      </c>
      <c r="AE41" s="85">
        <v>0</v>
      </c>
      <c r="AF41" s="85">
        <v>0</v>
      </c>
      <c r="AG41" s="85">
        <v>0</v>
      </c>
      <c r="AH41" s="85">
        <v>0</v>
      </c>
      <c r="AI41" s="85">
        <v>0</v>
      </c>
      <c r="AJ41" s="85">
        <v>0</v>
      </c>
      <c r="AK41" s="85">
        <v>0</v>
      </c>
      <c r="AL41" s="85">
        <v>0</v>
      </c>
      <c r="AM41" s="85">
        <v>0</v>
      </c>
      <c r="AN41" s="85">
        <v>0</v>
      </c>
      <c r="AO41" s="85">
        <v>0</v>
      </c>
      <c r="AP41" s="85">
        <v>0</v>
      </c>
      <c r="AQ41" s="85">
        <v>0</v>
      </c>
    </row>
    <row r="42" spans="1:43" ht="14.25" customHeight="1" x14ac:dyDescent="0.25">
      <c r="A42" s="89" t="s">
        <v>196</v>
      </c>
      <c r="B42" s="85">
        <v>0</v>
      </c>
      <c r="C42" s="85">
        <v>0</v>
      </c>
      <c r="D42" s="85">
        <v>0</v>
      </c>
      <c r="E42" s="85">
        <v>0</v>
      </c>
      <c r="F42" s="85">
        <v>0</v>
      </c>
      <c r="G42" s="85">
        <v>0</v>
      </c>
      <c r="H42" s="85">
        <v>0</v>
      </c>
      <c r="I42" s="85">
        <v>0</v>
      </c>
      <c r="J42" s="85">
        <v>0</v>
      </c>
      <c r="K42" s="85">
        <v>0</v>
      </c>
      <c r="L42" s="85">
        <v>0</v>
      </c>
      <c r="M42" s="85">
        <v>0</v>
      </c>
      <c r="N42" s="85">
        <v>0</v>
      </c>
      <c r="O42" s="85">
        <v>0</v>
      </c>
      <c r="P42" s="85">
        <v>0</v>
      </c>
      <c r="Q42" s="85">
        <v>0</v>
      </c>
      <c r="R42" s="85">
        <v>0</v>
      </c>
      <c r="S42" s="85">
        <v>0</v>
      </c>
      <c r="T42" s="85">
        <v>0</v>
      </c>
      <c r="U42" s="85">
        <v>0</v>
      </c>
      <c r="V42" s="85">
        <v>0</v>
      </c>
      <c r="W42" s="85">
        <v>0</v>
      </c>
      <c r="X42" s="85">
        <v>0</v>
      </c>
      <c r="Y42" s="85">
        <v>0</v>
      </c>
      <c r="Z42" s="85">
        <v>0</v>
      </c>
      <c r="AA42" s="85">
        <v>0</v>
      </c>
      <c r="AB42" s="85">
        <v>0</v>
      </c>
      <c r="AC42" s="85">
        <v>0</v>
      </c>
      <c r="AD42" s="85">
        <v>0</v>
      </c>
      <c r="AE42" s="85">
        <v>0</v>
      </c>
      <c r="AF42" s="85">
        <v>0</v>
      </c>
      <c r="AG42" s="85">
        <v>0</v>
      </c>
      <c r="AH42" s="85">
        <v>0</v>
      </c>
      <c r="AI42" s="85">
        <v>0</v>
      </c>
      <c r="AJ42" s="85">
        <v>0</v>
      </c>
      <c r="AK42" s="85">
        <v>0</v>
      </c>
      <c r="AL42" s="85">
        <v>0</v>
      </c>
      <c r="AM42" s="85">
        <v>0</v>
      </c>
      <c r="AN42" s="85">
        <v>0</v>
      </c>
      <c r="AO42" s="85">
        <v>0</v>
      </c>
      <c r="AP42" s="85">
        <v>0</v>
      </c>
      <c r="AQ42" s="85">
        <v>0</v>
      </c>
    </row>
    <row r="43" spans="1:43" ht="14.25" customHeight="1" x14ac:dyDescent="0.25">
      <c r="A43" s="89" t="s">
        <v>490</v>
      </c>
      <c r="B43" s="85">
        <v>0</v>
      </c>
      <c r="C43" s="85">
        <v>0</v>
      </c>
      <c r="D43" s="85">
        <v>0</v>
      </c>
      <c r="E43" s="85">
        <v>0</v>
      </c>
      <c r="F43" s="85">
        <v>0</v>
      </c>
      <c r="G43" s="85">
        <v>0</v>
      </c>
      <c r="H43" s="85">
        <v>0</v>
      </c>
      <c r="I43" s="85">
        <v>0</v>
      </c>
      <c r="J43" s="85">
        <v>0</v>
      </c>
      <c r="K43" s="85">
        <v>0</v>
      </c>
      <c r="L43" s="85">
        <v>0</v>
      </c>
      <c r="M43" s="85">
        <v>0</v>
      </c>
      <c r="N43" s="85">
        <v>0</v>
      </c>
      <c r="O43" s="85">
        <v>0</v>
      </c>
      <c r="P43" s="85">
        <v>0</v>
      </c>
      <c r="Q43" s="85">
        <v>0</v>
      </c>
      <c r="R43" s="85">
        <v>0</v>
      </c>
      <c r="S43" s="85">
        <v>0</v>
      </c>
      <c r="T43" s="85">
        <v>0</v>
      </c>
      <c r="U43" s="85">
        <v>0</v>
      </c>
      <c r="V43" s="85">
        <v>0</v>
      </c>
      <c r="W43" s="85">
        <v>0</v>
      </c>
      <c r="X43" s="85">
        <v>0</v>
      </c>
      <c r="Y43" s="85">
        <v>0</v>
      </c>
      <c r="Z43" s="85">
        <v>0</v>
      </c>
      <c r="AA43" s="85">
        <v>0</v>
      </c>
      <c r="AB43" s="85">
        <v>0</v>
      </c>
      <c r="AC43" s="85">
        <v>0</v>
      </c>
      <c r="AD43" s="85">
        <v>0</v>
      </c>
      <c r="AE43" s="85">
        <v>0</v>
      </c>
      <c r="AF43" s="85">
        <v>0</v>
      </c>
      <c r="AG43" s="85">
        <v>0</v>
      </c>
      <c r="AH43" s="85">
        <v>0</v>
      </c>
      <c r="AI43" s="85">
        <v>0</v>
      </c>
      <c r="AJ43" s="85">
        <v>0</v>
      </c>
      <c r="AK43" s="85">
        <v>0</v>
      </c>
      <c r="AL43" s="85">
        <v>0</v>
      </c>
      <c r="AM43" s="85">
        <v>0</v>
      </c>
      <c r="AN43" s="85">
        <v>0</v>
      </c>
      <c r="AO43" s="85">
        <v>0</v>
      </c>
      <c r="AP43" s="85">
        <v>0</v>
      </c>
      <c r="AQ43" s="85">
        <v>0</v>
      </c>
    </row>
    <row r="44" spans="1:43" ht="14.25" customHeight="1" x14ac:dyDescent="0.25">
      <c r="A44" s="89"/>
      <c r="B44" s="85">
        <v>0</v>
      </c>
      <c r="C44" s="85">
        <v>0</v>
      </c>
      <c r="D44" s="85">
        <v>0</v>
      </c>
      <c r="E44" s="85">
        <v>0</v>
      </c>
      <c r="F44" s="85">
        <v>0</v>
      </c>
      <c r="G44" s="85">
        <v>0</v>
      </c>
      <c r="H44" s="85">
        <v>0</v>
      </c>
      <c r="I44" s="85">
        <v>0</v>
      </c>
      <c r="J44" s="85">
        <v>0</v>
      </c>
      <c r="K44" s="85">
        <v>0</v>
      </c>
      <c r="L44" s="85">
        <v>0</v>
      </c>
      <c r="M44" s="85">
        <v>0</v>
      </c>
      <c r="N44" s="85">
        <v>0</v>
      </c>
      <c r="O44" s="85">
        <v>0</v>
      </c>
      <c r="P44" s="85">
        <v>0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5">
        <v>0</v>
      </c>
      <c r="Y44" s="85">
        <v>0</v>
      </c>
      <c r="Z44" s="85">
        <v>0</v>
      </c>
      <c r="AA44" s="85">
        <v>0</v>
      </c>
      <c r="AB44" s="85">
        <v>0</v>
      </c>
      <c r="AC44" s="85">
        <v>0</v>
      </c>
      <c r="AD44" s="85">
        <v>0</v>
      </c>
      <c r="AE44" s="85">
        <v>0</v>
      </c>
      <c r="AF44" s="85">
        <v>0</v>
      </c>
      <c r="AG44" s="85">
        <v>0</v>
      </c>
      <c r="AH44" s="85">
        <v>0</v>
      </c>
      <c r="AI44" s="85">
        <v>0</v>
      </c>
      <c r="AJ44" s="85">
        <v>0</v>
      </c>
      <c r="AK44" s="85">
        <v>0</v>
      </c>
      <c r="AL44" s="85">
        <v>0</v>
      </c>
      <c r="AM44" s="85">
        <v>0</v>
      </c>
      <c r="AN44" s="85">
        <v>0</v>
      </c>
      <c r="AO44" s="85">
        <v>0</v>
      </c>
      <c r="AP44" s="85">
        <v>0</v>
      </c>
      <c r="AQ44" s="85">
        <v>0</v>
      </c>
    </row>
    <row r="45" spans="1:43" ht="14.25" customHeight="1" x14ac:dyDescent="0.25">
      <c r="A45" s="89"/>
      <c r="B45" s="85">
        <v>0</v>
      </c>
      <c r="C45" s="85">
        <v>0</v>
      </c>
      <c r="D45" s="85">
        <v>0</v>
      </c>
      <c r="E45" s="85">
        <v>0</v>
      </c>
      <c r="F45" s="85">
        <v>0</v>
      </c>
      <c r="G45" s="85">
        <v>0</v>
      </c>
      <c r="H45" s="85">
        <v>0</v>
      </c>
      <c r="I45" s="85">
        <v>0</v>
      </c>
      <c r="J45" s="85">
        <v>0</v>
      </c>
      <c r="K45" s="85">
        <v>0</v>
      </c>
      <c r="L45" s="85">
        <v>0</v>
      </c>
      <c r="M45" s="85">
        <v>0</v>
      </c>
      <c r="N45" s="85">
        <v>0</v>
      </c>
      <c r="O45" s="85">
        <v>0</v>
      </c>
      <c r="P45" s="85">
        <v>0</v>
      </c>
      <c r="Q45" s="85">
        <v>0</v>
      </c>
      <c r="R45" s="85">
        <v>0</v>
      </c>
      <c r="S45" s="85">
        <v>0</v>
      </c>
      <c r="T45" s="85">
        <v>0</v>
      </c>
      <c r="U45" s="85">
        <v>0</v>
      </c>
      <c r="V45" s="85">
        <v>0</v>
      </c>
      <c r="W45" s="85">
        <v>0</v>
      </c>
      <c r="X45" s="85">
        <v>0</v>
      </c>
      <c r="Y45" s="85">
        <v>0</v>
      </c>
      <c r="Z45" s="85">
        <v>0</v>
      </c>
      <c r="AA45" s="85">
        <v>0</v>
      </c>
      <c r="AB45" s="85">
        <v>0</v>
      </c>
      <c r="AC45" s="85">
        <v>0</v>
      </c>
      <c r="AD45" s="85">
        <v>0</v>
      </c>
      <c r="AE45" s="85">
        <v>0</v>
      </c>
      <c r="AF45" s="85">
        <v>0</v>
      </c>
      <c r="AG45" s="85">
        <v>0</v>
      </c>
      <c r="AH45" s="85">
        <v>0</v>
      </c>
      <c r="AI45" s="85">
        <v>0</v>
      </c>
      <c r="AJ45" s="85">
        <v>0</v>
      </c>
      <c r="AK45" s="85">
        <v>0</v>
      </c>
      <c r="AL45" s="85">
        <v>0</v>
      </c>
      <c r="AM45" s="85">
        <v>0</v>
      </c>
      <c r="AN45" s="85">
        <v>0</v>
      </c>
      <c r="AO45" s="85">
        <v>0</v>
      </c>
      <c r="AP45" s="85">
        <v>0</v>
      </c>
      <c r="AQ45" s="85">
        <v>0</v>
      </c>
    </row>
    <row r="46" spans="1:43" ht="14.25" customHeight="1" x14ac:dyDescent="0.25">
      <c r="A46" s="89"/>
      <c r="B46" s="85">
        <v>0</v>
      </c>
      <c r="C46" s="85">
        <v>0</v>
      </c>
      <c r="D46" s="85">
        <v>0</v>
      </c>
      <c r="E46" s="85">
        <v>0</v>
      </c>
      <c r="F46" s="85">
        <v>0</v>
      </c>
      <c r="G46" s="85">
        <v>0</v>
      </c>
      <c r="H46" s="85">
        <v>0</v>
      </c>
      <c r="I46" s="85">
        <v>0</v>
      </c>
      <c r="J46" s="85">
        <v>0</v>
      </c>
      <c r="K46" s="85">
        <v>0</v>
      </c>
      <c r="L46" s="85">
        <v>0</v>
      </c>
      <c r="M46" s="85">
        <v>0</v>
      </c>
      <c r="N46" s="85">
        <v>0</v>
      </c>
      <c r="O46" s="85">
        <v>0</v>
      </c>
      <c r="P46" s="85">
        <v>0</v>
      </c>
      <c r="Q46" s="85">
        <v>0</v>
      </c>
      <c r="R46" s="85">
        <v>0</v>
      </c>
      <c r="S46" s="85">
        <v>0</v>
      </c>
      <c r="T46" s="85">
        <v>0</v>
      </c>
      <c r="U46" s="85">
        <v>0</v>
      </c>
      <c r="V46" s="85">
        <v>0</v>
      </c>
      <c r="W46" s="85">
        <v>0</v>
      </c>
      <c r="X46" s="85">
        <v>0</v>
      </c>
      <c r="Y46" s="85">
        <v>0</v>
      </c>
      <c r="Z46" s="85">
        <v>0</v>
      </c>
      <c r="AA46" s="85">
        <v>0</v>
      </c>
      <c r="AB46" s="85">
        <v>0</v>
      </c>
      <c r="AC46" s="85">
        <v>0</v>
      </c>
      <c r="AD46" s="85">
        <v>0</v>
      </c>
      <c r="AE46" s="85">
        <v>0</v>
      </c>
      <c r="AF46" s="85">
        <v>0</v>
      </c>
      <c r="AG46" s="85">
        <v>0</v>
      </c>
      <c r="AH46" s="85">
        <v>0</v>
      </c>
      <c r="AI46" s="85">
        <v>0</v>
      </c>
      <c r="AJ46" s="85">
        <v>0</v>
      </c>
      <c r="AK46" s="85">
        <v>0</v>
      </c>
      <c r="AL46" s="85">
        <v>0</v>
      </c>
      <c r="AM46" s="85">
        <v>0</v>
      </c>
      <c r="AN46" s="85">
        <v>0</v>
      </c>
      <c r="AO46" s="85">
        <v>0</v>
      </c>
      <c r="AP46" s="85">
        <v>0</v>
      </c>
      <c r="AQ46" s="85">
        <v>0</v>
      </c>
    </row>
    <row r="47" spans="1:43" ht="14.25" customHeight="1" x14ac:dyDescent="0.25">
      <c r="A47" s="89"/>
      <c r="B47" s="85">
        <v>0</v>
      </c>
      <c r="C47" s="85">
        <v>0</v>
      </c>
      <c r="D47" s="85">
        <v>0</v>
      </c>
      <c r="E47" s="85">
        <v>0</v>
      </c>
      <c r="F47" s="85">
        <v>0</v>
      </c>
      <c r="G47" s="85">
        <v>0</v>
      </c>
      <c r="H47" s="85">
        <v>0</v>
      </c>
      <c r="I47" s="85">
        <v>0</v>
      </c>
      <c r="J47" s="85">
        <v>0</v>
      </c>
      <c r="K47" s="85">
        <v>0</v>
      </c>
      <c r="L47" s="85">
        <v>0</v>
      </c>
      <c r="M47" s="85">
        <v>0</v>
      </c>
      <c r="N47" s="85">
        <v>0</v>
      </c>
      <c r="O47" s="85">
        <v>0</v>
      </c>
      <c r="P47" s="85">
        <v>0</v>
      </c>
      <c r="Q47" s="85">
        <v>0</v>
      </c>
      <c r="R47" s="85">
        <v>0</v>
      </c>
      <c r="S47" s="85">
        <v>0</v>
      </c>
      <c r="T47" s="85">
        <v>0</v>
      </c>
      <c r="U47" s="85">
        <v>0</v>
      </c>
      <c r="V47" s="85">
        <v>0</v>
      </c>
      <c r="W47" s="85">
        <v>0</v>
      </c>
      <c r="X47" s="85">
        <v>0</v>
      </c>
      <c r="Y47" s="85">
        <v>0</v>
      </c>
      <c r="Z47" s="85">
        <v>0</v>
      </c>
      <c r="AA47" s="85">
        <v>0</v>
      </c>
      <c r="AB47" s="85">
        <v>0</v>
      </c>
      <c r="AC47" s="85">
        <v>0</v>
      </c>
      <c r="AD47" s="85">
        <v>0</v>
      </c>
      <c r="AE47" s="85">
        <v>0</v>
      </c>
      <c r="AF47" s="85">
        <v>0</v>
      </c>
      <c r="AG47" s="85">
        <v>0</v>
      </c>
      <c r="AH47" s="85">
        <v>0</v>
      </c>
      <c r="AI47" s="85">
        <v>0</v>
      </c>
      <c r="AJ47" s="85">
        <v>0</v>
      </c>
      <c r="AK47" s="85">
        <v>0</v>
      </c>
      <c r="AL47" s="85">
        <v>0</v>
      </c>
      <c r="AM47" s="85">
        <v>0</v>
      </c>
      <c r="AN47" s="85">
        <v>0</v>
      </c>
      <c r="AO47" s="85">
        <v>0</v>
      </c>
      <c r="AP47" s="85">
        <v>0</v>
      </c>
      <c r="AQ47" s="85">
        <v>0</v>
      </c>
    </row>
    <row r="48" spans="1:43" ht="14.25" customHeight="1" x14ac:dyDescent="0.25">
      <c r="A48" s="89"/>
      <c r="B48" s="85">
        <v>0</v>
      </c>
      <c r="C48" s="85">
        <v>0</v>
      </c>
      <c r="D48" s="85">
        <v>0</v>
      </c>
      <c r="E48" s="85">
        <v>0</v>
      </c>
      <c r="F48" s="85">
        <v>0</v>
      </c>
      <c r="G48" s="85">
        <v>0</v>
      </c>
      <c r="H48" s="85">
        <v>0</v>
      </c>
      <c r="I48" s="85">
        <v>0</v>
      </c>
      <c r="J48" s="85">
        <v>0</v>
      </c>
      <c r="K48" s="85">
        <v>0</v>
      </c>
      <c r="L48" s="85">
        <v>0</v>
      </c>
      <c r="M48" s="85">
        <v>0</v>
      </c>
      <c r="N48" s="85">
        <v>0</v>
      </c>
      <c r="O48" s="85">
        <v>0</v>
      </c>
      <c r="P48" s="85">
        <v>0</v>
      </c>
      <c r="Q48" s="85">
        <v>0</v>
      </c>
      <c r="R48" s="85">
        <v>0</v>
      </c>
      <c r="S48" s="85">
        <v>0</v>
      </c>
      <c r="T48" s="85">
        <v>0</v>
      </c>
      <c r="U48" s="85">
        <v>0</v>
      </c>
      <c r="V48" s="85">
        <v>0</v>
      </c>
      <c r="W48" s="85">
        <v>0</v>
      </c>
      <c r="X48" s="85">
        <v>0</v>
      </c>
      <c r="Y48" s="85">
        <v>0</v>
      </c>
      <c r="Z48" s="85">
        <v>0</v>
      </c>
      <c r="AA48" s="85">
        <v>0</v>
      </c>
      <c r="AB48" s="85">
        <v>0</v>
      </c>
      <c r="AC48" s="85">
        <v>0</v>
      </c>
      <c r="AD48" s="85">
        <v>0</v>
      </c>
      <c r="AE48" s="85">
        <v>0</v>
      </c>
      <c r="AF48" s="85">
        <v>0</v>
      </c>
      <c r="AG48" s="85">
        <v>0</v>
      </c>
      <c r="AH48" s="85">
        <v>0</v>
      </c>
      <c r="AI48" s="85">
        <v>0</v>
      </c>
      <c r="AJ48" s="85">
        <v>0</v>
      </c>
      <c r="AK48" s="85">
        <v>0</v>
      </c>
      <c r="AL48" s="85">
        <v>0</v>
      </c>
      <c r="AM48" s="85">
        <v>0</v>
      </c>
      <c r="AN48" s="85">
        <v>0</v>
      </c>
      <c r="AO48" s="85">
        <v>0</v>
      </c>
      <c r="AP48" s="85">
        <v>0</v>
      </c>
      <c r="AQ48" s="85">
        <v>0</v>
      </c>
    </row>
    <row r="51" spans="1:43" ht="14.25" hidden="1" customHeight="1" x14ac:dyDescent="0.25">
      <c r="B51" s="620" t="s">
        <v>3</v>
      </c>
      <c r="C51" s="620"/>
      <c r="D51" s="620"/>
      <c r="E51" s="620"/>
      <c r="F51" s="620"/>
      <c r="H51" s="620" t="s">
        <v>3</v>
      </c>
      <c r="I51" s="620"/>
      <c r="J51" s="620"/>
      <c r="K51" s="620"/>
      <c r="L51" s="620"/>
    </row>
    <row r="52" spans="1:43" ht="14.25" hidden="1" customHeight="1" x14ac:dyDescent="0.25">
      <c r="B52" s="618" t="s">
        <v>479</v>
      </c>
      <c r="C52" s="618"/>
      <c r="D52" s="618"/>
      <c r="E52" s="618"/>
      <c r="F52" s="618"/>
      <c r="H52" s="617" t="s">
        <v>480</v>
      </c>
      <c r="I52" s="617"/>
      <c r="J52" s="617"/>
      <c r="K52" s="617"/>
      <c r="L52" s="617"/>
    </row>
    <row r="53" spans="1:43" ht="14.25" hidden="1" customHeight="1" x14ac:dyDescent="0.25">
      <c r="B53" s="84" t="s">
        <v>481</v>
      </c>
      <c r="C53" s="615" t="str">
        <f>'Comparison Tool'!L5</f>
        <v>Algernon Sidney</v>
      </c>
      <c r="D53" s="615"/>
      <c r="E53" s="85" t="e">
        <f>MATCH(C53,A57:A98,0)</f>
        <v>#N/A</v>
      </c>
      <c r="F53" s="84" t="s">
        <v>482</v>
      </c>
      <c r="H53" s="84" t="s">
        <v>481</v>
      </c>
      <c r="I53" s="615" t="str">
        <f>'Comparison Tool'!L12</f>
        <v>Algernon Sidney</v>
      </c>
      <c r="J53" s="615"/>
      <c r="K53" s="85" t="e">
        <f>MATCH(I53,A57:A98,0)</f>
        <v>#N/A</v>
      </c>
      <c r="L53" s="84" t="s">
        <v>482</v>
      </c>
    </row>
    <row r="54" spans="1:43" ht="14.25" hidden="1" customHeight="1" x14ac:dyDescent="0.25">
      <c r="B54" s="84" t="s">
        <v>483</v>
      </c>
      <c r="C54" s="615" t="str">
        <f>'Comparison Tool'!L7</f>
        <v>Charles XII</v>
      </c>
      <c r="D54" s="615"/>
      <c r="E54" s="85">
        <f>MATCH(C54,B56:AQ56,0)</f>
        <v>11</v>
      </c>
      <c r="F54" s="84" t="s">
        <v>484</v>
      </c>
      <c r="H54" s="84" t="s">
        <v>483</v>
      </c>
      <c r="I54" s="615" t="str">
        <f>'Comparison Tool'!L14</f>
        <v>James Cook</v>
      </c>
      <c r="J54" s="615"/>
      <c r="K54" s="85">
        <f>MATCH(I54,B56:AQ56,0)</f>
        <v>38</v>
      </c>
      <c r="L54" s="84" t="s">
        <v>484</v>
      </c>
    </row>
    <row r="55" spans="1:43" ht="14.25" hidden="1" customHeight="1" x14ac:dyDescent="0.25">
      <c r="B55" s="86"/>
      <c r="C55" s="616" t="s">
        <v>485</v>
      </c>
      <c r="D55" s="616"/>
      <c r="E55" s="83" t="e">
        <f>INDEX(B57:AQ98,E54,E53)</f>
        <v>#N/A</v>
      </c>
      <c r="H55" s="86"/>
      <c r="I55" s="616" t="s">
        <v>485</v>
      </c>
      <c r="J55" s="616"/>
      <c r="K55" s="83" t="e">
        <f>INDEX(B57:AQ98,K54,K53)</f>
        <v>#N/A</v>
      </c>
    </row>
    <row r="56" spans="1:43" ht="72" customHeight="1" x14ac:dyDescent="0.25">
      <c r="A56" s="90" t="s">
        <v>487</v>
      </c>
      <c r="B56" s="88" t="s">
        <v>138</v>
      </c>
      <c r="C56" s="88" t="s">
        <v>139</v>
      </c>
      <c r="D56" s="88" t="s">
        <v>140</v>
      </c>
      <c r="E56" s="88" t="s">
        <v>141</v>
      </c>
      <c r="F56" s="88" t="s">
        <v>259</v>
      </c>
      <c r="G56" s="88" t="s">
        <v>287</v>
      </c>
      <c r="H56" s="88" t="s">
        <v>142</v>
      </c>
      <c r="I56" s="88" t="s">
        <v>143</v>
      </c>
      <c r="J56" s="88" t="s">
        <v>144</v>
      </c>
      <c r="K56" s="88" t="s">
        <v>145</v>
      </c>
      <c r="L56" s="88" t="s">
        <v>146</v>
      </c>
      <c r="M56" s="88" t="s">
        <v>148</v>
      </c>
      <c r="N56" s="88" t="s">
        <v>147</v>
      </c>
      <c r="O56" s="88" t="s">
        <v>149</v>
      </c>
      <c r="P56" s="88" t="s">
        <v>150</v>
      </c>
      <c r="Q56" s="88" t="s">
        <v>151</v>
      </c>
      <c r="R56" s="88" t="s">
        <v>152</v>
      </c>
      <c r="S56" s="88" t="s">
        <v>153</v>
      </c>
      <c r="T56" s="88" t="s">
        <v>154</v>
      </c>
      <c r="U56" s="88" t="s">
        <v>155</v>
      </c>
      <c r="V56" s="88" t="s">
        <v>157</v>
      </c>
      <c r="W56" s="88" t="s">
        <v>158</v>
      </c>
      <c r="X56" s="88" t="s">
        <v>156</v>
      </c>
      <c r="Y56" s="88" t="s">
        <v>161</v>
      </c>
      <c r="Z56" s="88" t="s">
        <v>160</v>
      </c>
      <c r="AA56" s="88" t="s">
        <v>159</v>
      </c>
      <c r="AB56" s="88" t="s">
        <v>298</v>
      </c>
      <c r="AC56" s="88" t="s">
        <v>162</v>
      </c>
      <c r="AD56" s="88" t="s">
        <v>303</v>
      </c>
      <c r="AE56" s="88" t="s">
        <v>163</v>
      </c>
      <c r="AF56" s="88" t="s">
        <v>164</v>
      </c>
      <c r="AG56" s="88" t="s">
        <v>297</v>
      </c>
      <c r="AH56" s="88" t="s">
        <v>165</v>
      </c>
      <c r="AI56" s="88" t="s">
        <v>166</v>
      </c>
      <c r="AJ56" s="88" t="s">
        <v>167</v>
      </c>
      <c r="AK56" s="88" t="s">
        <v>168</v>
      </c>
      <c r="AL56" s="88" t="s">
        <v>169</v>
      </c>
      <c r="AM56" s="88" t="s">
        <v>492</v>
      </c>
      <c r="AN56" s="88"/>
      <c r="AO56" s="88"/>
      <c r="AP56" s="88"/>
      <c r="AQ56" s="88"/>
    </row>
    <row r="57" spans="1:43" ht="14.25" customHeight="1" x14ac:dyDescent="0.25">
      <c r="A57" s="89" t="s">
        <v>138</v>
      </c>
      <c r="B57" s="85">
        <v>0</v>
      </c>
      <c r="C57" s="85">
        <v>0</v>
      </c>
      <c r="D57" s="85">
        <v>0</v>
      </c>
      <c r="E57" s="85">
        <v>0</v>
      </c>
      <c r="F57" s="85">
        <v>0</v>
      </c>
      <c r="G57" s="85">
        <v>0</v>
      </c>
      <c r="H57" s="85">
        <v>0</v>
      </c>
      <c r="I57" s="85">
        <v>0</v>
      </c>
      <c r="J57" s="85">
        <v>0</v>
      </c>
      <c r="K57" s="85">
        <v>0</v>
      </c>
      <c r="L57" s="85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5">
        <v>0</v>
      </c>
      <c r="AH57" s="85">
        <v>0</v>
      </c>
      <c r="AI57" s="85">
        <v>0</v>
      </c>
      <c r="AJ57" s="85">
        <v>0</v>
      </c>
      <c r="AK57" s="85">
        <v>0</v>
      </c>
      <c r="AL57" s="85">
        <v>0</v>
      </c>
      <c r="AM57" s="85">
        <v>0</v>
      </c>
      <c r="AN57" s="85">
        <v>0</v>
      </c>
      <c r="AO57" s="85">
        <v>0</v>
      </c>
      <c r="AP57" s="85">
        <v>0</v>
      </c>
      <c r="AQ57" s="85">
        <v>0</v>
      </c>
    </row>
    <row r="58" spans="1:43" ht="14.25" customHeight="1" x14ac:dyDescent="0.25">
      <c r="A58" s="89" t="s">
        <v>139</v>
      </c>
      <c r="B58" s="85">
        <v>0</v>
      </c>
      <c r="C58" s="85">
        <v>0</v>
      </c>
      <c r="D58" s="85">
        <v>0</v>
      </c>
      <c r="E58" s="85">
        <v>0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5">
        <v>0</v>
      </c>
      <c r="AH58" s="85">
        <v>0</v>
      </c>
      <c r="AI58" s="85">
        <v>0</v>
      </c>
      <c r="AJ58" s="85">
        <v>0</v>
      </c>
      <c r="AK58" s="85">
        <v>0</v>
      </c>
      <c r="AL58" s="85">
        <v>0</v>
      </c>
      <c r="AM58" s="85">
        <v>0</v>
      </c>
      <c r="AN58" s="85">
        <v>0</v>
      </c>
      <c r="AO58" s="85">
        <v>0</v>
      </c>
      <c r="AP58" s="85">
        <v>0</v>
      </c>
      <c r="AQ58" s="85">
        <v>0</v>
      </c>
    </row>
    <row r="59" spans="1:43" ht="14.25" customHeight="1" x14ac:dyDescent="0.25">
      <c r="A59" s="89" t="s">
        <v>140</v>
      </c>
      <c r="B59" s="85">
        <v>0</v>
      </c>
      <c r="C59" s="85">
        <v>0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  <c r="V59" s="85">
        <v>0</v>
      </c>
      <c r="W59" s="85">
        <v>0</v>
      </c>
      <c r="X59" s="85">
        <v>0</v>
      </c>
      <c r="Y59" s="85">
        <v>0</v>
      </c>
      <c r="Z59" s="85">
        <v>0</v>
      </c>
      <c r="AA59" s="85">
        <v>0</v>
      </c>
      <c r="AB59" s="85">
        <v>0</v>
      </c>
      <c r="AC59" s="85">
        <v>0</v>
      </c>
      <c r="AD59" s="85">
        <v>0</v>
      </c>
      <c r="AE59" s="85">
        <v>0</v>
      </c>
      <c r="AF59" s="85">
        <v>0</v>
      </c>
      <c r="AG59" s="85">
        <v>0</v>
      </c>
      <c r="AH59" s="85">
        <v>0</v>
      </c>
      <c r="AI59" s="85">
        <v>0</v>
      </c>
      <c r="AJ59" s="85">
        <v>0</v>
      </c>
      <c r="AK59" s="85">
        <v>0</v>
      </c>
      <c r="AL59" s="85">
        <v>0</v>
      </c>
      <c r="AM59" s="85">
        <v>0</v>
      </c>
      <c r="AN59" s="85">
        <v>0</v>
      </c>
      <c r="AO59" s="85">
        <v>0</v>
      </c>
      <c r="AP59" s="85">
        <v>0</v>
      </c>
      <c r="AQ59" s="85">
        <v>0</v>
      </c>
    </row>
    <row r="60" spans="1:43" ht="14.25" customHeight="1" x14ac:dyDescent="0.25">
      <c r="A60" s="89" t="s">
        <v>141</v>
      </c>
      <c r="B60" s="85">
        <v>0</v>
      </c>
      <c r="C60" s="85">
        <v>0</v>
      </c>
      <c r="D60" s="85">
        <v>0</v>
      </c>
      <c r="E60" s="85">
        <v>0</v>
      </c>
      <c r="F60" s="85">
        <v>0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5">
        <v>0</v>
      </c>
      <c r="AB60" s="85">
        <v>0</v>
      </c>
      <c r="AC60" s="85">
        <v>0</v>
      </c>
      <c r="AD60" s="85">
        <v>0</v>
      </c>
      <c r="AE60" s="85">
        <v>0</v>
      </c>
      <c r="AF60" s="85">
        <v>0</v>
      </c>
      <c r="AG60" s="85">
        <v>0</v>
      </c>
      <c r="AH60" s="85">
        <v>0</v>
      </c>
      <c r="AI60" s="85">
        <v>0</v>
      </c>
      <c r="AJ60" s="85">
        <v>0</v>
      </c>
      <c r="AK60" s="85">
        <v>0</v>
      </c>
      <c r="AL60" s="85">
        <v>0</v>
      </c>
      <c r="AM60" s="85">
        <v>0</v>
      </c>
      <c r="AN60" s="85">
        <v>0</v>
      </c>
      <c r="AO60" s="85">
        <v>0</v>
      </c>
      <c r="AP60" s="85">
        <v>0</v>
      </c>
      <c r="AQ60" s="85">
        <v>0</v>
      </c>
    </row>
    <row r="61" spans="1:43" ht="14.25" customHeight="1" x14ac:dyDescent="0.25">
      <c r="A61" s="89" t="s">
        <v>259</v>
      </c>
      <c r="B61" s="85">
        <v>0</v>
      </c>
      <c r="C61" s="85">
        <v>0</v>
      </c>
      <c r="D61" s="85">
        <v>0</v>
      </c>
      <c r="E61" s="85">
        <v>0</v>
      </c>
      <c r="F61" s="85">
        <v>0</v>
      </c>
      <c r="G61" s="85">
        <v>0</v>
      </c>
      <c r="H61" s="85">
        <v>0</v>
      </c>
      <c r="I61" s="85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5">
        <v>0</v>
      </c>
      <c r="AB61" s="85">
        <v>0</v>
      </c>
      <c r="AC61" s="85">
        <v>0</v>
      </c>
      <c r="AD61" s="85">
        <v>0</v>
      </c>
      <c r="AE61" s="85">
        <v>0</v>
      </c>
      <c r="AF61" s="85">
        <v>0</v>
      </c>
      <c r="AG61" s="85">
        <v>0</v>
      </c>
      <c r="AH61" s="85">
        <v>0</v>
      </c>
      <c r="AI61" s="85">
        <v>0</v>
      </c>
      <c r="AJ61" s="85">
        <v>0</v>
      </c>
      <c r="AK61" s="85">
        <v>0</v>
      </c>
      <c r="AL61" s="85">
        <v>0</v>
      </c>
      <c r="AM61" s="85">
        <v>0</v>
      </c>
      <c r="AN61" s="85">
        <v>0</v>
      </c>
      <c r="AO61" s="85">
        <v>0</v>
      </c>
      <c r="AP61" s="85">
        <v>0</v>
      </c>
      <c r="AQ61" s="85">
        <v>0</v>
      </c>
    </row>
    <row r="62" spans="1:43" ht="14.25" customHeight="1" x14ac:dyDescent="0.25">
      <c r="A62" s="89" t="s">
        <v>287</v>
      </c>
      <c r="B62" s="85">
        <v>0</v>
      </c>
      <c r="C62" s="85">
        <v>0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85">
        <v>0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5">
        <v>0</v>
      </c>
      <c r="AH62" s="85">
        <v>0</v>
      </c>
      <c r="AI62" s="85">
        <v>0</v>
      </c>
      <c r="AJ62" s="85">
        <v>0</v>
      </c>
      <c r="AK62" s="85">
        <v>0</v>
      </c>
      <c r="AL62" s="85">
        <v>0</v>
      </c>
      <c r="AM62" s="85">
        <v>0</v>
      </c>
      <c r="AN62" s="85">
        <v>0</v>
      </c>
      <c r="AO62" s="85">
        <v>0</v>
      </c>
      <c r="AP62" s="85">
        <v>0</v>
      </c>
      <c r="AQ62" s="85">
        <v>0</v>
      </c>
    </row>
    <row r="63" spans="1:43" ht="14.25" customHeight="1" x14ac:dyDescent="0.25">
      <c r="A63" s="89" t="s">
        <v>142</v>
      </c>
      <c r="B63" s="85">
        <v>0</v>
      </c>
      <c r="C63" s="85">
        <v>0</v>
      </c>
      <c r="D63" s="85">
        <v>0</v>
      </c>
      <c r="E63" s="85">
        <v>0</v>
      </c>
      <c r="F63" s="85">
        <v>0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  <c r="V63" s="85">
        <v>0</v>
      </c>
      <c r="W63" s="85">
        <v>0</v>
      </c>
      <c r="X63" s="85">
        <v>0</v>
      </c>
      <c r="Y63" s="85">
        <v>0</v>
      </c>
      <c r="Z63" s="85">
        <v>0</v>
      </c>
      <c r="AA63" s="85">
        <v>0</v>
      </c>
      <c r="AB63" s="85">
        <v>0</v>
      </c>
      <c r="AC63" s="85">
        <v>0</v>
      </c>
      <c r="AD63" s="85">
        <v>0</v>
      </c>
      <c r="AE63" s="85">
        <v>0</v>
      </c>
      <c r="AF63" s="85">
        <v>0</v>
      </c>
      <c r="AG63" s="85">
        <v>0</v>
      </c>
      <c r="AH63" s="85">
        <v>0</v>
      </c>
      <c r="AI63" s="85">
        <v>0</v>
      </c>
      <c r="AJ63" s="85">
        <v>0</v>
      </c>
      <c r="AK63" s="85">
        <v>0</v>
      </c>
      <c r="AL63" s="85">
        <v>0</v>
      </c>
      <c r="AM63" s="85">
        <v>0</v>
      </c>
      <c r="AN63" s="85">
        <v>0</v>
      </c>
      <c r="AO63" s="85">
        <v>0</v>
      </c>
      <c r="AP63" s="85">
        <v>0</v>
      </c>
      <c r="AQ63" s="85">
        <v>0</v>
      </c>
    </row>
    <row r="64" spans="1:43" ht="14.25" customHeight="1" x14ac:dyDescent="0.25">
      <c r="A64" s="89" t="s">
        <v>143</v>
      </c>
      <c r="B64" s="85">
        <v>0</v>
      </c>
      <c r="C64" s="85">
        <v>0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  <c r="V64" s="85">
        <v>0</v>
      </c>
      <c r="W64" s="85">
        <v>0</v>
      </c>
      <c r="X64" s="85"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5">
        <v>0</v>
      </c>
      <c r="AH64" s="85">
        <v>0</v>
      </c>
      <c r="AI64" s="85">
        <v>0</v>
      </c>
      <c r="AJ64" s="85">
        <v>0</v>
      </c>
      <c r="AK64" s="85">
        <v>0</v>
      </c>
      <c r="AL64" s="85">
        <v>0</v>
      </c>
      <c r="AM64" s="85">
        <v>0</v>
      </c>
      <c r="AN64" s="85">
        <v>0</v>
      </c>
      <c r="AO64" s="85">
        <v>0</v>
      </c>
      <c r="AP64" s="85">
        <v>0</v>
      </c>
      <c r="AQ64" s="85">
        <v>0</v>
      </c>
    </row>
    <row r="65" spans="1:43" ht="14.25" customHeight="1" x14ac:dyDescent="0.25">
      <c r="A65" s="89" t="s">
        <v>144</v>
      </c>
      <c r="B65" s="85">
        <v>0</v>
      </c>
      <c r="C65" s="85">
        <v>0</v>
      </c>
      <c r="D65" s="85">
        <v>0</v>
      </c>
      <c r="E65" s="85">
        <v>0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0</v>
      </c>
      <c r="P65" s="85">
        <v>0</v>
      </c>
      <c r="Q65" s="85">
        <v>0</v>
      </c>
      <c r="R65" s="85">
        <v>0</v>
      </c>
      <c r="S65" s="85">
        <v>0</v>
      </c>
      <c r="T65" s="85">
        <v>0</v>
      </c>
      <c r="U65" s="85">
        <v>0</v>
      </c>
      <c r="V65" s="85">
        <v>0</v>
      </c>
      <c r="W65" s="85">
        <v>0</v>
      </c>
      <c r="X65" s="85">
        <v>0</v>
      </c>
      <c r="Y65" s="85">
        <v>0</v>
      </c>
      <c r="Z65" s="85">
        <v>0</v>
      </c>
      <c r="AA65" s="85">
        <v>0</v>
      </c>
      <c r="AB65" s="85">
        <v>0</v>
      </c>
      <c r="AC65" s="85">
        <v>0</v>
      </c>
      <c r="AD65" s="85">
        <v>0</v>
      </c>
      <c r="AE65" s="85">
        <v>0</v>
      </c>
      <c r="AF65" s="85">
        <v>0</v>
      </c>
      <c r="AG65" s="85">
        <v>0</v>
      </c>
      <c r="AH65" s="85">
        <v>0</v>
      </c>
      <c r="AI65" s="85">
        <v>0</v>
      </c>
      <c r="AJ65" s="85">
        <v>0</v>
      </c>
      <c r="AK65" s="85">
        <v>0</v>
      </c>
      <c r="AL65" s="85">
        <v>0</v>
      </c>
      <c r="AM65" s="85">
        <v>0</v>
      </c>
      <c r="AN65" s="85">
        <v>0</v>
      </c>
      <c r="AO65" s="85">
        <v>0</v>
      </c>
      <c r="AP65" s="85">
        <v>0</v>
      </c>
      <c r="AQ65" s="85">
        <v>0</v>
      </c>
    </row>
    <row r="66" spans="1:43" ht="14.25" customHeight="1" x14ac:dyDescent="0.25">
      <c r="A66" s="89" t="s">
        <v>145</v>
      </c>
      <c r="B66" s="85">
        <v>0</v>
      </c>
      <c r="C66" s="85">
        <v>0</v>
      </c>
      <c r="D66" s="85">
        <v>0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  <c r="V66" s="85">
        <v>0</v>
      </c>
      <c r="W66" s="85">
        <v>0</v>
      </c>
      <c r="X66" s="85">
        <v>0</v>
      </c>
      <c r="Y66" s="85">
        <v>0</v>
      </c>
      <c r="Z66" s="85">
        <v>0</v>
      </c>
      <c r="AA66" s="85">
        <v>0</v>
      </c>
      <c r="AB66" s="85">
        <v>0</v>
      </c>
      <c r="AC66" s="85">
        <v>0</v>
      </c>
      <c r="AD66" s="85">
        <v>0</v>
      </c>
      <c r="AE66" s="85">
        <v>0</v>
      </c>
      <c r="AF66" s="85">
        <v>0</v>
      </c>
      <c r="AG66" s="85">
        <v>0</v>
      </c>
      <c r="AH66" s="85">
        <v>0</v>
      </c>
      <c r="AI66" s="85">
        <v>0</v>
      </c>
      <c r="AJ66" s="85">
        <v>0</v>
      </c>
      <c r="AK66" s="85">
        <v>0</v>
      </c>
      <c r="AL66" s="85">
        <v>0</v>
      </c>
      <c r="AM66" s="85">
        <v>0</v>
      </c>
      <c r="AN66" s="85">
        <v>0</v>
      </c>
      <c r="AO66" s="85">
        <v>0</v>
      </c>
      <c r="AP66" s="85">
        <v>0</v>
      </c>
      <c r="AQ66" s="85">
        <v>0</v>
      </c>
    </row>
    <row r="67" spans="1:43" ht="14.25" customHeight="1" x14ac:dyDescent="0.25">
      <c r="A67" s="89" t="s">
        <v>146</v>
      </c>
      <c r="B67" s="85">
        <v>0</v>
      </c>
      <c r="C67" s="85">
        <v>0</v>
      </c>
      <c r="D67" s="85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  <c r="V67" s="85">
        <v>0</v>
      </c>
      <c r="W67" s="85">
        <v>0</v>
      </c>
      <c r="X67" s="85">
        <v>0</v>
      </c>
      <c r="Y67" s="85">
        <v>0</v>
      </c>
      <c r="Z67" s="85">
        <v>0</v>
      </c>
      <c r="AA67" s="85">
        <v>0</v>
      </c>
      <c r="AB67" s="85">
        <v>0</v>
      </c>
      <c r="AC67" s="85">
        <v>0</v>
      </c>
      <c r="AD67" s="85">
        <v>0</v>
      </c>
      <c r="AE67" s="85">
        <v>0</v>
      </c>
      <c r="AF67" s="85">
        <v>0</v>
      </c>
      <c r="AG67" s="85">
        <v>0</v>
      </c>
      <c r="AH67" s="85">
        <v>0</v>
      </c>
      <c r="AI67" s="85">
        <v>0</v>
      </c>
      <c r="AJ67" s="85">
        <v>0</v>
      </c>
      <c r="AK67" s="85">
        <v>0</v>
      </c>
      <c r="AL67" s="85">
        <v>0</v>
      </c>
      <c r="AM67" s="85">
        <v>0</v>
      </c>
      <c r="AN67" s="85">
        <v>0</v>
      </c>
      <c r="AO67" s="85">
        <v>0</v>
      </c>
      <c r="AP67" s="85">
        <v>0</v>
      </c>
      <c r="AQ67" s="85">
        <v>0</v>
      </c>
    </row>
    <row r="68" spans="1:43" ht="14.25" customHeight="1" x14ac:dyDescent="0.25">
      <c r="A68" s="89" t="s">
        <v>148</v>
      </c>
      <c r="B68" s="85">
        <v>0</v>
      </c>
      <c r="C68" s="85">
        <v>0</v>
      </c>
      <c r="D68" s="85">
        <v>0</v>
      </c>
      <c r="E68" s="85">
        <v>0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5">
        <v>0</v>
      </c>
      <c r="AH68" s="85">
        <v>0</v>
      </c>
      <c r="AI68" s="85">
        <v>0</v>
      </c>
      <c r="AJ68" s="85">
        <v>0</v>
      </c>
      <c r="AK68" s="85">
        <v>0</v>
      </c>
      <c r="AL68" s="85">
        <v>0</v>
      </c>
      <c r="AM68" s="85">
        <v>0</v>
      </c>
      <c r="AN68" s="85">
        <v>0</v>
      </c>
      <c r="AO68" s="85">
        <v>0</v>
      </c>
      <c r="AP68" s="85">
        <v>0</v>
      </c>
      <c r="AQ68" s="85">
        <v>0</v>
      </c>
    </row>
    <row r="69" spans="1:43" ht="14.25" customHeight="1" x14ac:dyDescent="0.25">
      <c r="A69" s="89" t="s">
        <v>147</v>
      </c>
      <c r="B69" s="85">
        <v>0</v>
      </c>
      <c r="C69" s="85">
        <v>0</v>
      </c>
      <c r="D69" s="85">
        <v>0</v>
      </c>
      <c r="E69" s="85">
        <v>0</v>
      </c>
      <c r="F69" s="85">
        <v>0</v>
      </c>
      <c r="G69" s="85">
        <v>0</v>
      </c>
      <c r="H69" s="85">
        <v>0</v>
      </c>
      <c r="I69" s="85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5">
        <v>0</v>
      </c>
      <c r="T69" s="85">
        <v>0</v>
      </c>
      <c r="U69" s="85">
        <v>0</v>
      </c>
      <c r="V69" s="85">
        <v>0</v>
      </c>
      <c r="W69" s="85">
        <v>0</v>
      </c>
      <c r="X69" s="85">
        <v>0</v>
      </c>
      <c r="Y69" s="85">
        <v>0</v>
      </c>
      <c r="Z69" s="85">
        <v>0</v>
      </c>
      <c r="AA69" s="85">
        <v>0</v>
      </c>
      <c r="AB69" s="85">
        <v>0</v>
      </c>
      <c r="AC69" s="85">
        <v>0</v>
      </c>
      <c r="AD69" s="85">
        <v>0</v>
      </c>
      <c r="AE69" s="85">
        <v>0</v>
      </c>
      <c r="AF69" s="85">
        <v>0</v>
      </c>
      <c r="AG69" s="85">
        <v>0</v>
      </c>
      <c r="AH69" s="85">
        <v>0</v>
      </c>
      <c r="AI69" s="85">
        <v>0</v>
      </c>
      <c r="AJ69" s="85">
        <v>0</v>
      </c>
      <c r="AK69" s="85">
        <v>0</v>
      </c>
      <c r="AL69" s="85">
        <v>0</v>
      </c>
      <c r="AM69" s="85">
        <v>0</v>
      </c>
      <c r="AN69" s="85">
        <v>0</v>
      </c>
      <c r="AO69" s="85">
        <v>0</v>
      </c>
      <c r="AP69" s="85">
        <v>0</v>
      </c>
      <c r="AQ69" s="85">
        <v>0</v>
      </c>
    </row>
    <row r="70" spans="1:43" ht="14.25" customHeight="1" x14ac:dyDescent="0.25">
      <c r="A70" s="89" t="s">
        <v>149</v>
      </c>
      <c r="B70" s="85">
        <v>0</v>
      </c>
      <c r="C70" s="85">
        <v>0</v>
      </c>
      <c r="D70" s="85">
        <v>0</v>
      </c>
      <c r="E70" s="85">
        <v>0</v>
      </c>
      <c r="F70" s="85">
        <v>0</v>
      </c>
      <c r="G70" s="85">
        <v>0</v>
      </c>
      <c r="H70" s="85">
        <v>0</v>
      </c>
      <c r="I70" s="85">
        <v>0</v>
      </c>
      <c r="J70" s="85">
        <v>0</v>
      </c>
      <c r="K70" s="85">
        <v>0</v>
      </c>
      <c r="L70" s="85">
        <v>0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0</v>
      </c>
      <c r="S70" s="85">
        <v>0</v>
      </c>
      <c r="T70" s="85">
        <v>0</v>
      </c>
      <c r="U70" s="85">
        <v>0</v>
      </c>
      <c r="V70" s="85">
        <v>0</v>
      </c>
      <c r="W70" s="85">
        <v>0</v>
      </c>
      <c r="X70" s="85">
        <v>0</v>
      </c>
      <c r="Y70" s="85">
        <v>0</v>
      </c>
      <c r="Z70" s="85">
        <v>0</v>
      </c>
      <c r="AA70" s="85">
        <v>0</v>
      </c>
      <c r="AB70" s="85">
        <v>0</v>
      </c>
      <c r="AC70" s="85">
        <v>0</v>
      </c>
      <c r="AD70" s="85">
        <v>0</v>
      </c>
      <c r="AE70" s="85">
        <v>0</v>
      </c>
      <c r="AF70" s="85">
        <v>0</v>
      </c>
      <c r="AG70" s="85">
        <v>0</v>
      </c>
      <c r="AH70" s="85">
        <v>0</v>
      </c>
      <c r="AI70" s="85">
        <v>0</v>
      </c>
      <c r="AJ70" s="85">
        <v>0</v>
      </c>
      <c r="AK70" s="85">
        <v>0</v>
      </c>
      <c r="AL70" s="85">
        <v>0</v>
      </c>
      <c r="AM70" s="85">
        <v>0</v>
      </c>
      <c r="AN70" s="85">
        <v>0</v>
      </c>
      <c r="AO70" s="85">
        <v>0</v>
      </c>
      <c r="AP70" s="85">
        <v>0</v>
      </c>
      <c r="AQ70" s="85">
        <v>0</v>
      </c>
    </row>
    <row r="71" spans="1:43" ht="14.25" customHeight="1" x14ac:dyDescent="0.25">
      <c r="A71" s="89" t="s">
        <v>150</v>
      </c>
      <c r="B71" s="85">
        <v>0</v>
      </c>
      <c r="C71" s="85">
        <v>0</v>
      </c>
      <c r="D71" s="85">
        <v>0</v>
      </c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  <c r="V71" s="85">
        <v>0</v>
      </c>
      <c r="W71" s="85">
        <v>0</v>
      </c>
      <c r="X71" s="85">
        <v>0</v>
      </c>
      <c r="Y71" s="85">
        <v>0</v>
      </c>
      <c r="Z71" s="85">
        <v>0</v>
      </c>
      <c r="AA71" s="85">
        <v>0</v>
      </c>
      <c r="AB71" s="85">
        <v>0</v>
      </c>
      <c r="AC71" s="85">
        <v>0</v>
      </c>
      <c r="AD71" s="85">
        <v>0</v>
      </c>
      <c r="AE71" s="85">
        <v>0</v>
      </c>
      <c r="AF71" s="85">
        <v>0</v>
      </c>
      <c r="AG71" s="85">
        <v>0</v>
      </c>
      <c r="AH71" s="85">
        <v>0</v>
      </c>
      <c r="AI71" s="85">
        <v>0</v>
      </c>
      <c r="AJ71" s="85">
        <v>0</v>
      </c>
      <c r="AK71" s="85">
        <v>0</v>
      </c>
      <c r="AL71" s="85">
        <v>0</v>
      </c>
      <c r="AM71" s="85">
        <v>0</v>
      </c>
      <c r="AN71" s="85">
        <v>0</v>
      </c>
      <c r="AO71" s="85">
        <v>0</v>
      </c>
      <c r="AP71" s="85">
        <v>0</v>
      </c>
      <c r="AQ71" s="85">
        <v>0</v>
      </c>
    </row>
    <row r="72" spans="1:43" ht="14.25" customHeight="1" x14ac:dyDescent="0.25">
      <c r="A72" s="89" t="s">
        <v>151</v>
      </c>
      <c r="B72" s="85">
        <v>0</v>
      </c>
      <c r="C72" s="85">
        <v>0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0</v>
      </c>
      <c r="V72" s="85">
        <v>0</v>
      </c>
      <c r="W72" s="85">
        <v>0</v>
      </c>
      <c r="X72" s="85">
        <v>0</v>
      </c>
      <c r="Y72" s="85">
        <v>0</v>
      </c>
      <c r="Z72" s="85">
        <v>0</v>
      </c>
      <c r="AA72" s="85">
        <v>0</v>
      </c>
      <c r="AB72" s="85">
        <v>0</v>
      </c>
      <c r="AC72" s="85">
        <v>0</v>
      </c>
      <c r="AD72" s="85">
        <v>0</v>
      </c>
      <c r="AE72" s="85">
        <v>0</v>
      </c>
      <c r="AF72" s="85">
        <v>0</v>
      </c>
      <c r="AG72" s="85">
        <v>0</v>
      </c>
      <c r="AH72" s="85">
        <v>0</v>
      </c>
      <c r="AI72" s="85">
        <v>0</v>
      </c>
      <c r="AJ72" s="85">
        <v>0</v>
      </c>
      <c r="AK72" s="85">
        <v>0</v>
      </c>
      <c r="AL72" s="85">
        <v>0</v>
      </c>
      <c r="AM72" s="85">
        <v>0</v>
      </c>
      <c r="AN72" s="85">
        <v>0</v>
      </c>
      <c r="AO72" s="85">
        <v>0</v>
      </c>
      <c r="AP72" s="85">
        <v>0</v>
      </c>
      <c r="AQ72" s="85">
        <v>0</v>
      </c>
    </row>
    <row r="73" spans="1:43" ht="14.25" customHeight="1" x14ac:dyDescent="0.25">
      <c r="A73" s="89" t="s">
        <v>152</v>
      </c>
      <c r="B73" s="85">
        <v>0</v>
      </c>
      <c r="C73" s="85">
        <v>0</v>
      </c>
      <c r="D73" s="85">
        <v>0</v>
      </c>
      <c r="E73" s="85">
        <v>0</v>
      </c>
      <c r="F73" s="85">
        <v>0</v>
      </c>
      <c r="G73" s="85">
        <v>0</v>
      </c>
      <c r="H73" s="85">
        <v>0</v>
      </c>
      <c r="I73" s="85">
        <v>0</v>
      </c>
      <c r="J73" s="85">
        <v>0</v>
      </c>
      <c r="K73" s="85">
        <v>0</v>
      </c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5">
        <v>0</v>
      </c>
      <c r="T73" s="85">
        <v>0</v>
      </c>
      <c r="U73" s="85">
        <v>0</v>
      </c>
      <c r="V73" s="85">
        <v>0</v>
      </c>
      <c r="W73" s="85">
        <v>0</v>
      </c>
      <c r="X73" s="85">
        <v>0</v>
      </c>
      <c r="Y73" s="85">
        <v>0</v>
      </c>
      <c r="Z73" s="85">
        <v>0</v>
      </c>
      <c r="AA73" s="85">
        <v>0</v>
      </c>
      <c r="AB73" s="85">
        <v>0</v>
      </c>
      <c r="AC73" s="85">
        <v>0</v>
      </c>
      <c r="AD73" s="85">
        <v>0</v>
      </c>
      <c r="AE73" s="85">
        <v>0</v>
      </c>
      <c r="AF73" s="85">
        <v>0</v>
      </c>
      <c r="AG73" s="85">
        <v>0</v>
      </c>
      <c r="AH73" s="85">
        <v>0</v>
      </c>
      <c r="AI73" s="85">
        <v>0</v>
      </c>
      <c r="AJ73" s="85">
        <v>0</v>
      </c>
      <c r="AK73" s="85">
        <v>0</v>
      </c>
      <c r="AL73" s="85">
        <v>0</v>
      </c>
      <c r="AM73" s="85">
        <v>0</v>
      </c>
      <c r="AN73" s="85">
        <v>0</v>
      </c>
      <c r="AO73" s="85">
        <v>0</v>
      </c>
      <c r="AP73" s="85">
        <v>0</v>
      </c>
      <c r="AQ73" s="85">
        <v>0</v>
      </c>
    </row>
    <row r="74" spans="1:43" ht="14.25" customHeight="1" x14ac:dyDescent="0.25">
      <c r="A74" s="89" t="s">
        <v>153</v>
      </c>
      <c r="B74" s="85">
        <v>0</v>
      </c>
      <c r="C74" s="85">
        <v>0</v>
      </c>
      <c r="D74" s="85">
        <v>0</v>
      </c>
      <c r="E74" s="85">
        <v>0</v>
      </c>
      <c r="F74" s="85">
        <v>0</v>
      </c>
      <c r="G74" s="85">
        <v>0</v>
      </c>
      <c r="H74" s="85">
        <v>0</v>
      </c>
      <c r="I74" s="85">
        <v>0</v>
      </c>
      <c r="J74" s="85">
        <v>0</v>
      </c>
      <c r="K74" s="85">
        <v>0</v>
      </c>
      <c r="L74" s="85">
        <v>0</v>
      </c>
      <c r="M74" s="85">
        <v>0</v>
      </c>
      <c r="N74" s="85">
        <v>0</v>
      </c>
      <c r="O74" s="85">
        <v>0</v>
      </c>
      <c r="P74" s="85">
        <v>0</v>
      </c>
      <c r="Q74" s="85">
        <v>0</v>
      </c>
      <c r="R74" s="85">
        <v>0</v>
      </c>
      <c r="S74" s="85">
        <v>0</v>
      </c>
      <c r="T74" s="85">
        <v>0</v>
      </c>
      <c r="U74" s="85">
        <v>0</v>
      </c>
      <c r="V74" s="85">
        <v>0</v>
      </c>
      <c r="W74" s="85">
        <v>0</v>
      </c>
      <c r="X74" s="85">
        <v>0</v>
      </c>
      <c r="Y74" s="85">
        <v>0</v>
      </c>
      <c r="Z74" s="85">
        <v>0</v>
      </c>
      <c r="AA74" s="85">
        <v>0</v>
      </c>
      <c r="AB74" s="85">
        <v>0</v>
      </c>
      <c r="AC74" s="85">
        <v>0</v>
      </c>
      <c r="AD74" s="85">
        <v>0</v>
      </c>
      <c r="AE74" s="85">
        <v>0</v>
      </c>
      <c r="AF74" s="85">
        <v>0</v>
      </c>
      <c r="AG74" s="85">
        <v>0</v>
      </c>
      <c r="AH74" s="85">
        <v>0</v>
      </c>
      <c r="AI74" s="85">
        <v>0</v>
      </c>
      <c r="AJ74" s="85">
        <v>0</v>
      </c>
      <c r="AK74" s="85">
        <v>0</v>
      </c>
      <c r="AL74" s="85">
        <v>0</v>
      </c>
      <c r="AM74" s="85">
        <v>0</v>
      </c>
      <c r="AN74" s="85">
        <v>0</v>
      </c>
      <c r="AO74" s="85">
        <v>0</v>
      </c>
      <c r="AP74" s="85">
        <v>0</v>
      </c>
      <c r="AQ74" s="85">
        <v>0</v>
      </c>
    </row>
    <row r="75" spans="1:43" ht="14.25" customHeight="1" x14ac:dyDescent="0.25">
      <c r="A75" s="89" t="s">
        <v>154</v>
      </c>
      <c r="B75" s="85">
        <v>0</v>
      </c>
      <c r="C75" s="85">
        <v>0</v>
      </c>
      <c r="D75" s="85">
        <v>0</v>
      </c>
      <c r="E75" s="85">
        <v>0</v>
      </c>
      <c r="F75" s="85">
        <v>0</v>
      </c>
      <c r="G75" s="85">
        <v>0</v>
      </c>
      <c r="H75" s="85">
        <v>0</v>
      </c>
      <c r="I75" s="85">
        <v>0</v>
      </c>
      <c r="J75" s="85">
        <v>0</v>
      </c>
      <c r="K75" s="85">
        <v>0</v>
      </c>
      <c r="L75" s="85">
        <v>0</v>
      </c>
      <c r="M75" s="85">
        <v>0</v>
      </c>
      <c r="N75" s="85">
        <v>0</v>
      </c>
      <c r="O75" s="85">
        <v>0</v>
      </c>
      <c r="P75" s="85">
        <v>0</v>
      </c>
      <c r="Q75" s="85">
        <v>0</v>
      </c>
      <c r="R75" s="85">
        <v>0</v>
      </c>
      <c r="S75" s="85">
        <v>0</v>
      </c>
      <c r="T75" s="85">
        <v>0</v>
      </c>
      <c r="U75" s="85">
        <v>0</v>
      </c>
      <c r="V75" s="85">
        <v>0</v>
      </c>
      <c r="W75" s="85">
        <v>0</v>
      </c>
      <c r="X75" s="85">
        <v>0</v>
      </c>
      <c r="Y75" s="85">
        <v>0</v>
      </c>
      <c r="Z75" s="85">
        <v>0</v>
      </c>
      <c r="AA75" s="85">
        <v>0</v>
      </c>
      <c r="AB75" s="85">
        <v>0</v>
      </c>
      <c r="AC75" s="85">
        <v>0</v>
      </c>
      <c r="AD75" s="85">
        <v>0</v>
      </c>
      <c r="AE75" s="85">
        <v>0</v>
      </c>
      <c r="AF75" s="85">
        <v>0</v>
      </c>
      <c r="AG75" s="85">
        <v>0</v>
      </c>
      <c r="AH75" s="85">
        <v>0</v>
      </c>
      <c r="AI75" s="85">
        <v>0</v>
      </c>
      <c r="AJ75" s="85">
        <v>0</v>
      </c>
      <c r="AK75" s="85">
        <v>0</v>
      </c>
      <c r="AL75" s="85">
        <v>0</v>
      </c>
      <c r="AM75" s="85">
        <v>0</v>
      </c>
      <c r="AN75" s="85">
        <v>0</v>
      </c>
      <c r="AO75" s="85">
        <v>0</v>
      </c>
      <c r="AP75" s="85">
        <v>0</v>
      </c>
      <c r="AQ75" s="85">
        <v>0</v>
      </c>
    </row>
    <row r="76" spans="1:43" ht="14.25" customHeight="1" x14ac:dyDescent="0.25">
      <c r="A76" s="89" t="s">
        <v>155</v>
      </c>
      <c r="B76" s="85">
        <v>0</v>
      </c>
      <c r="C76" s="85">
        <v>0</v>
      </c>
      <c r="D76" s="85">
        <v>0</v>
      </c>
      <c r="E76" s="85">
        <v>0</v>
      </c>
      <c r="F76" s="85">
        <v>0</v>
      </c>
      <c r="G76" s="85">
        <v>0</v>
      </c>
      <c r="H76" s="85">
        <v>0</v>
      </c>
      <c r="I76" s="85">
        <v>0</v>
      </c>
      <c r="J76" s="85">
        <v>0</v>
      </c>
      <c r="K76" s="85">
        <v>0</v>
      </c>
      <c r="L76" s="85">
        <v>0</v>
      </c>
      <c r="M76" s="85">
        <v>0</v>
      </c>
      <c r="N76" s="85">
        <v>0</v>
      </c>
      <c r="O76" s="85">
        <v>0</v>
      </c>
      <c r="P76" s="85">
        <v>0</v>
      </c>
      <c r="Q76" s="85">
        <v>0</v>
      </c>
      <c r="R76" s="85">
        <v>0</v>
      </c>
      <c r="S76" s="85">
        <v>0</v>
      </c>
      <c r="T76" s="85">
        <v>0</v>
      </c>
      <c r="U76" s="85">
        <v>0</v>
      </c>
      <c r="V76" s="85">
        <v>0</v>
      </c>
      <c r="W76" s="85">
        <v>0</v>
      </c>
      <c r="X76" s="85">
        <v>0</v>
      </c>
      <c r="Y76" s="85">
        <v>0</v>
      </c>
      <c r="Z76" s="85">
        <v>0</v>
      </c>
      <c r="AA76" s="85">
        <v>0</v>
      </c>
      <c r="AB76" s="85">
        <v>0</v>
      </c>
      <c r="AC76" s="85">
        <v>0</v>
      </c>
      <c r="AD76" s="85">
        <v>0</v>
      </c>
      <c r="AE76" s="85">
        <v>0</v>
      </c>
      <c r="AF76" s="85">
        <v>0</v>
      </c>
      <c r="AG76" s="85">
        <v>0</v>
      </c>
      <c r="AH76" s="85">
        <v>0</v>
      </c>
      <c r="AI76" s="85">
        <v>0</v>
      </c>
      <c r="AJ76" s="85">
        <v>0</v>
      </c>
      <c r="AK76" s="85">
        <v>0</v>
      </c>
      <c r="AL76" s="85">
        <v>0</v>
      </c>
      <c r="AM76" s="85">
        <v>0</v>
      </c>
      <c r="AN76" s="85">
        <v>0</v>
      </c>
      <c r="AO76" s="85">
        <v>0</v>
      </c>
      <c r="AP76" s="85">
        <v>0</v>
      </c>
      <c r="AQ76" s="85">
        <v>0</v>
      </c>
    </row>
    <row r="77" spans="1:43" ht="14.25" customHeight="1" x14ac:dyDescent="0.25">
      <c r="A77" s="89" t="s">
        <v>157</v>
      </c>
      <c r="B77" s="85">
        <v>0</v>
      </c>
      <c r="C77" s="85">
        <v>0</v>
      </c>
      <c r="D77" s="85">
        <v>0</v>
      </c>
      <c r="E77" s="85">
        <v>0</v>
      </c>
      <c r="F77" s="85">
        <v>0</v>
      </c>
      <c r="G77" s="85">
        <v>0</v>
      </c>
      <c r="H77" s="85">
        <v>0</v>
      </c>
      <c r="I77" s="85">
        <v>0</v>
      </c>
      <c r="J77" s="85">
        <v>0</v>
      </c>
      <c r="K77" s="85">
        <v>0</v>
      </c>
      <c r="L77" s="85">
        <v>0</v>
      </c>
      <c r="M77" s="85">
        <v>0</v>
      </c>
      <c r="N77" s="85">
        <v>0</v>
      </c>
      <c r="O77" s="85">
        <v>0</v>
      </c>
      <c r="P77" s="85">
        <v>0</v>
      </c>
      <c r="Q77" s="85">
        <v>0</v>
      </c>
      <c r="R77" s="85">
        <v>0</v>
      </c>
      <c r="S77" s="85">
        <v>0</v>
      </c>
      <c r="T77" s="85">
        <v>0</v>
      </c>
      <c r="U77" s="85">
        <v>0</v>
      </c>
      <c r="V77" s="85">
        <v>0</v>
      </c>
      <c r="W77" s="85">
        <v>0</v>
      </c>
      <c r="X77" s="85">
        <v>0</v>
      </c>
      <c r="Y77" s="85">
        <v>0</v>
      </c>
      <c r="Z77" s="85">
        <v>0</v>
      </c>
      <c r="AA77" s="85">
        <v>0</v>
      </c>
      <c r="AB77" s="85">
        <v>0</v>
      </c>
      <c r="AC77" s="85">
        <v>0</v>
      </c>
      <c r="AD77" s="85">
        <v>0</v>
      </c>
      <c r="AE77" s="85">
        <v>0</v>
      </c>
      <c r="AF77" s="85">
        <v>0</v>
      </c>
      <c r="AG77" s="85">
        <v>0</v>
      </c>
      <c r="AH77" s="85">
        <v>0</v>
      </c>
      <c r="AI77" s="85">
        <v>0</v>
      </c>
      <c r="AJ77" s="85">
        <v>0</v>
      </c>
      <c r="AK77" s="85">
        <v>0</v>
      </c>
      <c r="AL77" s="85">
        <v>0</v>
      </c>
      <c r="AM77" s="85">
        <v>0</v>
      </c>
      <c r="AN77" s="85">
        <v>0</v>
      </c>
      <c r="AO77" s="85">
        <v>0</v>
      </c>
      <c r="AP77" s="85">
        <v>0</v>
      </c>
      <c r="AQ77" s="85">
        <v>0</v>
      </c>
    </row>
    <row r="78" spans="1:43" ht="14.25" customHeight="1" x14ac:dyDescent="0.25">
      <c r="A78" s="89" t="s">
        <v>158</v>
      </c>
      <c r="B78" s="85">
        <v>0</v>
      </c>
      <c r="C78" s="85">
        <v>0</v>
      </c>
      <c r="D78" s="85">
        <v>0</v>
      </c>
      <c r="E78" s="85">
        <v>0</v>
      </c>
      <c r="F78" s="85">
        <v>0</v>
      </c>
      <c r="G78" s="85">
        <v>0</v>
      </c>
      <c r="H78" s="85">
        <v>0</v>
      </c>
      <c r="I78" s="85">
        <v>0</v>
      </c>
      <c r="J78" s="85">
        <v>0</v>
      </c>
      <c r="K78" s="85">
        <v>0</v>
      </c>
      <c r="L78" s="85">
        <v>0</v>
      </c>
      <c r="M78" s="85">
        <v>0</v>
      </c>
      <c r="N78" s="85">
        <v>0</v>
      </c>
      <c r="O78" s="85">
        <v>0</v>
      </c>
      <c r="P78" s="85">
        <v>0</v>
      </c>
      <c r="Q78" s="85">
        <v>0</v>
      </c>
      <c r="R78" s="85">
        <v>0</v>
      </c>
      <c r="S78" s="85">
        <v>0</v>
      </c>
      <c r="T78" s="85">
        <v>0</v>
      </c>
      <c r="U78" s="85">
        <v>0</v>
      </c>
      <c r="V78" s="85">
        <v>0</v>
      </c>
      <c r="W78" s="85">
        <v>0</v>
      </c>
      <c r="X78" s="85">
        <v>0</v>
      </c>
      <c r="Y78" s="85">
        <v>0</v>
      </c>
      <c r="Z78" s="85">
        <v>0</v>
      </c>
      <c r="AA78" s="85">
        <v>0</v>
      </c>
      <c r="AB78" s="85">
        <v>0</v>
      </c>
      <c r="AC78" s="85">
        <v>0</v>
      </c>
      <c r="AD78" s="85">
        <v>0</v>
      </c>
      <c r="AE78" s="85">
        <v>0</v>
      </c>
      <c r="AF78" s="85">
        <v>0</v>
      </c>
      <c r="AG78" s="85">
        <v>0</v>
      </c>
      <c r="AH78" s="85">
        <v>0</v>
      </c>
      <c r="AI78" s="85">
        <v>0</v>
      </c>
      <c r="AJ78" s="85">
        <v>0</v>
      </c>
      <c r="AK78" s="85">
        <v>0</v>
      </c>
      <c r="AL78" s="85">
        <v>0</v>
      </c>
      <c r="AM78" s="85">
        <v>0</v>
      </c>
      <c r="AN78" s="85">
        <v>0</v>
      </c>
      <c r="AO78" s="85">
        <v>0</v>
      </c>
      <c r="AP78" s="85">
        <v>0</v>
      </c>
      <c r="AQ78" s="85">
        <v>0</v>
      </c>
    </row>
    <row r="79" spans="1:43" ht="14.25" customHeight="1" x14ac:dyDescent="0.25">
      <c r="A79" s="89" t="s">
        <v>156</v>
      </c>
      <c r="B79" s="85">
        <v>0</v>
      </c>
      <c r="C79" s="85">
        <v>0</v>
      </c>
      <c r="D79" s="85">
        <v>0</v>
      </c>
      <c r="E79" s="85">
        <v>0</v>
      </c>
      <c r="F79" s="85">
        <v>0</v>
      </c>
      <c r="G79" s="85">
        <v>0</v>
      </c>
      <c r="H79" s="85">
        <v>0</v>
      </c>
      <c r="I79" s="85">
        <v>0</v>
      </c>
      <c r="J79" s="85">
        <v>0</v>
      </c>
      <c r="K79" s="85">
        <v>0</v>
      </c>
      <c r="L79" s="85">
        <v>0</v>
      </c>
      <c r="M79" s="85">
        <v>0</v>
      </c>
      <c r="N79" s="85">
        <v>0</v>
      </c>
      <c r="O79" s="85">
        <v>0</v>
      </c>
      <c r="P79" s="85">
        <v>0</v>
      </c>
      <c r="Q79" s="85">
        <v>0</v>
      </c>
      <c r="R79" s="85">
        <v>0</v>
      </c>
      <c r="S79" s="85">
        <v>0</v>
      </c>
      <c r="T79" s="85">
        <v>0</v>
      </c>
      <c r="U79" s="85">
        <v>0</v>
      </c>
      <c r="V79" s="85">
        <v>0</v>
      </c>
      <c r="W79" s="85">
        <v>0</v>
      </c>
      <c r="X79" s="85">
        <v>0</v>
      </c>
      <c r="Y79" s="85">
        <v>0</v>
      </c>
      <c r="Z79" s="85">
        <v>0</v>
      </c>
      <c r="AA79" s="85">
        <v>0</v>
      </c>
      <c r="AB79" s="85">
        <v>0</v>
      </c>
      <c r="AC79" s="85">
        <v>0</v>
      </c>
      <c r="AD79" s="85">
        <v>0</v>
      </c>
      <c r="AE79" s="85">
        <v>0</v>
      </c>
      <c r="AF79" s="85">
        <v>0</v>
      </c>
      <c r="AG79" s="85">
        <v>0</v>
      </c>
      <c r="AH79" s="85">
        <v>0</v>
      </c>
      <c r="AI79" s="85">
        <v>0</v>
      </c>
      <c r="AJ79" s="85">
        <v>0</v>
      </c>
      <c r="AK79" s="85">
        <v>0</v>
      </c>
      <c r="AL79" s="85">
        <v>0</v>
      </c>
      <c r="AM79" s="85">
        <v>0</v>
      </c>
      <c r="AN79" s="85">
        <v>0</v>
      </c>
      <c r="AO79" s="85">
        <v>0</v>
      </c>
      <c r="AP79" s="85">
        <v>0</v>
      </c>
      <c r="AQ79" s="85">
        <v>0</v>
      </c>
    </row>
    <row r="80" spans="1:43" ht="14.25" customHeight="1" x14ac:dyDescent="0.25">
      <c r="A80" s="89" t="s">
        <v>161</v>
      </c>
      <c r="B80" s="85">
        <v>0</v>
      </c>
      <c r="C80" s="85">
        <v>0</v>
      </c>
      <c r="D80" s="85">
        <v>0</v>
      </c>
      <c r="E80" s="85">
        <v>0</v>
      </c>
      <c r="F80" s="85">
        <v>0</v>
      </c>
      <c r="G80" s="85">
        <v>0</v>
      </c>
      <c r="H80" s="85">
        <v>0</v>
      </c>
      <c r="I80" s="85">
        <v>0</v>
      </c>
      <c r="J80" s="85">
        <v>0</v>
      </c>
      <c r="K80" s="85">
        <v>0</v>
      </c>
      <c r="L80" s="85">
        <v>0</v>
      </c>
      <c r="M80" s="85">
        <v>0</v>
      </c>
      <c r="N80" s="85">
        <v>0</v>
      </c>
      <c r="O80" s="85">
        <v>0</v>
      </c>
      <c r="P80" s="85">
        <v>0</v>
      </c>
      <c r="Q80" s="85">
        <v>0</v>
      </c>
      <c r="R80" s="85">
        <v>0</v>
      </c>
      <c r="S80" s="85">
        <v>0</v>
      </c>
      <c r="T80" s="85">
        <v>0</v>
      </c>
      <c r="U80" s="85">
        <v>0</v>
      </c>
      <c r="V80" s="85">
        <v>0</v>
      </c>
      <c r="W80" s="85">
        <v>0</v>
      </c>
      <c r="X80" s="85">
        <v>0</v>
      </c>
      <c r="Y80" s="85">
        <v>0</v>
      </c>
      <c r="Z80" s="85">
        <v>0</v>
      </c>
      <c r="AA80" s="85">
        <v>0</v>
      </c>
      <c r="AB80" s="85">
        <v>0</v>
      </c>
      <c r="AC80" s="85">
        <v>0</v>
      </c>
      <c r="AD80" s="85">
        <v>0</v>
      </c>
      <c r="AE80" s="85">
        <v>0</v>
      </c>
      <c r="AF80" s="85">
        <v>0</v>
      </c>
      <c r="AG80" s="85">
        <v>0</v>
      </c>
      <c r="AH80" s="85">
        <v>0</v>
      </c>
      <c r="AI80" s="85">
        <v>0</v>
      </c>
      <c r="AJ80" s="85">
        <v>0</v>
      </c>
      <c r="AK80" s="85">
        <v>0</v>
      </c>
      <c r="AL80" s="85">
        <v>0</v>
      </c>
      <c r="AM80" s="85">
        <v>0</v>
      </c>
      <c r="AN80" s="85">
        <v>0</v>
      </c>
      <c r="AO80" s="85">
        <v>0</v>
      </c>
      <c r="AP80" s="85">
        <v>0</v>
      </c>
      <c r="AQ80" s="85">
        <v>0</v>
      </c>
    </row>
    <row r="81" spans="1:43" ht="14.25" customHeight="1" x14ac:dyDescent="0.25">
      <c r="A81" s="89" t="s">
        <v>160</v>
      </c>
      <c r="B81" s="85">
        <v>0</v>
      </c>
      <c r="C81" s="85">
        <v>0</v>
      </c>
      <c r="D81" s="85">
        <v>0</v>
      </c>
      <c r="E81" s="85">
        <v>0</v>
      </c>
      <c r="F81" s="85">
        <v>0</v>
      </c>
      <c r="G81" s="85">
        <v>0</v>
      </c>
      <c r="H81" s="85">
        <v>0</v>
      </c>
      <c r="I81" s="85">
        <v>0</v>
      </c>
      <c r="J81" s="85">
        <v>0</v>
      </c>
      <c r="K81" s="85">
        <v>0</v>
      </c>
      <c r="L81" s="85">
        <v>0</v>
      </c>
      <c r="M81" s="85">
        <v>0</v>
      </c>
      <c r="N81" s="85">
        <v>0</v>
      </c>
      <c r="O81" s="85">
        <v>0</v>
      </c>
      <c r="P81" s="85">
        <v>0</v>
      </c>
      <c r="Q81" s="85">
        <v>0</v>
      </c>
      <c r="R81" s="85">
        <v>0</v>
      </c>
      <c r="S81" s="85">
        <v>0</v>
      </c>
      <c r="T81" s="85">
        <v>0</v>
      </c>
      <c r="U81" s="85">
        <v>0</v>
      </c>
      <c r="V81" s="85">
        <v>0</v>
      </c>
      <c r="W81" s="85">
        <v>0</v>
      </c>
      <c r="X81" s="85">
        <v>0</v>
      </c>
      <c r="Y81" s="85">
        <v>0</v>
      </c>
      <c r="Z81" s="85">
        <v>0</v>
      </c>
      <c r="AA81" s="85">
        <v>0</v>
      </c>
      <c r="AB81" s="85">
        <v>0</v>
      </c>
      <c r="AC81" s="85">
        <v>0</v>
      </c>
      <c r="AD81" s="85">
        <v>0</v>
      </c>
      <c r="AE81" s="85">
        <v>0</v>
      </c>
      <c r="AF81" s="85">
        <v>0</v>
      </c>
      <c r="AG81" s="85">
        <v>0</v>
      </c>
      <c r="AH81" s="85">
        <v>0</v>
      </c>
      <c r="AI81" s="85">
        <v>0</v>
      </c>
      <c r="AJ81" s="85">
        <v>0</v>
      </c>
      <c r="AK81" s="85">
        <v>0</v>
      </c>
      <c r="AL81" s="85">
        <v>0</v>
      </c>
      <c r="AM81" s="85">
        <v>0</v>
      </c>
      <c r="AN81" s="85">
        <v>0</v>
      </c>
      <c r="AO81" s="85">
        <v>0</v>
      </c>
      <c r="AP81" s="85">
        <v>0</v>
      </c>
      <c r="AQ81" s="85">
        <v>0</v>
      </c>
    </row>
    <row r="82" spans="1:43" ht="14.25" customHeight="1" x14ac:dyDescent="0.25">
      <c r="A82" s="89" t="s">
        <v>159</v>
      </c>
      <c r="B82" s="85">
        <v>0</v>
      </c>
      <c r="C82" s="85">
        <v>0</v>
      </c>
      <c r="D82" s="85">
        <v>0</v>
      </c>
      <c r="E82" s="85">
        <v>0</v>
      </c>
      <c r="F82" s="85">
        <v>0</v>
      </c>
      <c r="G82" s="85">
        <v>0</v>
      </c>
      <c r="H82" s="85">
        <v>0</v>
      </c>
      <c r="I82" s="85">
        <v>0</v>
      </c>
      <c r="J82" s="85">
        <v>0</v>
      </c>
      <c r="K82" s="85">
        <v>0</v>
      </c>
      <c r="L82" s="85">
        <v>0</v>
      </c>
      <c r="M82" s="85">
        <v>0</v>
      </c>
      <c r="N82" s="85">
        <v>0</v>
      </c>
      <c r="O82" s="85">
        <v>0</v>
      </c>
      <c r="P82" s="85">
        <v>0</v>
      </c>
      <c r="Q82" s="85">
        <v>0</v>
      </c>
      <c r="R82" s="85">
        <v>0</v>
      </c>
      <c r="S82" s="85">
        <v>0</v>
      </c>
      <c r="T82" s="85">
        <v>0</v>
      </c>
      <c r="U82" s="85">
        <v>0</v>
      </c>
      <c r="V82" s="85">
        <v>0</v>
      </c>
      <c r="W82" s="85">
        <v>0</v>
      </c>
      <c r="X82" s="85">
        <v>0</v>
      </c>
      <c r="Y82" s="85">
        <v>0</v>
      </c>
      <c r="Z82" s="85">
        <v>0</v>
      </c>
      <c r="AA82" s="85">
        <v>0</v>
      </c>
      <c r="AB82" s="85">
        <v>0</v>
      </c>
      <c r="AC82" s="85">
        <v>0</v>
      </c>
      <c r="AD82" s="85">
        <v>0</v>
      </c>
      <c r="AE82" s="85">
        <v>0</v>
      </c>
      <c r="AF82" s="85">
        <v>0</v>
      </c>
      <c r="AG82" s="85">
        <v>0</v>
      </c>
      <c r="AH82" s="85">
        <v>0</v>
      </c>
      <c r="AI82" s="85">
        <v>0</v>
      </c>
      <c r="AJ82" s="85">
        <v>0</v>
      </c>
      <c r="AK82" s="85">
        <v>0</v>
      </c>
      <c r="AL82" s="85">
        <v>0</v>
      </c>
      <c r="AM82" s="85">
        <v>0</v>
      </c>
      <c r="AN82" s="85">
        <v>0</v>
      </c>
      <c r="AO82" s="85">
        <v>0</v>
      </c>
      <c r="AP82" s="85">
        <v>0</v>
      </c>
      <c r="AQ82" s="85">
        <v>0</v>
      </c>
    </row>
    <row r="83" spans="1:43" ht="14.25" customHeight="1" x14ac:dyDescent="0.25">
      <c r="A83" s="89" t="s">
        <v>298</v>
      </c>
      <c r="B83" s="85">
        <v>0</v>
      </c>
      <c r="C83" s="85">
        <v>0</v>
      </c>
      <c r="D83" s="85">
        <v>0</v>
      </c>
      <c r="E83" s="85">
        <v>0</v>
      </c>
      <c r="F83" s="85">
        <v>0</v>
      </c>
      <c r="G83" s="85">
        <v>0</v>
      </c>
      <c r="H83" s="85">
        <v>0</v>
      </c>
      <c r="I83" s="85">
        <v>0</v>
      </c>
      <c r="J83" s="85">
        <v>0</v>
      </c>
      <c r="K83" s="85">
        <v>0</v>
      </c>
      <c r="L83" s="85">
        <v>0</v>
      </c>
      <c r="M83" s="85">
        <v>0</v>
      </c>
      <c r="N83" s="85">
        <v>0</v>
      </c>
      <c r="O83" s="85">
        <v>0</v>
      </c>
      <c r="P83" s="85">
        <v>0</v>
      </c>
      <c r="Q83" s="85">
        <v>0</v>
      </c>
      <c r="R83" s="85">
        <v>0</v>
      </c>
      <c r="S83" s="85">
        <v>0</v>
      </c>
      <c r="T83" s="85">
        <v>0</v>
      </c>
      <c r="U83" s="85">
        <v>0</v>
      </c>
      <c r="V83" s="85">
        <v>0</v>
      </c>
      <c r="W83" s="85">
        <v>0</v>
      </c>
      <c r="X83" s="85">
        <v>0</v>
      </c>
      <c r="Y83" s="85">
        <v>0</v>
      </c>
      <c r="Z83" s="85">
        <v>0</v>
      </c>
      <c r="AA83" s="85">
        <v>0</v>
      </c>
      <c r="AB83" s="85">
        <v>0</v>
      </c>
      <c r="AC83" s="85">
        <v>0</v>
      </c>
      <c r="AD83" s="85">
        <v>0</v>
      </c>
      <c r="AE83" s="85">
        <v>0</v>
      </c>
      <c r="AF83" s="85">
        <v>0</v>
      </c>
      <c r="AG83" s="85">
        <v>0</v>
      </c>
      <c r="AH83" s="85">
        <v>0</v>
      </c>
      <c r="AI83" s="85">
        <v>0</v>
      </c>
      <c r="AJ83" s="85">
        <v>0</v>
      </c>
      <c r="AK83" s="85">
        <v>0</v>
      </c>
      <c r="AL83" s="85">
        <v>0</v>
      </c>
      <c r="AM83" s="85">
        <v>0</v>
      </c>
      <c r="AN83" s="85">
        <v>0</v>
      </c>
      <c r="AO83" s="85">
        <v>0</v>
      </c>
      <c r="AP83" s="85">
        <v>0</v>
      </c>
      <c r="AQ83" s="85">
        <v>0</v>
      </c>
    </row>
    <row r="84" spans="1:43" ht="14.25" customHeight="1" x14ac:dyDescent="0.25">
      <c r="A84" s="89" t="s">
        <v>162</v>
      </c>
      <c r="B84" s="85">
        <v>0</v>
      </c>
      <c r="C84" s="85">
        <v>0</v>
      </c>
      <c r="D84" s="85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5">
        <v>0</v>
      </c>
      <c r="T84" s="85">
        <v>0</v>
      </c>
      <c r="U84" s="85">
        <v>0</v>
      </c>
      <c r="V84" s="85">
        <v>0</v>
      </c>
      <c r="W84" s="85">
        <v>0</v>
      </c>
      <c r="X84" s="85"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85">
        <v>0</v>
      </c>
      <c r="AH84" s="85">
        <v>0</v>
      </c>
      <c r="AI84" s="85">
        <v>0</v>
      </c>
      <c r="AJ84" s="85">
        <v>0</v>
      </c>
      <c r="AK84" s="85">
        <v>0</v>
      </c>
      <c r="AL84" s="85">
        <v>0</v>
      </c>
      <c r="AM84" s="85">
        <v>0</v>
      </c>
      <c r="AN84" s="85">
        <v>0</v>
      </c>
      <c r="AO84" s="85">
        <v>0</v>
      </c>
      <c r="AP84" s="85">
        <v>0</v>
      </c>
      <c r="AQ84" s="85">
        <v>0</v>
      </c>
    </row>
    <row r="85" spans="1:43" ht="14.25" customHeight="1" x14ac:dyDescent="0.25">
      <c r="A85" s="89" t="s">
        <v>303</v>
      </c>
      <c r="B85" s="85">
        <v>0</v>
      </c>
      <c r="C85" s="85">
        <v>0</v>
      </c>
      <c r="D85" s="85">
        <v>0</v>
      </c>
      <c r="E85" s="85">
        <v>0</v>
      </c>
      <c r="F85" s="85">
        <v>0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5">
        <v>0</v>
      </c>
      <c r="M85" s="85">
        <v>0</v>
      </c>
      <c r="N85" s="85">
        <v>0</v>
      </c>
      <c r="O85" s="85">
        <v>0</v>
      </c>
      <c r="P85" s="85">
        <v>0</v>
      </c>
      <c r="Q85" s="85">
        <v>0</v>
      </c>
      <c r="R85" s="85">
        <v>0</v>
      </c>
      <c r="S85" s="85">
        <v>0</v>
      </c>
      <c r="T85" s="85">
        <v>0</v>
      </c>
      <c r="U85" s="85">
        <v>0</v>
      </c>
      <c r="V85" s="85">
        <v>0</v>
      </c>
      <c r="W85" s="85">
        <v>0</v>
      </c>
      <c r="X85" s="85">
        <v>0</v>
      </c>
      <c r="Y85" s="85">
        <v>0</v>
      </c>
      <c r="Z85" s="85">
        <v>0</v>
      </c>
      <c r="AA85" s="85">
        <v>0</v>
      </c>
      <c r="AB85" s="85">
        <v>0</v>
      </c>
      <c r="AC85" s="85">
        <v>0</v>
      </c>
      <c r="AD85" s="85">
        <v>0</v>
      </c>
      <c r="AE85" s="85">
        <v>0</v>
      </c>
      <c r="AF85" s="85">
        <v>0</v>
      </c>
      <c r="AG85" s="85">
        <v>0</v>
      </c>
      <c r="AH85" s="85">
        <v>0</v>
      </c>
      <c r="AI85" s="85">
        <v>0</v>
      </c>
      <c r="AJ85" s="85">
        <v>0</v>
      </c>
      <c r="AK85" s="85">
        <v>0</v>
      </c>
      <c r="AL85" s="85">
        <v>0</v>
      </c>
      <c r="AM85" s="85">
        <v>0</v>
      </c>
      <c r="AN85" s="85">
        <v>0</v>
      </c>
      <c r="AO85" s="85">
        <v>0</v>
      </c>
      <c r="AP85" s="85">
        <v>0</v>
      </c>
      <c r="AQ85" s="85">
        <v>0</v>
      </c>
    </row>
    <row r="86" spans="1:43" ht="14.25" customHeight="1" x14ac:dyDescent="0.25">
      <c r="A86" s="89" t="s">
        <v>163</v>
      </c>
      <c r="B86" s="85">
        <v>0</v>
      </c>
      <c r="C86" s="85">
        <v>0</v>
      </c>
      <c r="D86" s="85">
        <v>0</v>
      </c>
      <c r="E86" s="85">
        <v>0</v>
      </c>
      <c r="F86" s="85">
        <v>0</v>
      </c>
      <c r="G86" s="85">
        <v>0</v>
      </c>
      <c r="H86" s="85">
        <v>0</v>
      </c>
      <c r="I86" s="85">
        <v>0</v>
      </c>
      <c r="J86" s="85">
        <v>0</v>
      </c>
      <c r="K86" s="85">
        <v>0</v>
      </c>
      <c r="L86" s="85">
        <v>0</v>
      </c>
      <c r="M86" s="85">
        <v>0</v>
      </c>
      <c r="N86" s="85">
        <v>0</v>
      </c>
      <c r="O86" s="85">
        <v>0</v>
      </c>
      <c r="P86" s="85">
        <v>0</v>
      </c>
      <c r="Q86" s="85">
        <v>0</v>
      </c>
      <c r="R86" s="85">
        <v>0</v>
      </c>
      <c r="S86" s="85">
        <v>0</v>
      </c>
      <c r="T86" s="85">
        <v>0</v>
      </c>
      <c r="U86" s="85">
        <v>0</v>
      </c>
      <c r="V86" s="85">
        <v>0</v>
      </c>
      <c r="W86" s="85">
        <v>0</v>
      </c>
      <c r="X86" s="85">
        <v>0</v>
      </c>
      <c r="Y86" s="85">
        <v>0</v>
      </c>
      <c r="Z86" s="85">
        <v>0</v>
      </c>
      <c r="AA86" s="85">
        <v>0</v>
      </c>
      <c r="AB86" s="85">
        <v>0</v>
      </c>
      <c r="AC86" s="85">
        <v>0</v>
      </c>
      <c r="AD86" s="85">
        <v>0</v>
      </c>
      <c r="AE86" s="85">
        <v>0</v>
      </c>
      <c r="AF86" s="85">
        <v>0</v>
      </c>
      <c r="AG86" s="85">
        <v>0</v>
      </c>
      <c r="AH86" s="85">
        <v>0</v>
      </c>
      <c r="AI86" s="85">
        <v>0</v>
      </c>
      <c r="AJ86" s="85">
        <v>0</v>
      </c>
      <c r="AK86" s="85">
        <v>0</v>
      </c>
      <c r="AL86" s="85">
        <v>0</v>
      </c>
      <c r="AM86" s="85">
        <v>0</v>
      </c>
      <c r="AN86" s="85">
        <v>0</v>
      </c>
      <c r="AO86" s="85">
        <v>0</v>
      </c>
      <c r="AP86" s="85">
        <v>0</v>
      </c>
      <c r="AQ86" s="85">
        <v>0</v>
      </c>
    </row>
    <row r="87" spans="1:43" ht="14.25" customHeight="1" x14ac:dyDescent="0.25">
      <c r="A87" s="89" t="s">
        <v>164</v>
      </c>
      <c r="B87" s="85">
        <v>0</v>
      </c>
      <c r="C87" s="85">
        <v>0</v>
      </c>
      <c r="D87" s="85">
        <v>0</v>
      </c>
      <c r="E87" s="85">
        <v>0</v>
      </c>
      <c r="F87" s="85">
        <v>0</v>
      </c>
      <c r="G87" s="85">
        <v>0</v>
      </c>
      <c r="H87" s="85">
        <v>0</v>
      </c>
      <c r="I87" s="85">
        <v>0</v>
      </c>
      <c r="J87" s="85">
        <v>0</v>
      </c>
      <c r="K87" s="85">
        <v>0</v>
      </c>
      <c r="L87" s="85">
        <v>0</v>
      </c>
      <c r="M87" s="85">
        <v>0</v>
      </c>
      <c r="N87" s="85">
        <v>0</v>
      </c>
      <c r="O87" s="85">
        <v>0</v>
      </c>
      <c r="P87" s="85">
        <v>0</v>
      </c>
      <c r="Q87" s="85">
        <v>0</v>
      </c>
      <c r="R87" s="85">
        <v>0</v>
      </c>
      <c r="S87" s="85">
        <v>0</v>
      </c>
      <c r="T87" s="85">
        <v>0</v>
      </c>
      <c r="U87" s="85">
        <v>0</v>
      </c>
      <c r="V87" s="85">
        <v>0</v>
      </c>
      <c r="W87" s="85">
        <v>0</v>
      </c>
      <c r="X87" s="85">
        <v>0</v>
      </c>
      <c r="Y87" s="85">
        <v>0</v>
      </c>
      <c r="Z87" s="85">
        <v>0</v>
      </c>
      <c r="AA87" s="85">
        <v>0</v>
      </c>
      <c r="AB87" s="85">
        <v>0</v>
      </c>
      <c r="AC87" s="85">
        <v>0</v>
      </c>
      <c r="AD87" s="85">
        <v>0</v>
      </c>
      <c r="AE87" s="85">
        <v>0</v>
      </c>
      <c r="AF87" s="85">
        <v>0</v>
      </c>
      <c r="AG87" s="85">
        <v>0</v>
      </c>
      <c r="AH87" s="85">
        <v>0</v>
      </c>
      <c r="AI87" s="85">
        <v>0</v>
      </c>
      <c r="AJ87" s="85">
        <v>0</v>
      </c>
      <c r="AK87" s="85">
        <v>0</v>
      </c>
      <c r="AL87" s="85">
        <v>0</v>
      </c>
      <c r="AM87" s="85">
        <v>0</v>
      </c>
      <c r="AN87" s="85">
        <v>0</v>
      </c>
      <c r="AO87" s="85">
        <v>0</v>
      </c>
      <c r="AP87" s="85">
        <v>0</v>
      </c>
      <c r="AQ87" s="85">
        <v>0</v>
      </c>
    </row>
    <row r="88" spans="1:43" ht="14.25" customHeight="1" x14ac:dyDescent="0.25">
      <c r="A88" s="89" t="s">
        <v>297</v>
      </c>
      <c r="B88" s="85">
        <v>0</v>
      </c>
      <c r="C88" s="85">
        <v>0</v>
      </c>
      <c r="D88" s="85">
        <v>0</v>
      </c>
      <c r="E88" s="85">
        <v>0</v>
      </c>
      <c r="F88" s="85">
        <v>0</v>
      </c>
      <c r="G88" s="85">
        <v>0</v>
      </c>
      <c r="H88" s="85">
        <v>0</v>
      </c>
      <c r="I88" s="85">
        <v>0</v>
      </c>
      <c r="J88" s="85">
        <v>0</v>
      </c>
      <c r="K88" s="85">
        <v>0</v>
      </c>
      <c r="L88" s="85">
        <v>0</v>
      </c>
      <c r="M88" s="85">
        <v>0</v>
      </c>
      <c r="N88" s="85">
        <v>0</v>
      </c>
      <c r="O88" s="85">
        <v>0</v>
      </c>
      <c r="P88" s="85">
        <v>0</v>
      </c>
      <c r="Q88" s="85">
        <v>0</v>
      </c>
      <c r="R88" s="85">
        <v>0</v>
      </c>
      <c r="S88" s="85">
        <v>0</v>
      </c>
      <c r="T88" s="85">
        <v>0</v>
      </c>
      <c r="U88" s="85">
        <v>0</v>
      </c>
      <c r="V88" s="85">
        <v>0</v>
      </c>
      <c r="W88" s="85">
        <v>0</v>
      </c>
      <c r="X88" s="85">
        <v>0</v>
      </c>
      <c r="Y88" s="85">
        <v>0</v>
      </c>
      <c r="Z88" s="85">
        <v>0</v>
      </c>
      <c r="AA88" s="85">
        <v>0</v>
      </c>
      <c r="AB88" s="85">
        <v>0</v>
      </c>
      <c r="AC88" s="85">
        <v>0</v>
      </c>
      <c r="AD88" s="85">
        <v>0</v>
      </c>
      <c r="AE88" s="85">
        <v>0</v>
      </c>
      <c r="AF88" s="85">
        <v>0</v>
      </c>
      <c r="AG88" s="85">
        <v>0</v>
      </c>
      <c r="AH88" s="85">
        <v>0</v>
      </c>
      <c r="AI88" s="85">
        <v>0</v>
      </c>
      <c r="AJ88" s="85">
        <v>0</v>
      </c>
      <c r="AK88" s="85">
        <v>0</v>
      </c>
      <c r="AL88" s="85">
        <v>0</v>
      </c>
      <c r="AM88" s="85">
        <v>0</v>
      </c>
      <c r="AN88" s="85">
        <v>0</v>
      </c>
      <c r="AO88" s="85">
        <v>0</v>
      </c>
      <c r="AP88" s="85">
        <v>0</v>
      </c>
      <c r="AQ88" s="85">
        <v>0</v>
      </c>
    </row>
    <row r="89" spans="1:43" ht="14.25" customHeight="1" x14ac:dyDescent="0.25">
      <c r="A89" s="89" t="s">
        <v>165</v>
      </c>
      <c r="B89" s="85">
        <v>0</v>
      </c>
      <c r="C89" s="85">
        <v>0</v>
      </c>
      <c r="D89" s="85">
        <v>0</v>
      </c>
      <c r="E89" s="85">
        <v>0</v>
      </c>
      <c r="F89" s="85">
        <v>0</v>
      </c>
      <c r="G89" s="85">
        <v>0</v>
      </c>
      <c r="H89" s="85">
        <v>0</v>
      </c>
      <c r="I89" s="85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5">
        <v>0</v>
      </c>
      <c r="T89" s="85">
        <v>0</v>
      </c>
      <c r="U89" s="85">
        <v>0</v>
      </c>
      <c r="V89" s="85">
        <v>0</v>
      </c>
      <c r="W89" s="85">
        <v>0</v>
      </c>
      <c r="X89" s="85">
        <v>0</v>
      </c>
      <c r="Y89" s="85">
        <v>0</v>
      </c>
      <c r="Z89" s="85">
        <v>0</v>
      </c>
      <c r="AA89" s="85">
        <v>0</v>
      </c>
      <c r="AB89" s="85">
        <v>0</v>
      </c>
      <c r="AC89" s="85">
        <v>0</v>
      </c>
      <c r="AD89" s="85">
        <v>0</v>
      </c>
      <c r="AE89" s="85">
        <v>0</v>
      </c>
      <c r="AF89" s="85">
        <v>0</v>
      </c>
      <c r="AG89" s="85">
        <v>0</v>
      </c>
      <c r="AH89" s="85">
        <v>0</v>
      </c>
      <c r="AI89" s="85">
        <v>0</v>
      </c>
      <c r="AJ89" s="85">
        <v>0</v>
      </c>
      <c r="AK89" s="85">
        <v>0</v>
      </c>
      <c r="AL89" s="85">
        <v>0</v>
      </c>
      <c r="AM89" s="85">
        <v>0</v>
      </c>
      <c r="AN89" s="85">
        <v>0</v>
      </c>
      <c r="AO89" s="85">
        <v>0</v>
      </c>
      <c r="AP89" s="85">
        <v>0</v>
      </c>
      <c r="AQ89" s="85">
        <v>0</v>
      </c>
    </row>
    <row r="90" spans="1:43" ht="14.25" customHeight="1" x14ac:dyDescent="0.25">
      <c r="A90" s="89" t="s">
        <v>166</v>
      </c>
      <c r="B90" s="85">
        <v>0</v>
      </c>
      <c r="C90" s="85">
        <v>0</v>
      </c>
      <c r="D90" s="85">
        <v>0</v>
      </c>
      <c r="E90" s="85">
        <v>0</v>
      </c>
      <c r="F90" s="85">
        <v>0</v>
      </c>
      <c r="G90" s="85">
        <v>0</v>
      </c>
      <c r="H90" s="85">
        <v>0</v>
      </c>
      <c r="I90" s="85">
        <v>0</v>
      </c>
      <c r="J90" s="85">
        <v>0</v>
      </c>
      <c r="K90" s="85">
        <v>0</v>
      </c>
      <c r="L90" s="85">
        <v>0</v>
      </c>
      <c r="M90" s="85">
        <v>0</v>
      </c>
      <c r="N90" s="85">
        <v>0</v>
      </c>
      <c r="O90" s="85">
        <v>0</v>
      </c>
      <c r="P90" s="85">
        <v>0</v>
      </c>
      <c r="Q90" s="85">
        <v>0</v>
      </c>
      <c r="R90" s="85">
        <v>0</v>
      </c>
      <c r="S90" s="85">
        <v>0</v>
      </c>
      <c r="T90" s="85">
        <v>0</v>
      </c>
      <c r="U90" s="85">
        <v>0</v>
      </c>
      <c r="V90" s="85">
        <v>0</v>
      </c>
      <c r="W90" s="85">
        <v>0</v>
      </c>
      <c r="X90" s="85">
        <v>0</v>
      </c>
      <c r="Y90" s="85">
        <v>0</v>
      </c>
      <c r="Z90" s="85">
        <v>0</v>
      </c>
      <c r="AA90" s="85">
        <v>0</v>
      </c>
      <c r="AB90" s="85">
        <v>0</v>
      </c>
      <c r="AC90" s="85">
        <v>0</v>
      </c>
      <c r="AD90" s="85">
        <v>0</v>
      </c>
      <c r="AE90" s="85">
        <v>0</v>
      </c>
      <c r="AF90" s="85">
        <v>0</v>
      </c>
      <c r="AG90" s="85">
        <v>0</v>
      </c>
      <c r="AH90" s="85">
        <v>0</v>
      </c>
      <c r="AI90" s="85">
        <v>0</v>
      </c>
      <c r="AJ90" s="85">
        <v>0</v>
      </c>
      <c r="AK90" s="85">
        <v>0</v>
      </c>
      <c r="AL90" s="85">
        <v>0</v>
      </c>
      <c r="AM90" s="85">
        <v>0</v>
      </c>
      <c r="AN90" s="85">
        <v>0</v>
      </c>
      <c r="AO90" s="85">
        <v>0</v>
      </c>
      <c r="AP90" s="85">
        <v>0</v>
      </c>
      <c r="AQ90" s="85">
        <v>0</v>
      </c>
    </row>
    <row r="91" spans="1:43" ht="14.25" customHeight="1" x14ac:dyDescent="0.25">
      <c r="A91" s="89" t="s">
        <v>167</v>
      </c>
      <c r="B91" s="85">
        <v>0</v>
      </c>
      <c r="C91" s="85">
        <v>0</v>
      </c>
      <c r="D91" s="85">
        <v>0</v>
      </c>
      <c r="E91" s="85">
        <v>0</v>
      </c>
      <c r="F91" s="85">
        <v>0</v>
      </c>
      <c r="G91" s="85">
        <v>0</v>
      </c>
      <c r="H91" s="85">
        <v>0</v>
      </c>
      <c r="I91" s="85">
        <v>0</v>
      </c>
      <c r="J91" s="85">
        <v>0</v>
      </c>
      <c r="K91" s="85">
        <v>0</v>
      </c>
      <c r="L91" s="85">
        <v>0</v>
      </c>
      <c r="M91" s="85">
        <v>0</v>
      </c>
      <c r="N91" s="85">
        <v>0</v>
      </c>
      <c r="O91" s="85">
        <v>0</v>
      </c>
      <c r="P91" s="85">
        <v>0</v>
      </c>
      <c r="Q91" s="85">
        <v>0</v>
      </c>
      <c r="R91" s="85">
        <v>0</v>
      </c>
      <c r="S91" s="85">
        <v>0</v>
      </c>
      <c r="T91" s="85">
        <v>0</v>
      </c>
      <c r="U91" s="85">
        <v>0</v>
      </c>
      <c r="V91" s="85">
        <v>0</v>
      </c>
      <c r="W91" s="85">
        <v>0</v>
      </c>
      <c r="X91" s="85">
        <v>0</v>
      </c>
      <c r="Y91" s="85">
        <v>0</v>
      </c>
      <c r="Z91" s="85">
        <v>0</v>
      </c>
      <c r="AA91" s="85">
        <v>0</v>
      </c>
      <c r="AB91" s="85">
        <v>0</v>
      </c>
      <c r="AC91" s="85">
        <v>0</v>
      </c>
      <c r="AD91" s="85">
        <v>0</v>
      </c>
      <c r="AE91" s="85">
        <v>0</v>
      </c>
      <c r="AF91" s="85">
        <v>0</v>
      </c>
      <c r="AG91" s="85">
        <v>0</v>
      </c>
      <c r="AH91" s="85">
        <v>0</v>
      </c>
      <c r="AI91" s="85">
        <v>0</v>
      </c>
      <c r="AJ91" s="85">
        <v>0</v>
      </c>
      <c r="AK91" s="85">
        <v>0</v>
      </c>
      <c r="AL91" s="85">
        <v>0</v>
      </c>
      <c r="AM91" s="85">
        <v>0</v>
      </c>
      <c r="AN91" s="85">
        <v>0</v>
      </c>
      <c r="AO91" s="85">
        <v>0</v>
      </c>
      <c r="AP91" s="85">
        <v>0</v>
      </c>
      <c r="AQ91" s="85">
        <v>0</v>
      </c>
    </row>
    <row r="92" spans="1:43" ht="14.25" customHeight="1" x14ac:dyDescent="0.25">
      <c r="A92" s="89" t="s">
        <v>168</v>
      </c>
      <c r="B92" s="85">
        <v>0</v>
      </c>
      <c r="C92" s="85">
        <v>0</v>
      </c>
      <c r="D92" s="85">
        <v>0</v>
      </c>
      <c r="E92" s="85">
        <v>0</v>
      </c>
      <c r="F92" s="85">
        <v>0</v>
      </c>
      <c r="G92" s="85">
        <v>0</v>
      </c>
      <c r="H92" s="85">
        <v>0</v>
      </c>
      <c r="I92" s="85">
        <v>0</v>
      </c>
      <c r="J92" s="85">
        <v>0</v>
      </c>
      <c r="K92" s="85">
        <v>0</v>
      </c>
      <c r="L92" s="85">
        <v>0</v>
      </c>
      <c r="M92" s="85">
        <v>0</v>
      </c>
      <c r="N92" s="85">
        <v>0</v>
      </c>
      <c r="O92" s="85">
        <v>0</v>
      </c>
      <c r="P92" s="85">
        <v>0</v>
      </c>
      <c r="Q92" s="85">
        <v>0</v>
      </c>
      <c r="R92" s="85">
        <v>0</v>
      </c>
      <c r="S92" s="85">
        <v>0</v>
      </c>
      <c r="T92" s="85">
        <v>0</v>
      </c>
      <c r="U92" s="85">
        <v>0</v>
      </c>
      <c r="V92" s="85">
        <v>0</v>
      </c>
      <c r="W92" s="85">
        <v>0</v>
      </c>
      <c r="X92" s="85">
        <v>0</v>
      </c>
      <c r="Y92" s="85">
        <v>0</v>
      </c>
      <c r="Z92" s="85">
        <v>0</v>
      </c>
      <c r="AA92" s="85">
        <v>0</v>
      </c>
      <c r="AB92" s="85">
        <v>0</v>
      </c>
      <c r="AC92" s="85">
        <v>0</v>
      </c>
      <c r="AD92" s="85">
        <v>0</v>
      </c>
      <c r="AE92" s="85">
        <v>0</v>
      </c>
      <c r="AF92" s="85">
        <v>0</v>
      </c>
      <c r="AG92" s="85">
        <v>0</v>
      </c>
      <c r="AH92" s="85">
        <v>0</v>
      </c>
      <c r="AI92" s="85">
        <v>0</v>
      </c>
      <c r="AJ92" s="85">
        <v>0</v>
      </c>
      <c r="AK92" s="85">
        <v>0</v>
      </c>
      <c r="AL92" s="85">
        <v>0</v>
      </c>
      <c r="AM92" s="85">
        <v>0</v>
      </c>
      <c r="AN92" s="85">
        <v>0</v>
      </c>
      <c r="AO92" s="85">
        <v>0</v>
      </c>
      <c r="AP92" s="85">
        <v>0</v>
      </c>
      <c r="AQ92" s="85">
        <v>0</v>
      </c>
    </row>
    <row r="93" spans="1:43" ht="14.25" customHeight="1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85">
        <v>0</v>
      </c>
      <c r="AH93" s="85">
        <v>0</v>
      </c>
      <c r="AI93" s="85">
        <v>0</v>
      </c>
      <c r="AJ93" s="85">
        <v>0</v>
      </c>
      <c r="AK93" s="85">
        <v>0</v>
      </c>
      <c r="AL93" s="85">
        <v>0</v>
      </c>
      <c r="AM93" s="85">
        <v>0</v>
      </c>
      <c r="AN93" s="85">
        <v>0</v>
      </c>
      <c r="AO93" s="85">
        <v>0</v>
      </c>
      <c r="AP93" s="85">
        <v>0</v>
      </c>
      <c r="AQ93" s="85">
        <v>0</v>
      </c>
    </row>
    <row r="94" spans="1:43" ht="14.25" customHeight="1" x14ac:dyDescent="0.25">
      <c r="A94" s="89" t="s">
        <v>492</v>
      </c>
      <c r="B94" s="85">
        <v>0</v>
      </c>
      <c r="C94" s="85">
        <v>0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85">
        <v>0</v>
      </c>
      <c r="M94" s="85">
        <v>0</v>
      </c>
      <c r="N94" s="85">
        <v>0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0</v>
      </c>
      <c r="V94" s="85">
        <v>0</v>
      </c>
      <c r="W94" s="85">
        <v>0</v>
      </c>
      <c r="X94" s="85">
        <v>0</v>
      </c>
      <c r="Y94" s="85">
        <v>0</v>
      </c>
      <c r="Z94" s="85">
        <v>0</v>
      </c>
      <c r="AA94" s="85">
        <v>0</v>
      </c>
      <c r="AB94" s="85">
        <v>0</v>
      </c>
      <c r="AC94" s="85">
        <v>0</v>
      </c>
      <c r="AD94" s="85">
        <v>0</v>
      </c>
      <c r="AE94" s="85">
        <v>0</v>
      </c>
      <c r="AF94" s="85">
        <v>0</v>
      </c>
      <c r="AG94" s="85">
        <v>0</v>
      </c>
      <c r="AH94" s="85">
        <v>0</v>
      </c>
      <c r="AI94" s="85">
        <v>0</v>
      </c>
      <c r="AJ94" s="85">
        <v>0</v>
      </c>
      <c r="AK94" s="85">
        <v>0</v>
      </c>
      <c r="AL94" s="85">
        <v>0</v>
      </c>
      <c r="AM94" s="85">
        <v>0</v>
      </c>
      <c r="AN94" s="85">
        <v>0</v>
      </c>
      <c r="AO94" s="85">
        <v>0</v>
      </c>
      <c r="AP94" s="85">
        <v>0</v>
      </c>
      <c r="AQ94" s="85">
        <v>0</v>
      </c>
    </row>
    <row r="95" spans="1:43" ht="14.25" customHeight="1" x14ac:dyDescent="0.25">
      <c r="A95" s="89"/>
      <c r="B95" s="85">
        <v>0</v>
      </c>
      <c r="C95" s="85">
        <v>0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5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0</v>
      </c>
      <c r="R95" s="85">
        <v>0</v>
      </c>
      <c r="S95" s="85">
        <v>0</v>
      </c>
      <c r="T95" s="85">
        <v>0</v>
      </c>
      <c r="U95" s="85">
        <v>0</v>
      </c>
      <c r="V95" s="85">
        <v>0</v>
      </c>
      <c r="W95" s="85">
        <v>0</v>
      </c>
      <c r="X95" s="85">
        <v>0</v>
      </c>
      <c r="Y95" s="85">
        <v>0</v>
      </c>
      <c r="Z95" s="85">
        <v>0</v>
      </c>
      <c r="AA95" s="85">
        <v>0</v>
      </c>
      <c r="AB95" s="85">
        <v>0</v>
      </c>
      <c r="AC95" s="85">
        <v>0</v>
      </c>
      <c r="AD95" s="85">
        <v>0</v>
      </c>
      <c r="AE95" s="85">
        <v>0</v>
      </c>
      <c r="AF95" s="85">
        <v>0</v>
      </c>
      <c r="AG95" s="85">
        <v>0</v>
      </c>
      <c r="AH95" s="85">
        <v>0</v>
      </c>
      <c r="AI95" s="85">
        <v>0</v>
      </c>
      <c r="AJ95" s="85">
        <v>0</v>
      </c>
      <c r="AK95" s="85">
        <v>0</v>
      </c>
      <c r="AL95" s="85">
        <v>0</v>
      </c>
      <c r="AM95" s="85">
        <v>0</v>
      </c>
      <c r="AN95" s="85">
        <v>0</v>
      </c>
      <c r="AO95" s="85">
        <v>0</v>
      </c>
      <c r="AP95" s="85">
        <v>0</v>
      </c>
      <c r="AQ95" s="85">
        <v>0</v>
      </c>
    </row>
    <row r="96" spans="1:43" ht="14.25" customHeight="1" x14ac:dyDescent="0.25">
      <c r="A96" s="89"/>
      <c r="B96" s="85">
        <v>0</v>
      </c>
      <c r="C96" s="85">
        <v>0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5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5">
        <v>0</v>
      </c>
      <c r="T96" s="85">
        <v>0</v>
      </c>
      <c r="U96" s="85">
        <v>0</v>
      </c>
      <c r="V96" s="85">
        <v>0</v>
      </c>
      <c r="W96" s="85">
        <v>0</v>
      </c>
      <c r="X96" s="85">
        <v>0</v>
      </c>
      <c r="Y96" s="85">
        <v>0</v>
      </c>
      <c r="Z96" s="85">
        <v>0</v>
      </c>
      <c r="AA96" s="85">
        <v>0</v>
      </c>
      <c r="AB96" s="85">
        <v>0</v>
      </c>
      <c r="AC96" s="85">
        <v>0</v>
      </c>
      <c r="AD96" s="85">
        <v>0</v>
      </c>
      <c r="AE96" s="85">
        <v>0</v>
      </c>
      <c r="AF96" s="85">
        <v>0</v>
      </c>
      <c r="AG96" s="85">
        <v>0</v>
      </c>
      <c r="AH96" s="85">
        <v>0</v>
      </c>
      <c r="AI96" s="85">
        <v>0</v>
      </c>
      <c r="AJ96" s="85">
        <v>0</v>
      </c>
      <c r="AK96" s="85">
        <v>0</v>
      </c>
      <c r="AL96" s="85">
        <v>0</v>
      </c>
      <c r="AM96" s="85">
        <v>0</v>
      </c>
      <c r="AN96" s="85">
        <v>0</v>
      </c>
      <c r="AO96" s="85">
        <v>0</v>
      </c>
      <c r="AP96" s="85">
        <v>0</v>
      </c>
      <c r="AQ96" s="85">
        <v>0</v>
      </c>
    </row>
    <row r="97" spans="1:43" ht="14.25" customHeight="1" x14ac:dyDescent="0.25">
      <c r="A97" s="89"/>
      <c r="B97" s="85">
        <v>0</v>
      </c>
      <c r="C97" s="85">
        <v>0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5">
        <v>0</v>
      </c>
      <c r="J97" s="85">
        <v>0</v>
      </c>
      <c r="K97" s="85">
        <v>0</v>
      </c>
      <c r="L97" s="85">
        <v>0</v>
      </c>
      <c r="M97" s="85">
        <v>0</v>
      </c>
      <c r="N97" s="85">
        <v>0</v>
      </c>
      <c r="O97" s="85">
        <v>0</v>
      </c>
      <c r="P97" s="85">
        <v>0</v>
      </c>
      <c r="Q97" s="85">
        <v>0</v>
      </c>
      <c r="R97" s="85">
        <v>0</v>
      </c>
      <c r="S97" s="85">
        <v>0</v>
      </c>
      <c r="T97" s="85">
        <v>0</v>
      </c>
      <c r="U97" s="85">
        <v>0</v>
      </c>
      <c r="V97" s="85">
        <v>0</v>
      </c>
      <c r="W97" s="85">
        <v>0</v>
      </c>
      <c r="X97" s="85">
        <v>0</v>
      </c>
      <c r="Y97" s="85">
        <v>0</v>
      </c>
      <c r="Z97" s="85">
        <v>0</v>
      </c>
      <c r="AA97" s="85">
        <v>0</v>
      </c>
      <c r="AB97" s="85">
        <v>0</v>
      </c>
      <c r="AC97" s="85">
        <v>0</v>
      </c>
      <c r="AD97" s="85">
        <v>0</v>
      </c>
      <c r="AE97" s="85">
        <v>0</v>
      </c>
      <c r="AF97" s="85">
        <v>0</v>
      </c>
      <c r="AG97" s="85">
        <v>0</v>
      </c>
      <c r="AH97" s="85">
        <v>0</v>
      </c>
      <c r="AI97" s="85">
        <v>0</v>
      </c>
      <c r="AJ97" s="85">
        <v>0</v>
      </c>
      <c r="AK97" s="85">
        <v>0</v>
      </c>
      <c r="AL97" s="85">
        <v>0</v>
      </c>
      <c r="AM97" s="85">
        <v>0</v>
      </c>
      <c r="AN97" s="85">
        <v>0</v>
      </c>
      <c r="AO97" s="85">
        <v>0</v>
      </c>
      <c r="AP97" s="85">
        <v>0</v>
      </c>
      <c r="AQ97" s="85">
        <v>0</v>
      </c>
    </row>
    <row r="98" spans="1:43" ht="14.25" customHeight="1" x14ac:dyDescent="0.25">
      <c r="A98" s="89"/>
      <c r="B98" s="85">
        <v>0</v>
      </c>
      <c r="C98" s="85">
        <v>0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0</v>
      </c>
      <c r="P98" s="85">
        <v>0</v>
      </c>
      <c r="Q98" s="85">
        <v>0</v>
      </c>
      <c r="R98" s="85">
        <v>0</v>
      </c>
      <c r="S98" s="85">
        <v>0</v>
      </c>
      <c r="T98" s="85">
        <v>0</v>
      </c>
      <c r="U98" s="85">
        <v>0</v>
      </c>
      <c r="V98" s="85">
        <v>0</v>
      </c>
      <c r="W98" s="85">
        <v>0</v>
      </c>
      <c r="X98" s="85">
        <v>0</v>
      </c>
      <c r="Y98" s="85">
        <v>0</v>
      </c>
      <c r="Z98" s="85">
        <v>0</v>
      </c>
      <c r="AA98" s="85">
        <v>0</v>
      </c>
      <c r="AB98" s="85">
        <v>0</v>
      </c>
      <c r="AC98" s="85">
        <v>0</v>
      </c>
      <c r="AD98" s="85">
        <v>0</v>
      </c>
      <c r="AE98" s="85">
        <v>0</v>
      </c>
      <c r="AF98" s="85">
        <v>0</v>
      </c>
      <c r="AG98" s="85">
        <v>0</v>
      </c>
      <c r="AH98" s="85">
        <v>0</v>
      </c>
      <c r="AI98" s="85">
        <v>0</v>
      </c>
      <c r="AJ98" s="85">
        <v>0</v>
      </c>
      <c r="AK98" s="85">
        <v>0</v>
      </c>
      <c r="AL98" s="85">
        <v>0</v>
      </c>
      <c r="AM98" s="85">
        <v>0</v>
      </c>
      <c r="AN98" s="85">
        <v>0</v>
      </c>
      <c r="AO98" s="85">
        <v>0</v>
      </c>
      <c r="AP98" s="85">
        <v>0</v>
      </c>
      <c r="AQ98" s="85">
        <v>0</v>
      </c>
    </row>
    <row r="101" spans="1:43" ht="14.25" hidden="1" customHeight="1" x14ac:dyDescent="0.25">
      <c r="B101" s="619" t="s">
        <v>1</v>
      </c>
      <c r="C101" s="619"/>
      <c r="D101" s="619"/>
      <c r="E101" s="619"/>
      <c r="F101" s="619"/>
      <c r="H101" s="619" t="s">
        <v>1</v>
      </c>
      <c r="I101" s="619"/>
      <c r="J101" s="619"/>
      <c r="K101" s="619"/>
      <c r="L101" s="619"/>
    </row>
    <row r="102" spans="1:43" ht="14.25" hidden="1" customHeight="1" x14ac:dyDescent="0.25">
      <c r="B102" s="618" t="s">
        <v>479</v>
      </c>
      <c r="C102" s="618"/>
      <c r="D102" s="618"/>
      <c r="E102" s="618"/>
      <c r="F102" s="618"/>
      <c r="H102" s="617" t="s">
        <v>480</v>
      </c>
      <c r="I102" s="617"/>
      <c r="J102" s="617"/>
      <c r="K102" s="617"/>
      <c r="L102" s="617"/>
    </row>
    <row r="103" spans="1:43" ht="14.25" hidden="1" customHeight="1" x14ac:dyDescent="0.25">
      <c r="B103" s="84" t="s">
        <v>481</v>
      </c>
      <c r="C103" s="615" t="str">
        <f>'Comparison Tool'!C21</f>
        <v>Tishtrya</v>
      </c>
      <c r="D103" s="615"/>
      <c r="E103" s="85" t="e">
        <f>MATCH(C103,A107:A148,0)</f>
        <v>#N/A</v>
      </c>
      <c r="F103" s="84" t="s">
        <v>482</v>
      </c>
      <c r="H103" s="84" t="s">
        <v>481</v>
      </c>
      <c r="I103" s="615" t="str">
        <f>'Comparison Tool'!C28</f>
        <v>Tishtrya</v>
      </c>
      <c r="J103" s="615"/>
      <c r="K103" s="85" t="e">
        <f>MATCH(I103,A107:A148,0)</f>
        <v>#N/A</v>
      </c>
      <c r="L103" s="84" t="s">
        <v>482</v>
      </c>
    </row>
    <row r="104" spans="1:43" ht="14.25" hidden="1" customHeight="1" x14ac:dyDescent="0.25">
      <c r="B104" s="84" t="s">
        <v>483</v>
      </c>
      <c r="C104" s="615" t="str">
        <f>'Comparison Tool'!C23</f>
        <v>Hermes</v>
      </c>
      <c r="D104" s="615"/>
      <c r="E104" s="85">
        <f>MATCH(C104,B106:AQ106,0)</f>
        <v>3</v>
      </c>
      <c r="F104" s="84" t="s">
        <v>484</v>
      </c>
      <c r="H104" s="84" t="s">
        <v>483</v>
      </c>
      <c r="I104" s="615" t="str">
        <f>'Comparison Tool'!C30</f>
        <v>Rostam</v>
      </c>
      <c r="J104" s="615"/>
      <c r="K104" s="85" t="e">
        <f>MATCH(I104,B106:AQ106,0)</f>
        <v>#N/A</v>
      </c>
      <c r="L104" s="84" t="s">
        <v>484</v>
      </c>
    </row>
    <row r="105" spans="1:43" ht="14.25" hidden="1" customHeight="1" x14ac:dyDescent="0.25">
      <c r="B105" s="86"/>
      <c r="C105" s="616" t="s">
        <v>485</v>
      </c>
      <c r="D105" s="616"/>
      <c r="E105" s="83" t="e">
        <f>INDEX(B107:AQ148,E104,E103)</f>
        <v>#N/A</v>
      </c>
      <c r="H105" s="86"/>
      <c r="I105" s="616" t="s">
        <v>485</v>
      </c>
      <c r="J105" s="616"/>
      <c r="K105" s="83" t="e">
        <f>INDEX(B107:AQ148,K104,K103)</f>
        <v>#N/A</v>
      </c>
    </row>
    <row r="106" spans="1:43" ht="83.25" customHeight="1" x14ac:dyDescent="0.25">
      <c r="A106" s="91" t="s">
        <v>488</v>
      </c>
      <c r="B106" s="88" t="s">
        <v>111</v>
      </c>
      <c r="C106" s="88" t="s">
        <v>112</v>
      </c>
      <c r="D106" s="88" t="s">
        <v>206</v>
      </c>
      <c r="E106" s="88" t="s">
        <v>113</v>
      </c>
      <c r="F106" s="88" t="s">
        <v>114</v>
      </c>
      <c r="G106" s="88" t="s">
        <v>116</v>
      </c>
      <c r="H106" s="88" t="s">
        <v>115</v>
      </c>
      <c r="I106" s="88" t="s">
        <v>208</v>
      </c>
      <c r="J106" s="88" t="s">
        <v>117</v>
      </c>
      <c r="K106" s="88" t="s">
        <v>118</v>
      </c>
      <c r="L106" s="88" t="s">
        <v>119</v>
      </c>
      <c r="M106" s="88" t="s">
        <v>120</v>
      </c>
      <c r="N106" s="88" t="s">
        <v>121</v>
      </c>
      <c r="O106" s="88" t="s">
        <v>122</v>
      </c>
      <c r="P106" s="88" t="s">
        <v>123</v>
      </c>
      <c r="Q106" s="88" t="s">
        <v>124</v>
      </c>
      <c r="R106" s="88" t="s">
        <v>125</v>
      </c>
      <c r="S106" s="88" t="s">
        <v>126</v>
      </c>
      <c r="T106" s="88" t="s">
        <v>128</v>
      </c>
      <c r="U106" s="88" t="s">
        <v>304</v>
      </c>
      <c r="V106" s="88" t="s">
        <v>94</v>
      </c>
      <c r="W106" s="88" t="s">
        <v>286</v>
      </c>
      <c r="X106" s="88" t="s">
        <v>127</v>
      </c>
      <c r="Y106" s="88" t="s">
        <v>129</v>
      </c>
      <c r="Z106" s="88" t="s">
        <v>131</v>
      </c>
      <c r="AA106" s="88" t="s">
        <v>130</v>
      </c>
      <c r="AB106" s="88" t="s">
        <v>132</v>
      </c>
      <c r="AC106" s="88" t="s">
        <v>133</v>
      </c>
      <c r="AD106" s="88" t="s">
        <v>134</v>
      </c>
      <c r="AE106" s="88" t="s">
        <v>135</v>
      </c>
      <c r="AF106" s="88" t="s">
        <v>137</v>
      </c>
      <c r="AG106" s="88" t="s">
        <v>166</v>
      </c>
      <c r="AH106" s="88" t="s">
        <v>334</v>
      </c>
      <c r="AI106" s="88" t="s">
        <v>136</v>
      </c>
      <c r="AJ106" s="88" t="s">
        <v>108</v>
      </c>
      <c r="AK106" s="88"/>
      <c r="AL106" s="88"/>
      <c r="AM106" s="88"/>
      <c r="AN106" s="88"/>
      <c r="AO106" s="88"/>
      <c r="AP106" s="88"/>
      <c r="AQ106" s="88"/>
    </row>
    <row r="107" spans="1:43" ht="14.25" customHeight="1" x14ac:dyDescent="0.25">
      <c r="A107" s="89" t="s">
        <v>111</v>
      </c>
      <c r="B107" s="85">
        <v>0</v>
      </c>
      <c r="C107" s="85">
        <v>0</v>
      </c>
      <c r="D107" s="85">
        <v>0</v>
      </c>
      <c r="E107" s="85">
        <v>0</v>
      </c>
      <c r="F107" s="85">
        <v>0</v>
      </c>
      <c r="G107" s="85">
        <v>0</v>
      </c>
      <c r="H107" s="85">
        <v>0</v>
      </c>
      <c r="I107" s="85">
        <v>0</v>
      </c>
      <c r="J107" s="85">
        <v>0</v>
      </c>
      <c r="K107" s="85">
        <v>0</v>
      </c>
      <c r="L107" s="85">
        <v>0</v>
      </c>
      <c r="M107" s="85">
        <v>0</v>
      </c>
      <c r="N107" s="85">
        <v>0</v>
      </c>
      <c r="O107" s="85">
        <v>0</v>
      </c>
      <c r="P107" s="85">
        <v>0</v>
      </c>
      <c r="Q107" s="85">
        <v>0</v>
      </c>
      <c r="R107" s="85">
        <v>0</v>
      </c>
      <c r="S107" s="85">
        <v>0</v>
      </c>
      <c r="T107" s="85">
        <v>0</v>
      </c>
      <c r="U107" s="85">
        <v>0</v>
      </c>
      <c r="V107" s="85">
        <v>0</v>
      </c>
      <c r="W107" s="85">
        <v>0</v>
      </c>
      <c r="X107" s="85">
        <v>0</v>
      </c>
      <c r="Y107" s="85">
        <v>0</v>
      </c>
      <c r="Z107" s="85">
        <v>0</v>
      </c>
      <c r="AA107" s="85">
        <v>0</v>
      </c>
      <c r="AB107" s="85">
        <v>0</v>
      </c>
      <c r="AC107" s="85">
        <v>0</v>
      </c>
      <c r="AD107" s="85">
        <v>0</v>
      </c>
      <c r="AE107" s="85">
        <v>0</v>
      </c>
      <c r="AF107" s="85">
        <v>0</v>
      </c>
      <c r="AG107" s="85">
        <v>0</v>
      </c>
      <c r="AH107" s="85">
        <v>0</v>
      </c>
      <c r="AI107" s="85">
        <v>0</v>
      </c>
      <c r="AJ107" s="85">
        <v>0</v>
      </c>
      <c r="AK107" s="85">
        <v>0</v>
      </c>
      <c r="AL107" s="85">
        <v>0</v>
      </c>
      <c r="AM107" s="85">
        <v>0</v>
      </c>
      <c r="AN107" s="85">
        <v>0</v>
      </c>
      <c r="AO107" s="85">
        <v>0</v>
      </c>
      <c r="AP107" s="85">
        <v>0</v>
      </c>
      <c r="AQ107" s="85">
        <v>0</v>
      </c>
    </row>
    <row r="108" spans="1:43" ht="14.25" customHeight="1" x14ac:dyDescent="0.25">
      <c r="A108" s="89" t="s">
        <v>112</v>
      </c>
      <c r="B108" s="85">
        <v>0</v>
      </c>
      <c r="C108" s="85">
        <v>0</v>
      </c>
      <c r="D108" s="85">
        <v>0</v>
      </c>
      <c r="E108" s="85">
        <v>0</v>
      </c>
      <c r="F108" s="85">
        <v>0</v>
      </c>
      <c r="G108" s="85">
        <v>0</v>
      </c>
      <c r="H108" s="85">
        <v>0</v>
      </c>
      <c r="I108" s="85">
        <v>0</v>
      </c>
      <c r="J108" s="85">
        <v>0</v>
      </c>
      <c r="K108" s="85">
        <v>0</v>
      </c>
      <c r="L108" s="85">
        <v>0</v>
      </c>
      <c r="M108" s="85">
        <v>0</v>
      </c>
      <c r="N108" s="85">
        <v>0</v>
      </c>
      <c r="O108" s="85">
        <v>0</v>
      </c>
      <c r="P108" s="85">
        <v>0</v>
      </c>
      <c r="Q108" s="85">
        <v>0</v>
      </c>
      <c r="R108" s="85">
        <v>0</v>
      </c>
      <c r="S108" s="85">
        <v>0</v>
      </c>
      <c r="T108" s="85">
        <v>0</v>
      </c>
      <c r="U108" s="85">
        <v>0</v>
      </c>
      <c r="V108" s="85">
        <v>0</v>
      </c>
      <c r="W108" s="85">
        <v>0</v>
      </c>
      <c r="X108" s="85">
        <v>0</v>
      </c>
      <c r="Y108" s="85">
        <v>0</v>
      </c>
      <c r="Z108" s="85">
        <v>0</v>
      </c>
      <c r="AA108" s="85">
        <v>0</v>
      </c>
      <c r="AB108" s="85">
        <v>0</v>
      </c>
      <c r="AC108" s="85">
        <v>0</v>
      </c>
      <c r="AD108" s="85">
        <v>0</v>
      </c>
      <c r="AE108" s="85">
        <v>0</v>
      </c>
      <c r="AF108" s="85">
        <v>0</v>
      </c>
      <c r="AG108" s="85">
        <v>0</v>
      </c>
      <c r="AH108" s="85">
        <v>0</v>
      </c>
      <c r="AI108" s="85">
        <v>0</v>
      </c>
      <c r="AJ108" s="85">
        <v>0</v>
      </c>
      <c r="AK108" s="85">
        <v>0</v>
      </c>
      <c r="AL108" s="85">
        <v>0</v>
      </c>
      <c r="AM108" s="85">
        <v>0</v>
      </c>
      <c r="AN108" s="85">
        <v>0</v>
      </c>
      <c r="AO108" s="85">
        <v>0</v>
      </c>
      <c r="AP108" s="85">
        <v>0</v>
      </c>
      <c r="AQ108" s="85">
        <v>0</v>
      </c>
    </row>
    <row r="109" spans="1:43" ht="14.25" customHeight="1" x14ac:dyDescent="0.25">
      <c r="A109" s="89" t="s">
        <v>206</v>
      </c>
      <c r="B109" s="85">
        <v>0</v>
      </c>
      <c r="C109" s="85">
        <v>0</v>
      </c>
      <c r="D109" s="85">
        <v>0</v>
      </c>
      <c r="E109" s="85">
        <v>0</v>
      </c>
      <c r="F109" s="85">
        <v>0</v>
      </c>
      <c r="G109" s="85">
        <v>0</v>
      </c>
      <c r="H109" s="85">
        <v>0</v>
      </c>
      <c r="I109" s="85">
        <v>0</v>
      </c>
      <c r="J109" s="85">
        <v>0</v>
      </c>
      <c r="K109" s="85">
        <v>0</v>
      </c>
      <c r="L109" s="85">
        <v>0</v>
      </c>
      <c r="M109" s="85">
        <v>0</v>
      </c>
      <c r="N109" s="85">
        <v>0</v>
      </c>
      <c r="O109" s="85">
        <v>0</v>
      </c>
      <c r="P109" s="85">
        <v>0</v>
      </c>
      <c r="Q109" s="85">
        <v>0</v>
      </c>
      <c r="R109" s="85">
        <v>0</v>
      </c>
      <c r="S109" s="85">
        <v>0</v>
      </c>
      <c r="T109" s="85">
        <v>0</v>
      </c>
      <c r="U109" s="85">
        <v>0</v>
      </c>
      <c r="V109" s="85">
        <v>0</v>
      </c>
      <c r="W109" s="85">
        <v>0</v>
      </c>
      <c r="X109" s="85">
        <v>0</v>
      </c>
      <c r="Y109" s="85">
        <v>0</v>
      </c>
      <c r="Z109" s="85">
        <v>0</v>
      </c>
      <c r="AA109" s="85">
        <v>0</v>
      </c>
      <c r="AB109" s="85">
        <v>0</v>
      </c>
      <c r="AC109" s="85">
        <v>0</v>
      </c>
      <c r="AD109" s="85">
        <v>0</v>
      </c>
      <c r="AE109" s="85">
        <v>0</v>
      </c>
      <c r="AF109" s="85">
        <v>0</v>
      </c>
      <c r="AG109" s="85">
        <v>0</v>
      </c>
      <c r="AH109" s="85">
        <v>0</v>
      </c>
      <c r="AI109" s="85">
        <v>0</v>
      </c>
      <c r="AJ109" s="85">
        <v>0</v>
      </c>
      <c r="AK109" s="85">
        <v>0</v>
      </c>
      <c r="AL109" s="85">
        <v>0</v>
      </c>
      <c r="AM109" s="85">
        <v>0</v>
      </c>
      <c r="AN109" s="85">
        <v>0</v>
      </c>
      <c r="AO109" s="85">
        <v>0</v>
      </c>
      <c r="AP109" s="85">
        <v>0</v>
      </c>
      <c r="AQ109" s="85">
        <v>0</v>
      </c>
    </row>
    <row r="110" spans="1:43" ht="14.25" customHeight="1" x14ac:dyDescent="0.25">
      <c r="A110" s="89" t="s">
        <v>113</v>
      </c>
      <c r="B110" s="85">
        <v>0</v>
      </c>
      <c r="C110" s="85">
        <v>0</v>
      </c>
      <c r="D110" s="85">
        <v>0</v>
      </c>
      <c r="E110" s="85">
        <v>0</v>
      </c>
      <c r="F110" s="85">
        <v>0</v>
      </c>
      <c r="G110" s="85">
        <v>0</v>
      </c>
      <c r="H110" s="85">
        <v>0</v>
      </c>
      <c r="I110" s="85">
        <v>0</v>
      </c>
      <c r="J110" s="85">
        <v>0</v>
      </c>
      <c r="K110" s="85">
        <v>0</v>
      </c>
      <c r="L110" s="85">
        <v>0</v>
      </c>
      <c r="M110" s="85">
        <v>0</v>
      </c>
      <c r="N110" s="85">
        <v>0</v>
      </c>
      <c r="O110" s="85">
        <v>0</v>
      </c>
      <c r="P110" s="85">
        <v>0</v>
      </c>
      <c r="Q110" s="85">
        <v>0</v>
      </c>
      <c r="R110" s="85">
        <v>0</v>
      </c>
      <c r="S110" s="85">
        <v>0</v>
      </c>
      <c r="T110" s="85">
        <v>0</v>
      </c>
      <c r="U110" s="85">
        <v>0</v>
      </c>
      <c r="V110" s="85">
        <v>0</v>
      </c>
      <c r="W110" s="85">
        <v>0</v>
      </c>
      <c r="X110" s="85">
        <v>0</v>
      </c>
      <c r="Y110" s="85">
        <v>0</v>
      </c>
      <c r="Z110" s="85">
        <v>0</v>
      </c>
      <c r="AA110" s="85">
        <v>0</v>
      </c>
      <c r="AB110" s="85">
        <v>0</v>
      </c>
      <c r="AC110" s="85">
        <v>0</v>
      </c>
      <c r="AD110" s="85">
        <v>0</v>
      </c>
      <c r="AE110" s="85">
        <v>0</v>
      </c>
      <c r="AF110" s="85">
        <v>0</v>
      </c>
      <c r="AG110" s="85">
        <v>0</v>
      </c>
      <c r="AH110" s="85">
        <v>0</v>
      </c>
      <c r="AI110" s="85">
        <v>0</v>
      </c>
      <c r="AJ110" s="85">
        <v>0</v>
      </c>
      <c r="AK110" s="85">
        <v>0</v>
      </c>
      <c r="AL110" s="85">
        <v>0</v>
      </c>
      <c r="AM110" s="85">
        <v>0</v>
      </c>
      <c r="AN110" s="85">
        <v>0</v>
      </c>
      <c r="AO110" s="85">
        <v>0</v>
      </c>
      <c r="AP110" s="85">
        <v>0</v>
      </c>
      <c r="AQ110" s="85">
        <v>0</v>
      </c>
    </row>
    <row r="111" spans="1:43" ht="14.25" customHeight="1" x14ac:dyDescent="0.25">
      <c r="A111" s="89" t="s">
        <v>114</v>
      </c>
      <c r="B111" s="85">
        <v>0</v>
      </c>
      <c r="C111" s="85">
        <v>0</v>
      </c>
      <c r="D111" s="85">
        <v>0</v>
      </c>
      <c r="E111" s="85">
        <v>0</v>
      </c>
      <c r="F111" s="85">
        <v>0</v>
      </c>
      <c r="G111" s="85">
        <v>0</v>
      </c>
      <c r="H111" s="85">
        <v>0</v>
      </c>
      <c r="I111" s="85">
        <v>0</v>
      </c>
      <c r="J111" s="85">
        <v>0</v>
      </c>
      <c r="K111" s="85">
        <v>0</v>
      </c>
      <c r="L111" s="85">
        <v>0</v>
      </c>
      <c r="M111" s="85">
        <v>0</v>
      </c>
      <c r="N111" s="85">
        <v>0</v>
      </c>
      <c r="O111" s="85">
        <v>0</v>
      </c>
      <c r="P111" s="85">
        <v>0</v>
      </c>
      <c r="Q111" s="85">
        <v>0</v>
      </c>
      <c r="R111" s="85">
        <v>0</v>
      </c>
      <c r="S111" s="85">
        <v>0</v>
      </c>
      <c r="T111" s="85">
        <v>0</v>
      </c>
      <c r="U111" s="85">
        <v>0</v>
      </c>
      <c r="V111" s="85">
        <v>0</v>
      </c>
      <c r="W111" s="85">
        <v>0</v>
      </c>
      <c r="X111" s="85">
        <v>0</v>
      </c>
      <c r="Y111" s="85">
        <v>0</v>
      </c>
      <c r="Z111" s="85">
        <v>0</v>
      </c>
      <c r="AA111" s="85">
        <v>0</v>
      </c>
      <c r="AB111" s="85">
        <v>0</v>
      </c>
      <c r="AC111" s="85">
        <v>0</v>
      </c>
      <c r="AD111" s="85">
        <v>0</v>
      </c>
      <c r="AE111" s="85">
        <v>0</v>
      </c>
      <c r="AF111" s="85">
        <v>0</v>
      </c>
      <c r="AG111" s="85">
        <v>0</v>
      </c>
      <c r="AH111" s="85">
        <v>0</v>
      </c>
      <c r="AI111" s="85">
        <v>0</v>
      </c>
      <c r="AJ111" s="85">
        <v>0</v>
      </c>
      <c r="AK111" s="85">
        <v>0</v>
      </c>
      <c r="AL111" s="85">
        <v>0</v>
      </c>
      <c r="AM111" s="85">
        <v>0</v>
      </c>
      <c r="AN111" s="85">
        <v>0</v>
      </c>
      <c r="AO111" s="85">
        <v>0</v>
      </c>
      <c r="AP111" s="85">
        <v>0</v>
      </c>
      <c r="AQ111" s="85">
        <v>0</v>
      </c>
    </row>
    <row r="112" spans="1:43" ht="14.25" customHeight="1" x14ac:dyDescent="0.25">
      <c r="A112" s="89" t="s">
        <v>116</v>
      </c>
      <c r="B112" s="85">
        <v>0</v>
      </c>
      <c r="C112" s="85">
        <v>0</v>
      </c>
      <c r="D112" s="85">
        <v>0</v>
      </c>
      <c r="E112" s="85">
        <v>0</v>
      </c>
      <c r="F112" s="85">
        <v>0</v>
      </c>
      <c r="G112" s="85">
        <v>0</v>
      </c>
      <c r="H112" s="85">
        <v>0</v>
      </c>
      <c r="I112" s="85">
        <v>0</v>
      </c>
      <c r="J112" s="85">
        <v>0</v>
      </c>
      <c r="K112" s="85">
        <v>0</v>
      </c>
      <c r="L112" s="85">
        <v>0</v>
      </c>
      <c r="M112" s="85">
        <v>0</v>
      </c>
      <c r="N112" s="85">
        <v>0</v>
      </c>
      <c r="O112" s="85">
        <v>0</v>
      </c>
      <c r="P112" s="85">
        <v>0</v>
      </c>
      <c r="Q112" s="85">
        <v>0</v>
      </c>
      <c r="R112" s="85">
        <v>0</v>
      </c>
      <c r="S112" s="85">
        <v>0</v>
      </c>
      <c r="T112" s="85">
        <v>0</v>
      </c>
      <c r="U112" s="85">
        <v>0</v>
      </c>
      <c r="V112" s="85">
        <v>0</v>
      </c>
      <c r="W112" s="85">
        <v>0</v>
      </c>
      <c r="X112" s="85">
        <v>0</v>
      </c>
      <c r="Y112" s="85">
        <v>0</v>
      </c>
      <c r="Z112" s="85">
        <v>0</v>
      </c>
      <c r="AA112" s="85">
        <v>0</v>
      </c>
      <c r="AB112" s="85">
        <v>0</v>
      </c>
      <c r="AC112" s="85">
        <v>0</v>
      </c>
      <c r="AD112" s="85">
        <v>0</v>
      </c>
      <c r="AE112" s="85">
        <v>0</v>
      </c>
      <c r="AF112" s="85">
        <v>0</v>
      </c>
      <c r="AG112" s="85">
        <v>0</v>
      </c>
      <c r="AH112" s="85">
        <v>0</v>
      </c>
      <c r="AI112" s="85">
        <v>0</v>
      </c>
      <c r="AJ112" s="85">
        <v>0</v>
      </c>
      <c r="AK112" s="85">
        <v>0</v>
      </c>
      <c r="AL112" s="85">
        <v>0</v>
      </c>
      <c r="AM112" s="85">
        <v>0</v>
      </c>
      <c r="AN112" s="85">
        <v>0</v>
      </c>
      <c r="AO112" s="85">
        <v>0</v>
      </c>
      <c r="AP112" s="85">
        <v>0</v>
      </c>
      <c r="AQ112" s="85">
        <v>0</v>
      </c>
    </row>
    <row r="113" spans="1:43" ht="14.25" customHeight="1" x14ac:dyDescent="0.25">
      <c r="A113" s="89" t="s">
        <v>115</v>
      </c>
      <c r="B113" s="85">
        <v>0</v>
      </c>
      <c r="C113" s="85">
        <v>0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0</v>
      </c>
      <c r="N113" s="85">
        <v>0</v>
      </c>
      <c r="O113" s="85">
        <v>0</v>
      </c>
      <c r="P113" s="85">
        <v>0</v>
      </c>
      <c r="Q113" s="85">
        <v>0</v>
      </c>
      <c r="R113" s="85">
        <v>0</v>
      </c>
      <c r="S113" s="85">
        <v>0</v>
      </c>
      <c r="T113" s="85">
        <v>0</v>
      </c>
      <c r="U113" s="85">
        <v>0</v>
      </c>
      <c r="V113" s="85">
        <v>0</v>
      </c>
      <c r="W113" s="85">
        <v>0</v>
      </c>
      <c r="X113" s="85">
        <v>0</v>
      </c>
      <c r="Y113" s="85">
        <v>0</v>
      </c>
      <c r="Z113" s="85">
        <v>0</v>
      </c>
      <c r="AA113" s="85">
        <v>0</v>
      </c>
      <c r="AB113" s="85">
        <v>0</v>
      </c>
      <c r="AC113" s="85">
        <v>0</v>
      </c>
      <c r="AD113" s="85">
        <v>0</v>
      </c>
      <c r="AE113" s="85">
        <v>0</v>
      </c>
      <c r="AF113" s="85">
        <v>0</v>
      </c>
      <c r="AG113" s="85">
        <v>0</v>
      </c>
      <c r="AH113" s="85">
        <v>0</v>
      </c>
      <c r="AI113" s="85">
        <v>0</v>
      </c>
      <c r="AJ113" s="85">
        <v>0</v>
      </c>
      <c r="AK113" s="85">
        <v>0</v>
      </c>
      <c r="AL113" s="85">
        <v>0</v>
      </c>
      <c r="AM113" s="85">
        <v>0</v>
      </c>
      <c r="AN113" s="85">
        <v>0</v>
      </c>
      <c r="AO113" s="85">
        <v>0</v>
      </c>
      <c r="AP113" s="85">
        <v>0</v>
      </c>
      <c r="AQ113" s="85">
        <v>0</v>
      </c>
    </row>
    <row r="114" spans="1:43" ht="14.25" customHeight="1" x14ac:dyDescent="0.25">
      <c r="A114" s="89" t="s">
        <v>208</v>
      </c>
      <c r="B114" s="85">
        <v>0</v>
      </c>
      <c r="C114" s="85">
        <v>0</v>
      </c>
      <c r="D114" s="85">
        <v>0</v>
      </c>
      <c r="E114" s="85">
        <v>0</v>
      </c>
      <c r="F114" s="85">
        <v>0</v>
      </c>
      <c r="G114" s="85">
        <v>0</v>
      </c>
      <c r="H114" s="85">
        <v>0</v>
      </c>
      <c r="I114" s="85">
        <v>0</v>
      </c>
      <c r="J114" s="85">
        <v>0</v>
      </c>
      <c r="K114" s="85">
        <v>0</v>
      </c>
      <c r="L114" s="85">
        <v>0</v>
      </c>
      <c r="M114" s="85">
        <v>0</v>
      </c>
      <c r="N114" s="85">
        <v>0</v>
      </c>
      <c r="O114" s="85">
        <v>0</v>
      </c>
      <c r="P114" s="85">
        <v>0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  <c r="V114" s="85">
        <v>0</v>
      </c>
      <c r="W114" s="85">
        <v>0</v>
      </c>
      <c r="X114" s="85">
        <v>0</v>
      </c>
      <c r="Y114" s="85">
        <v>0</v>
      </c>
      <c r="Z114" s="85">
        <v>0</v>
      </c>
      <c r="AA114" s="85">
        <v>0</v>
      </c>
      <c r="AB114" s="85">
        <v>0</v>
      </c>
      <c r="AC114" s="85">
        <v>0</v>
      </c>
      <c r="AD114" s="85">
        <v>0</v>
      </c>
      <c r="AE114" s="85">
        <v>0</v>
      </c>
      <c r="AF114" s="85">
        <v>0</v>
      </c>
      <c r="AG114" s="85">
        <v>0</v>
      </c>
      <c r="AH114" s="85">
        <v>0</v>
      </c>
      <c r="AI114" s="85">
        <v>0</v>
      </c>
      <c r="AJ114" s="85">
        <v>0</v>
      </c>
      <c r="AK114" s="85">
        <v>0</v>
      </c>
      <c r="AL114" s="85">
        <v>0</v>
      </c>
      <c r="AM114" s="85">
        <v>0</v>
      </c>
      <c r="AN114" s="85">
        <v>0</v>
      </c>
      <c r="AO114" s="85">
        <v>0</v>
      </c>
      <c r="AP114" s="85">
        <v>0</v>
      </c>
      <c r="AQ114" s="85">
        <v>0</v>
      </c>
    </row>
    <row r="115" spans="1:43" ht="14.25" customHeight="1" x14ac:dyDescent="0.25">
      <c r="A115" s="89" t="s">
        <v>117</v>
      </c>
      <c r="B115" s="85">
        <v>0</v>
      </c>
      <c r="C115" s="85">
        <v>0</v>
      </c>
      <c r="D115" s="85">
        <v>0</v>
      </c>
      <c r="E115" s="85">
        <v>0</v>
      </c>
      <c r="F115" s="85">
        <v>0</v>
      </c>
      <c r="G115" s="85">
        <v>0</v>
      </c>
      <c r="H115" s="85">
        <v>0</v>
      </c>
      <c r="I115" s="85">
        <v>0</v>
      </c>
      <c r="J115" s="85">
        <v>0</v>
      </c>
      <c r="K115" s="85">
        <v>0</v>
      </c>
      <c r="L115" s="85">
        <v>0</v>
      </c>
      <c r="M115" s="85">
        <v>0</v>
      </c>
      <c r="N115" s="85">
        <v>0</v>
      </c>
      <c r="O115" s="85">
        <v>0</v>
      </c>
      <c r="P115" s="85">
        <v>0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  <c r="V115" s="85">
        <v>0</v>
      </c>
      <c r="W115" s="85">
        <v>0</v>
      </c>
      <c r="X115" s="85">
        <v>0</v>
      </c>
      <c r="Y115" s="85">
        <v>0</v>
      </c>
      <c r="Z115" s="85">
        <v>0</v>
      </c>
      <c r="AA115" s="85">
        <v>0</v>
      </c>
      <c r="AB115" s="85">
        <v>0</v>
      </c>
      <c r="AC115" s="85">
        <v>0</v>
      </c>
      <c r="AD115" s="85">
        <v>0</v>
      </c>
      <c r="AE115" s="85">
        <v>0</v>
      </c>
      <c r="AF115" s="85">
        <v>0</v>
      </c>
      <c r="AG115" s="85">
        <v>0</v>
      </c>
      <c r="AH115" s="85">
        <v>0</v>
      </c>
      <c r="AI115" s="85">
        <v>0</v>
      </c>
      <c r="AJ115" s="85">
        <v>0</v>
      </c>
      <c r="AK115" s="85">
        <v>0</v>
      </c>
      <c r="AL115" s="85">
        <v>0</v>
      </c>
      <c r="AM115" s="85">
        <v>0</v>
      </c>
      <c r="AN115" s="85">
        <v>0</v>
      </c>
      <c r="AO115" s="85">
        <v>0</v>
      </c>
      <c r="AP115" s="85">
        <v>0</v>
      </c>
      <c r="AQ115" s="85">
        <v>0</v>
      </c>
    </row>
    <row r="116" spans="1:43" ht="14.25" customHeight="1" x14ac:dyDescent="0.25">
      <c r="A116" s="89" t="s">
        <v>118</v>
      </c>
      <c r="B116" s="85">
        <v>0</v>
      </c>
      <c r="C116" s="85">
        <v>0</v>
      </c>
      <c r="D116" s="85">
        <v>0</v>
      </c>
      <c r="E116" s="85">
        <v>0</v>
      </c>
      <c r="F116" s="85">
        <v>0</v>
      </c>
      <c r="G116" s="85">
        <v>0</v>
      </c>
      <c r="H116" s="85">
        <v>0</v>
      </c>
      <c r="I116" s="85">
        <v>0</v>
      </c>
      <c r="J116" s="85">
        <v>0</v>
      </c>
      <c r="K116" s="85">
        <v>0</v>
      </c>
      <c r="L116" s="85">
        <v>0</v>
      </c>
      <c r="M116" s="85">
        <v>0</v>
      </c>
      <c r="N116" s="85">
        <v>0</v>
      </c>
      <c r="O116" s="85">
        <v>0</v>
      </c>
      <c r="P116" s="85">
        <v>0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  <c r="V116" s="85">
        <v>0</v>
      </c>
      <c r="W116" s="85">
        <v>0</v>
      </c>
      <c r="X116" s="85">
        <v>0</v>
      </c>
      <c r="Y116" s="85">
        <v>0</v>
      </c>
      <c r="Z116" s="85">
        <v>0</v>
      </c>
      <c r="AA116" s="85">
        <v>0</v>
      </c>
      <c r="AB116" s="85">
        <v>0</v>
      </c>
      <c r="AC116" s="85">
        <v>0</v>
      </c>
      <c r="AD116" s="85">
        <v>0</v>
      </c>
      <c r="AE116" s="85">
        <v>0</v>
      </c>
      <c r="AF116" s="85">
        <v>0</v>
      </c>
      <c r="AG116" s="85">
        <v>0</v>
      </c>
      <c r="AH116" s="85">
        <v>0</v>
      </c>
      <c r="AI116" s="85">
        <v>0</v>
      </c>
      <c r="AJ116" s="85">
        <v>0</v>
      </c>
      <c r="AK116" s="85">
        <v>0</v>
      </c>
      <c r="AL116" s="85">
        <v>0</v>
      </c>
      <c r="AM116" s="85">
        <v>0</v>
      </c>
      <c r="AN116" s="85">
        <v>0</v>
      </c>
      <c r="AO116" s="85">
        <v>0</v>
      </c>
      <c r="AP116" s="85">
        <v>0</v>
      </c>
      <c r="AQ116" s="85">
        <v>0</v>
      </c>
    </row>
    <row r="117" spans="1:43" ht="14.25" customHeight="1" x14ac:dyDescent="0.25">
      <c r="A117" s="89" t="s">
        <v>119</v>
      </c>
      <c r="B117" s="85">
        <v>0</v>
      </c>
      <c r="C117" s="85">
        <v>0</v>
      </c>
      <c r="D117" s="85">
        <v>0</v>
      </c>
      <c r="E117" s="85">
        <v>0</v>
      </c>
      <c r="F117" s="85">
        <v>0</v>
      </c>
      <c r="G117" s="85">
        <v>0</v>
      </c>
      <c r="H117" s="85">
        <v>0</v>
      </c>
      <c r="I117" s="85">
        <v>0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0</v>
      </c>
      <c r="W117" s="85">
        <v>0</v>
      </c>
      <c r="X117" s="85">
        <v>0</v>
      </c>
      <c r="Y117" s="85">
        <v>0</v>
      </c>
      <c r="Z117" s="85">
        <v>0</v>
      </c>
      <c r="AA117" s="85">
        <v>0</v>
      </c>
      <c r="AB117" s="85">
        <v>0</v>
      </c>
      <c r="AC117" s="85">
        <v>0</v>
      </c>
      <c r="AD117" s="85">
        <v>0</v>
      </c>
      <c r="AE117" s="85">
        <v>0</v>
      </c>
      <c r="AF117" s="85">
        <v>0</v>
      </c>
      <c r="AG117" s="85">
        <v>0</v>
      </c>
      <c r="AH117" s="85">
        <v>0</v>
      </c>
      <c r="AI117" s="85">
        <v>0</v>
      </c>
      <c r="AJ117" s="85">
        <v>0</v>
      </c>
      <c r="AK117" s="85">
        <v>0</v>
      </c>
      <c r="AL117" s="85">
        <v>0</v>
      </c>
      <c r="AM117" s="85">
        <v>0</v>
      </c>
      <c r="AN117" s="85">
        <v>0</v>
      </c>
      <c r="AO117" s="85">
        <v>0</v>
      </c>
      <c r="AP117" s="85">
        <v>0</v>
      </c>
      <c r="AQ117" s="85">
        <v>0</v>
      </c>
    </row>
    <row r="118" spans="1:43" ht="14.25" customHeight="1" x14ac:dyDescent="0.25">
      <c r="A118" s="89" t="s">
        <v>120</v>
      </c>
      <c r="B118" s="85">
        <v>0</v>
      </c>
      <c r="C118" s="85">
        <v>0</v>
      </c>
      <c r="D118" s="85">
        <v>0</v>
      </c>
      <c r="E118" s="85">
        <v>0</v>
      </c>
      <c r="F118" s="85">
        <v>0</v>
      </c>
      <c r="G118" s="85">
        <v>0</v>
      </c>
      <c r="H118" s="85">
        <v>0</v>
      </c>
      <c r="I118" s="85">
        <v>0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85">
        <v>0</v>
      </c>
      <c r="Z118" s="85">
        <v>0</v>
      </c>
      <c r="AA118" s="85">
        <v>0</v>
      </c>
      <c r="AB118" s="85">
        <v>0</v>
      </c>
      <c r="AC118" s="85">
        <v>0</v>
      </c>
      <c r="AD118" s="85">
        <v>0</v>
      </c>
      <c r="AE118" s="85">
        <v>0</v>
      </c>
      <c r="AF118" s="85">
        <v>0</v>
      </c>
      <c r="AG118" s="85">
        <v>0</v>
      </c>
      <c r="AH118" s="85">
        <v>0</v>
      </c>
      <c r="AI118" s="85">
        <v>0</v>
      </c>
      <c r="AJ118" s="85">
        <v>0</v>
      </c>
      <c r="AK118" s="85">
        <v>0</v>
      </c>
      <c r="AL118" s="85">
        <v>0</v>
      </c>
      <c r="AM118" s="85">
        <v>0</v>
      </c>
      <c r="AN118" s="85">
        <v>0</v>
      </c>
      <c r="AO118" s="85">
        <v>0</v>
      </c>
      <c r="AP118" s="85">
        <v>0</v>
      </c>
      <c r="AQ118" s="85">
        <v>0</v>
      </c>
    </row>
    <row r="119" spans="1:43" ht="14.25" customHeight="1" x14ac:dyDescent="0.25">
      <c r="A119" s="89" t="s">
        <v>121</v>
      </c>
      <c r="B119" s="85">
        <v>0</v>
      </c>
      <c r="C119" s="85">
        <v>0</v>
      </c>
      <c r="D119" s="85">
        <v>0</v>
      </c>
      <c r="E119" s="85">
        <v>0</v>
      </c>
      <c r="F119" s="85">
        <v>0</v>
      </c>
      <c r="G119" s="85">
        <v>0</v>
      </c>
      <c r="H119" s="85">
        <v>0</v>
      </c>
      <c r="I119" s="85">
        <v>0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85">
        <v>0</v>
      </c>
      <c r="Z119" s="85">
        <v>0</v>
      </c>
      <c r="AA119" s="85">
        <v>0</v>
      </c>
      <c r="AB119" s="85">
        <v>0</v>
      </c>
      <c r="AC119" s="85">
        <v>0</v>
      </c>
      <c r="AD119" s="85">
        <v>0</v>
      </c>
      <c r="AE119" s="85">
        <v>0</v>
      </c>
      <c r="AF119" s="85">
        <v>0</v>
      </c>
      <c r="AG119" s="85">
        <v>0</v>
      </c>
      <c r="AH119" s="85">
        <v>0</v>
      </c>
      <c r="AI119" s="85">
        <v>0</v>
      </c>
      <c r="AJ119" s="85">
        <v>0</v>
      </c>
      <c r="AK119" s="85">
        <v>0</v>
      </c>
      <c r="AL119" s="85">
        <v>0</v>
      </c>
      <c r="AM119" s="85">
        <v>0</v>
      </c>
      <c r="AN119" s="85">
        <v>0</v>
      </c>
      <c r="AO119" s="85">
        <v>0</v>
      </c>
      <c r="AP119" s="85">
        <v>0</v>
      </c>
      <c r="AQ119" s="85">
        <v>0</v>
      </c>
    </row>
    <row r="120" spans="1:43" ht="14.25" customHeight="1" x14ac:dyDescent="0.25">
      <c r="A120" s="89" t="s">
        <v>122</v>
      </c>
      <c r="B120" s="85">
        <v>0</v>
      </c>
      <c r="C120" s="85">
        <v>0</v>
      </c>
      <c r="D120" s="85">
        <v>0</v>
      </c>
      <c r="E120" s="85">
        <v>0</v>
      </c>
      <c r="F120" s="85">
        <v>0</v>
      </c>
      <c r="G120" s="85">
        <v>0</v>
      </c>
      <c r="H120" s="85">
        <v>0</v>
      </c>
      <c r="I120" s="85">
        <v>0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85">
        <v>0</v>
      </c>
      <c r="Z120" s="85">
        <v>0</v>
      </c>
      <c r="AA120" s="85">
        <v>0</v>
      </c>
      <c r="AB120" s="85">
        <v>0</v>
      </c>
      <c r="AC120" s="85">
        <v>0</v>
      </c>
      <c r="AD120" s="85">
        <v>0</v>
      </c>
      <c r="AE120" s="85">
        <v>0</v>
      </c>
      <c r="AF120" s="85">
        <v>0</v>
      </c>
      <c r="AG120" s="85">
        <v>0</v>
      </c>
      <c r="AH120" s="85">
        <v>0</v>
      </c>
      <c r="AI120" s="85">
        <v>0</v>
      </c>
      <c r="AJ120" s="85">
        <v>0</v>
      </c>
      <c r="AK120" s="85">
        <v>0</v>
      </c>
      <c r="AL120" s="85">
        <v>0</v>
      </c>
      <c r="AM120" s="85">
        <v>0</v>
      </c>
      <c r="AN120" s="85">
        <v>0</v>
      </c>
      <c r="AO120" s="85">
        <v>0</v>
      </c>
      <c r="AP120" s="85">
        <v>0</v>
      </c>
      <c r="AQ120" s="85">
        <v>0</v>
      </c>
    </row>
    <row r="121" spans="1:43" ht="14.25" customHeight="1" x14ac:dyDescent="0.25">
      <c r="A121" s="89" t="s">
        <v>123</v>
      </c>
      <c r="B121" s="85">
        <v>0</v>
      </c>
      <c r="C121" s="85">
        <v>0</v>
      </c>
      <c r="D121" s="85">
        <v>0</v>
      </c>
      <c r="E121" s="85">
        <v>0</v>
      </c>
      <c r="F121" s="85">
        <v>0</v>
      </c>
      <c r="G121" s="85">
        <v>0</v>
      </c>
      <c r="H121" s="85">
        <v>0</v>
      </c>
      <c r="I121" s="85">
        <v>0</v>
      </c>
      <c r="J121" s="85">
        <v>0</v>
      </c>
      <c r="K121" s="85">
        <v>0</v>
      </c>
      <c r="L121" s="85">
        <v>0</v>
      </c>
      <c r="M121" s="85">
        <v>0</v>
      </c>
      <c r="N121" s="85">
        <v>0</v>
      </c>
      <c r="O121" s="85">
        <v>0</v>
      </c>
      <c r="P121" s="85">
        <v>0</v>
      </c>
      <c r="Q121" s="85">
        <v>0</v>
      </c>
      <c r="R121" s="85">
        <v>0</v>
      </c>
      <c r="S121" s="85">
        <v>0</v>
      </c>
      <c r="T121" s="85">
        <v>0</v>
      </c>
      <c r="U121" s="85">
        <v>0</v>
      </c>
      <c r="V121" s="85">
        <v>0</v>
      </c>
      <c r="W121" s="85">
        <v>0</v>
      </c>
      <c r="X121" s="85">
        <v>0</v>
      </c>
      <c r="Y121" s="85">
        <v>0</v>
      </c>
      <c r="Z121" s="85">
        <v>0</v>
      </c>
      <c r="AA121" s="85">
        <v>0</v>
      </c>
      <c r="AB121" s="85">
        <v>0</v>
      </c>
      <c r="AC121" s="85">
        <v>0</v>
      </c>
      <c r="AD121" s="85">
        <v>0</v>
      </c>
      <c r="AE121" s="85">
        <v>0</v>
      </c>
      <c r="AF121" s="85">
        <v>0</v>
      </c>
      <c r="AG121" s="85">
        <v>0</v>
      </c>
      <c r="AH121" s="85">
        <v>0</v>
      </c>
      <c r="AI121" s="85">
        <v>0</v>
      </c>
      <c r="AJ121" s="85">
        <v>0</v>
      </c>
      <c r="AK121" s="85">
        <v>0</v>
      </c>
      <c r="AL121" s="85">
        <v>0</v>
      </c>
      <c r="AM121" s="85">
        <v>0</v>
      </c>
      <c r="AN121" s="85">
        <v>0</v>
      </c>
      <c r="AO121" s="85">
        <v>0</v>
      </c>
      <c r="AP121" s="85">
        <v>0</v>
      </c>
      <c r="AQ121" s="85">
        <v>0</v>
      </c>
    </row>
    <row r="122" spans="1:43" ht="14.25" customHeight="1" x14ac:dyDescent="0.25">
      <c r="A122" s="89" t="s">
        <v>124</v>
      </c>
      <c r="B122" s="85">
        <v>0</v>
      </c>
      <c r="C122" s="85">
        <v>0</v>
      </c>
      <c r="D122" s="85">
        <v>0</v>
      </c>
      <c r="E122" s="85">
        <v>0</v>
      </c>
      <c r="F122" s="85">
        <v>0</v>
      </c>
      <c r="G122" s="85">
        <v>0</v>
      </c>
      <c r="H122" s="85">
        <v>0</v>
      </c>
      <c r="I122" s="85">
        <v>0</v>
      </c>
      <c r="J122" s="85">
        <v>0</v>
      </c>
      <c r="K122" s="85">
        <v>0</v>
      </c>
      <c r="L122" s="85">
        <v>0</v>
      </c>
      <c r="M122" s="85">
        <v>0</v>
      </c>
      <c r="N122" s="85">
        <v>0</v>
      </c>
      <c r="O122" s="85">
        <v>0</v>
      </c>
      <c r="P122" s="85">
        <v>0</v>
      </c>
      <c r="Q122" s="85">
        <v>0</v>
      </c>
      <c r="R122" s="85">
        <v>0</v>
      </c>
      <c r="S122" s="85">
        <v>0</v>
      </c>
      <c r="T122" s="85">
        <v>0</v>
      </c>
      <c r="U122" s="85">
        <v>0</v>
      </c>
      <c r="V122" s="85">
        <v>0</v>
      </c>
      <c r="W122" s="85">
        <v>0</v>
      </c>
      <c r="X122" s="85">
        <v>0</v>
      </c>
      <c r="Y122" s="85">
        <v>0</v>
      </c>
      <c r="Z122" s="85">
        <v>0</v>
      </c>
      <c r="AA122" s="85">
        <v>0</v>
      </c>
      <c r="AB122" s="85">
        <v>0</v>
      </c>
      <c r="AC122" s="85">
        <v>0</v>
      </c>
      <c r="AD122" s="85">
        <v>0</v>
      </c>
      <c r="AE122" s="85">
        <v>0</v>
      </c>
      <c r="AF122" s="85">
        <v>0</v>
      </c>
      <c r="AG122" s="85">
        <v>0</v>
      </c>
      <c r="AH122" s="85">
        <v>0</v>
      </c>
      <c r="AI122" s="85">
        <v>0</v>
      </c>
      <c r="AJ122" s="85">
        <v>0</v>
      </c>
      <c r="AK122" s="85">
        <v>0</v>
      </c>
      <c r="AL122" s="85">
        <v>0</v>
      </c>
      <c r="AM122" s="85">
        <v>0</v>
      </c>
      <c r="AN122" s="85">
        <v>0</v>
      </c>
      <c r="AO122" s="85">
        <v>0</v>
      </c>
      <c r="AP122" s="85">
        <v>0</v>
      </c>
      <c r="AQ122" s="85">
        <v>0</v>
      </c>
    </row>
    <row r="123" spans="1:43" ht="14.25" customHeight="1" x14ac:dyDescent="0.25">
      <c r="A123" s="89" t="s">
        <v>125</v>
      </c>
      <c r="B123" s="85">
        <v>0</v>
      </c>
      <c r="C123" s="85">
        <v>0</v>
      </c>
      <c r="D123" s="85">
        <v>0</v>
      </c>
      <c r="E123" s="85">
        <v>0</v>
      </c>
      <c r="F123" s="85">
        <v>0</v>
      </c>
      <c r="G123" s="85">
        <v>0</v>
      </c>
      <c r="H123" s="85">
        <v>0</v>
      </c>
      <c r="I123" s="85">
        <v>0</v>
      </c>
      <c r="J123" s="85">
        <v>0</v>
      </c>
      <c r="K123" s="85">
        <v>0</v>
      </c>
      <c r="L123" s="85">
        <v>0</v>
      </c>
      <c r="M123" s="85">
        <v>0</v>
      </c>
      <c r="N123" s="85">
        <v>0</v>
      </c>
      <c r="O123" s="85">
        <v>0</v>
      </c>
      <c r="P123" s="85">
        <v>0</v>
      </c>
      <c r="Q123" s="85">
        <v>0</v>
      </c>
      <c r="R123" s="85">
        <v>0</v>
      </c>
      <c r="S123" s="85">
        <v>0</v>
      </c>
      <c r="T123" s="85">
        <v>0</v>
      </c>
      <c r="U123" s="85">
        <v>0</v>
      </c>
      <c r="V123" s="85">
        <v>0</v>
      </c>
      <c r="W123" s="85">
        <v>0</v>
      </c>
      <c r="X123" s="85">
        <v>0</v>
      </c>
      <c r="Y123" s="85">
        <v>0</v>
      </c>
      <c r="Z123" s="85">
        <v>0</v>
      </c>
      <c r="AA123" s="85">
        <v>0</v>
      </c>
      <c r="AB123" s="85">
        <v>0</v>
      </c>
      <c r="AC123" s="85">
        <v>0</v>
      </c>
      <c r="AD123" s="85">
        <v>0</v>
      </c>
      <c r="AE123" s="85">
        <v>0</v>
      </c>
      <c r="AF123" s="85">
        <v>0</v>
      </c>
      <c r="AG123" s="85">
        <v>0</v>
      </c>
      <c r="AH123" s="85">
        <v>0</v>
      </c>
      <c r="AI123" s="85">
        <v>0</v>
      </c>
      <c r="AJ123" s="85">
        <v>0</v>
      </c>
      <c r="AK123" s="85">
        <v>0</v>
      </c>
      <c r="AL123" s="85">
        <v>0</v>
      </c>
      <c r="AM123" s="85">
        <v>0</v>
      </c>
      <c r="AN123" s="85">
        <v>0</v>
      </c>
      <c r="AO123" s="85">
        <v>0</v>
      </c>
      <c r="AP123" s="85">
        <v>0</v>
      </c>
      <c r="AQ123" s="85">
        <v>0</v>
      </c>
    </row>
    <row r="124" spans="1:43" ht="14.25" customHeight="1" x14ac:dyDescent="0.25">
      <c r="A124" s="89" t="s">
        <v>126</v>
      </c>
      <c r="B124" s="85">
        <v>0</v>
      </c>
      <c r="C124" s="85">
        <v>0</v>
      </c>
      <c r="D124" s="85">
        <v>0</v>
      </c>
      <c r="E124" s="85">
        <v>0</v>
      </c>
      <c r="F124" s="85">
        <v>0</v>
      </c>
      <c r="G124" s="85">
        <v>0</v>
      </c>
      <c r="H124" s="85">
        <v>0</v>
      </c>
      <c r="I124" s="85">
        <v>0</v>
      </c>
      <c r="J124" s="85">
        <v>0</v>
      </c>
      <c r="K124" s="85">
        <v>0</v>
      </c>
      <c r="L124" s="85">
        <v>0</v>
      </c>
      <c r="M124" s="85">
        <v>0</v>
      </c>
      <c r="N124" s="85">
        <v>0</v>
      </c>
      <c r="O124" s="85">
        <v>0</v>
      </c>
      <c r="P124" s="85">
        <v>0</v>
      </c>
      <c r="Q124" s="85">
        <v>0</v>
      </c>
      <c r="R124" s="85">
        <v>0</v>
      </c>
      <c r="S124" s="85">
        <v>0</v>
      </c>
      <c r="T124" s="85">
        <v>0</v>
      </c>
      <c r="U124" s="85">
        <v>0</v>
      </c>
      <c r="V124" s="85">
        <v>0</v>
      </c>
      <c r="W124" s="85">
        <v>0</v>
      </c>
      <c r="X124" s="85">
        <v>0</v>
      </c>
      <c r="Y124" s="85">
        <v>0</v>
      </c>
      <c r="Z124" s="85">
        <v>0</v>
      </c>
      <c r="AA124" s="85">
        <v>0</v>
      </c>
      <c r="AB124" s="85">
        <v>0</v>
      </c>
      <c r="AC124" s="85">
        <v>0</v>
      </c>
      <c r="AD124" s="85">
        <v>0</v>
      </c>
      <c r="AE124" s="85">
        <v>0</v>
      </c>
      <c r="AF124" s="85">
        <v>0</v>
      </c>
      <c r="AG124" s="85">
        <v>0</v>
      </c>
      <c r="AH124" s="85">
        <v>0</v>
      </c>
      <c r="AI124" s="85">
        <v>0</v>
      </c>
      <c r="AJ124" s="85">
        <v>0</v>
      </c>
      <c r="AK124" s="85">
        <v>0</v>
      </c>
      <c r="AL124" s="85">
        <v>0</v>
      </c>
      <c r="AM124" s="85">
        <v>0</v>
      </c>
      <c r="AN124" s="85">
        <v>0</v>
      </c>
      <c r="AO124" s="85">
        <v>0</v>
      </c>
      <c r="AP124" s="85">
        <v>0</v>
      </c>
      <c r="AQ124" s="85">
        <v>0</v>
      </c>
    </row>
    <row r="125" spans="1:43" ht="14.25" customHeight="1" x14ac:dyDescent="0.25">
      <c r="A125" s="89" t="s">
        <v>128</v>
      </c>
      <c r="B125" s="85">
        <v>0</v>
      </c>
      <c r="C125" s="85">
        <v>0</v>
      </c>
      <c r="D125" s="85">
        <v>0</v>
      </c>
      <c r="E125" s="85">
        <v>0</v>
      </c>
      <c r="F125" s="85">
        <v>0</v>
      </c>
      <c r="G125" s="85">
        <v>0</v>
      </c>
      <c r="H125" s="85">
        <v>0</v>
      </c>
      <c r="I125" s="85">
        <v>0</v>
      </c>
      <c r="J125" s="85">
        <v>0</v>
      </c>
      <c r="K125" s="85">
        <v>0</v>
      </c>
      <c r="L125" s="85">
        <v>0</v>
      </c>
      <c r="M125" s="85">
        <v>0</v>
      </c>
      <c r="N125" s="85">
        <v>0</v>
      </c>
      <c r="O125" s="85">
        <v>0</v>
      </c>
      <c r="P125" s="85">
        <v>0</v>
      </c>
      <c r="Q125" s="85">
        <v>0</v>
      </c>
      <c r="R125" s="85">
        <v>0</v>
      </c>
      <c r="S125" s="85">
        <v>0</v>
      </c>
      <c r="T125" s="85">
        <v>0</v>
      </c>
      <c r="U125" s="85">
        <v>0</v>
      </c>
      <c r="V125" s="85">
        <v>0</v>
      </c>
      <c r="W125" s="85">
        <v>0</v>
      </c>
      <c r="X125" s="85">
        <v>0</v>
      </c>
      <c r="Y125" s="85">
        <v>0</v>
      </c>
      <c r="Z125" s="85">
        <v>0</v>
      </c>
      <c r="AA125" s="85">
        <v>0</v>
      </c>
      <c r="AB125" s="85">
        <v>0</v>
      </c>
      <c r="AC125" s="85">
        <v>0</v>
      </c>
      <c r="AD125" s="85">
        <v>0</v>
      </c>
      <c r="AE125" s="85">
        <v>0</v>
      </c>
      <c r="AF125" s="85">
        <v>0</v>
      </c>
      <c r="AG125" s="85">
        <v>0</v>
      </c>
      <c r="AH125" s="85">
        <v>0</v>
      </c>
      <c r="AI125" s="85">
        <v>0</v>
      </c>
      <c r="AJ125" s="85">
        <v>0</v>
      </c>
      <c r="AK125" s="85">
        <v>0</v>
      </c>
      <c r="AL125" s="85">
        <v>0</v>
      </c>
      <c r="AM125" s="85">
        <v>0</v>
      </c>
      <c r="AN125" s="85">
        <v>0</v>
      </c>
      <c r="AO125" s="85">
        <v>0</v>
      </c>
      <c r="AP125" s="85">
        <v>0</v>
      </c>
      <c r="AQ125" s="85">
        <v>0</v>
      </c>
    </row>
    <row r="126" spans="1:43" ht="14.25" customHeight="1" x14ac:dyDescent="0.25">
      <c r="A126" s="89" t="s">
        <v>304</v>
      </c>
      <c r="B126" s="85">
        <v>0</v>
      </c>
      <c r="C126" s="85">
        <v>0</v>
      </c>
      <c r="D126" s="85">
        <v>0</v>
      </c>
      <c r="E126" s="85">
        <v>0</v>
      </c>
      <c r="F126" s="85">
        <v>0</v>
      </c>
      <c r="G126" s="85">
        <v>0</v>
      </c>
      <c r="H126" s="85">
        <v>0</v>
      </c>
      <c r="I126" s="85">
        <v>0</v>
      </c>
      <c r="J126" s="85">
        <v>0</v>
      </c>
      <c r="K126" s="85">
        <v>0</v>
      </c>
      <c r="L126" s="85">
        <v>0</v>
      </c>
      <c r="M126" s="85">
        <v>0</v>
      </c>
      <c r="N126" s="85">
        <v>0</v>
      </c>
      <c r="O126" s="85">
        <v>0</v>
      </c>
      <c r="P126" s="85">
        <v>0</v>
      </c>
      <c r="Q126" s="85">
        <v>0</v>
      </c>
      <c r="R126" s="85">
        <v>0</v>
      </c>
      <c r="S126" s="85">
        <v>0</v>
      </c>
      <c r="T126" s="85">
        <v>0</v>
      </c>
      <c r="U126" s="85">
        <v>0</v>
      </c>
      <c r="V126" s="85">
        <v>0</v>
      </c>
      <c r="W126" s="85">
        <v>0</v>
      </c>
      <c r="X126" s="85">
        <v>0</v>
      </c>
      <c r="Y126" s="85">
        <v>0</v>
      </c>
      <c r="Z126" s="85">
        <v>0</v>
      </c>
      <c r="AA126" s="85">
        <v>0</v>
      </c>
      <c r="AB126" s="85">
        <v>0</v>
      </c>
      <c r="AC126" s="85">
        <v>0</v>
      </c>
      <c r="AD126" s="85">
        <v>0</v>
      </c>
      <c r="AE126" s="85">
        <v>0</v>
      </c>
      <c r="AF126" s="85">
        <v>0</v>
      </c>
      <c r="AG126" s="85">
        <v>0</v>
      </c>
      <c r="AH126" s="85">
        <v>0</v>
      </c>
      <c r="AI126" s="85">
        <v>0</v>
      </c>
      <c r="AJ126" s="85">
        <v>0</v>
      </c>
      <c r="AK126" s="85">
        <v>0</v>
      </c>
      <c r="AL126" s="85">
        <v>0</v>
      </c>
      <c r="AM126" s="85">
        <v>0</v>
      </c>
      <c r="AN126" s="85">
        <v>0</v>
      </c>
      <c r="AO126" s="85">
        <v>0</v>
      </c>
      <c r="AP126" s="85">
        <v>0</v>
      </c>
      <c r="AQ126" s="85">
        <v>0</v>
      </c>
    </row>
    <row r="127" spans="1:43" ht="14.25" customHeight="1" x14ac:dyDescent="0.25">
      <c r="A127" s="89" t="s">
        <v>94</v>
      </c>
      <c r="B127" s="85">
        <v>0</v>
      </c>
      <c r="C127" s="85">
        <v>0</v>
      </c>
      <c r="D127" s="85">
        <v>0</v>
      </c>
      <c r="E127" s="85">
        <v>0</v>
      </c>
      <c r="F127" s="85">
        <v>0</v>
      </c>
      <c r="G127" s="85">
        <v>0</v>
      </c>
      <c r="H127" s="85">
        <v>0</v>
      </c>
      <c r="I127" s="85">
        <v>0</v>
      </c>
      <c r="J127" s="85">
        <v>0</v>
      </c>
      <c r="K127" s="85">
        <v>0</v>
      </c>
      <c r="L127" s="85">
        <v>0</v>
      </c>
      <c r="M127" s="85">
        <v>0</v>
      </c>
      <c r="N127" s="85">
        <v>0</v>
      </c>
      <c r="O127" s="85">
        <v>0</v>
      </c>
      <c r="P127" s="85">
        <v>0</v>
      </c>
      <c r="Q127" s="85">
        <v>0</v>
      </c>
      <c r="R127" s="85">
        <v>0</v>
      </c>
      <c r="S127" s="85">
        <v>0</v>
      </c>
      <c r="T127" s="85">
        <v>0</v>
      </c>
      <c r="U127" s="85">
        <v>0</v>
      </c>
      <c r="V127" s="85">
        <v>0</v>
      </c>
      <c r="W127" s="85">
        <v>0</v>
      </c>
      <c r="X127" s="85">
        <v>0</v>
      </c>
      <c r="Y127" s="85">
        <v>0</v>
      </c>
      <c r="Z127" s="85">
        <v>0</v>
      </c>
      <c r="AA127" s="85">
        <v>0</v>
      </c>
      <c r="AB127" s="85">
        <v>0</v>
      </c>
      <c r="AC127" s="85">
        <v>0</v>
      </c>
      <c r="AD127" s="85">
        <v>0</v>
      </c>
      <c r="AE127" s="85">
        <v>0</v>
      </c>
      <c r="AF127" s="85">
        <v>0</v>
      </c>
      <c r="AG127" s="85">
        <v>0</v>
      </c>
      <c r="AH127" s="85">
        <v>0</v>
      </c>
      <c r="AI127" s="85">
        <v>0</v>
      </c>
      <c r="AJ127" s="85">
        <v>0</v>
      </c>
      <c r="AK127" s="85">
        <v>0</v>
      </c>
      <c r="AL127" s="85">
        <v>0</v>
      </c>
      <c r="AM127" s="85">
        <v>0</v>
      </c>
      <c r="AN127" s="85">
        <v>0</v>
      </c>
      <c r="AO127" s="85">
        <v>0</v>
      </c>
      <c r="AP127" s="85">
        <v>0</v>
      </c>
      <c r="AQ127" s="85">
        <v>0</v>
      </c>
    </row>
    <row r="128" spans="1:43" ht="14.25" customHeight="1" x14ac:dyDescent="0.25">
      <c r="A128" s="89" t="s">
        <v>286</v>
      </c>
      <c r="B128" s="85">
        <v>0</v>
      </c>
      <c r="C128" s="85">
        <v>0</v>
      </c>
      <c r="D128" s="85">
        <v>0</v>
      </c>
      <c r="E128" s="85">
        <v>0</v>
      </c>
      <c r="F128" s="85">
        <v>0</v>
      </c>
      <c r="G128" s="85">
        <v>0</v>
      </c>
      <c r="H128" s="85">
        <v>0</v>
      </c>
      <c r="I128" s="85">
        <v>0</v>
      </c>
      <c r="J128" s="85">
        <v>0</v>
      </c>
      <c r="K128" s="85">
        <v>0</v>
      </c>
      <c r="L128" s="85">
        <v>0</v>
      </c>
      <c r="M128" s="85">
        <v>0</v>
      </c>
      <c r="N128" s="85">
        <v>0</v>
      </c>
      <c r="O128" s="85">
        <v>0</v>
      </c>
      <c r="P128" s="85">
        <v>0</v>
      </c>
      <c r="Q128" s="85">
        <v>0</v>
      </c>
      <c r="R128" s="85">
        <v>0</v>
      </c>
      <c r="S128" s="85">
        <v>0</v>
      </c>
      <c r="T128" s="85">
        <v>0</v>
      </c>
      <c r="U128" s="85">
        <v>0</v>
      </c>
      <c r="V128" s="85">
        <v>0</v>
      </c>
      <c r="W128" s="85">
        <v>0</v>
      </c>
      <c r="X128" s="85">
        <v>0</v>
      </c>
      <c r="Y128" s="85">
        <v>0</v>
      </c>
      <c r="Z128" s="85">
        <v>0</v>
      </c>
      <c r="AA128" s="85">
        <v>0</v>
      </c>
      <c r="AB128" s="85">
        <v>0</v>
      </c>
      <c r="AC128" s="85">
        <v>0</v>
      </c>
      <c r="AD128" s="85">
        <v>0</v>
      </c>
      <c r="AE128" s="85">
        <v>0</v>
      </c>
      <c r="AF128" s="85">
        <v>0</v>
      </c>
      <c r="AG128" s="85">
        <v>0</v>
      </c>
      <c r="AH128" s="85">
        <v>0</v>
      </c>
      <c r="AI128" s="85">
        <v>0</v>
      </c>
      <c r="AJ128" s="85">
        <v>0</v>
      </c>
      <c r="AK128" s="85">
        <v>0</v>
      </c>
      <c r="AL128" s="85">
        <v>0</v>
      </c>
      <c r="AM128" s="85">
        <v>0</v>
      </c>
      <c r="AN128" s="85">
        <v>0</v>
      </c>
      <c r="AO128" s="85">
        <v>0</v>
      </c>
      <c r="AP128" s="85">
        <v>0</v>
      </c>
      <c r="AQ128" s="85">
        <v>0</v>
      </c>
    </row>
    <row r="129" spans="1:43" ht="14.25" customHeight="1" x14ac:dyDescent="0.25">
      <c r="A129" s="89" t="s">
        <v>127</v>
      </c>
      <c r="B129" s="85">
        <v>0</v>
      </c>
      <c r="C129" s="85">
        <v>0</v>
      </c>
      <c r="D129" s="85">
        <v>0</v>
      </c>
      <c r="E129" s="85">
        <v>0</v>
      </c>
      <c r="F129" s="85">
        <v>0</v>
      </c>
      <c r="G129" s="85">
        <v>0</v>
      </c>
      <c r="H129" s="85">
        <v>0</v>
      </c>
      <c r="I129" s="85">
        <v>0</v>
      </c>
      <c r="J129" s="85">
        <v>0</v>
      </c>
      <c r="K129" s="85">
        <v>0</v>
      </c>
      <c r="L129" s="85">
        <v>0</v>
      </c>
      <c r="M129" s="85">
        <v>0</v>
      </c>
      <c r="N129" s="85">
        <v>0</v>
      </c>
      <c r="O129" s="85">
        <v>0</v>
      </c>
      <c r="P129" s="85">
        <v>0</v>
      </c>
      <c r="Q129" s="85">
        <v>0</v>
      </c>
      <c r="R129" s="85">
        <v>0</v>
      </c>
      <c r="S129" s="85">
        <v>0</v>
      </c>
      <c r="T129" s="85">
        <v>0</v>
      </c>
      <c r="U129" s="85">
        <v>0</v>
      </c>
      <c r="V129" s="85">
        <v>0</v>
      </c>
      <c r="W129" s="85">
        <v>0</v>
      </c>
      <c r="X129" s="85">
        <v>0</v>
      </c>
      <c r="Y129" s="85">
        <v>0</v>
      </c>
      <c r="Z129" s="85">
        <v>0</v>
      </c>
      <c r="AA129" s="85">
        <v>0</v>
      </c>
      <c r="AB129" s="85">
        <v>0</v>
      </c>
      <c r="AC129" s="85">
        <v>0</v>
      </c>
      <c r="AD129" s="85">
        <v>0</v>
      </c>
      <c r="AE129" s="85">
        <v>0</v>
      </c>
      <c r="AF129" s="85">
        <v>0</v>
      </c>
      <c r="AG129" s="85">
        <v>0</v>
      </c>
      <c r="AH129" s="85">
        <v>0</v>
      </c>
      <c r="AI129" s="85">
        <v>0</v>
      </c>
      <c r="AJ129" s="85">
        <v>0</v>
      </c>
      <c r="AK129" s="85">
        <v>0</v>
      </c>
      <c r="AL129" s="85">
        <v>0</v>
      </c>
      <c r="AM129" s="85">
        <v>0</v>
      </c>
      <c r="AN129" s="85">
        <v>0</v>
      </c>
      <c r="AO129" s="85">
        <v>0</v>
      </c>
      <c r="AP129" s="85">
        <v>0</v>
      </c>
      <c r="AQ129" s="85">
        <v>0</v>
      </c>
    </row>
    <row r="130" spans="1:43" ht="14.25" customHeight="1" x14ac:dyDescent="0.25">
      <c r="A130" s="89" t="s">
        <v>129</v>
      </c>
      <c r="B130" s="85">
        <v>0</v>
      </c>
      <c r="C130" s="85">
        <v>0</v>
      </c>
      <c r="D130" s="85">
        <v>0</v>
      </c>
      <c r="E130" s="85">
        <v>0</v>
      </c>
      <c r="F130" s="85">
        <v>0</v>
      </c>
      <c r="G130" s="85">
        <v>0</v>
      </c>
      <c r="H130" s="85">
        <v>0</v>
      </c>
      <c r="I130" s="85">
        <v>0</v>
      </c>
      <c r="J130" s="85">
        <v>0</v>
      </c>
      <c r="K130" s="85">
        <v>0</v>
      </c>
      <c r="L130" s="85">
        <v>0</v>
      </c>
      <c r="M130" s="85">
        <v>0</v>
      </c>
      <c r="N130" s="85">
        <v>0</v>
      </c>
      <c r="O130" s="85">
        <v>0</v>
      </c>
      <c r="P130" s="85">
        <v>0</v>
      </c>
      <c r="Q130" s="85">
        <v>0</v>
      </c>
      <c r="R130" s="85">
        <v>0</v>
      </c>
      <c r="S130" s="85">
        <v>0</v>
      </c>
      <c r="T130" s="85">
        <v>0</v>
      </c>
      <c r="U130" s="85">
        <v>0</v>
      </c>
      <c r="V130" s="85">
        <v>0</v>
      </c>
      <c r="W130" s="85">
        <v>0</v>
      </c>
      <c r="X130" s="85">
        <v>0</v>
      </c>
      <c r="Y130" s="85">
        <v>0</v>
      </c>
      <c r="Z130" s="85">
        <v>0</v>
      </c>
      <c r="AA130" s="85">
        <v>0</v>
      </c>
      <c r="AB130" s="85">
        <v>0</v>
      </c>
      <c r="AC130" s="85">
        <v>0</v>
      </c>
      <c r="AD130" s="85">
        <v>0</v>
      </c>
      <c r="AE130" s="85">
        <v>0</v>
      </c>
      <c r="AF130" s="85">
        <v>0</v>
      </c>
      <c r="AG130" s="85">
        <v>0</v>
      </c>
      <c r="AH130" s="85">
        <v>0</v>
      </c>
      <c r="AI130" s="85">
        <v>0</v>
      </c>
      <c r="AJ130" s="85">
        <v>0</v>
      </c>
      <c r="AK130" s="85">
        <v>0</v>
      </c>
      <c r="AL130" s="85">
        <v>0</v>
      </c>
      <c r="AM130" s="85">
        <v>0</v>
      </c>
      <c r="AN130" s="85">
        <v>0</v>
      </c>
      <c r="AO130" s="85">
        <v>0</v>
      </c>
      <c r="AP130" s="85">
        <v>0</v>
      </c>
      <c r="AQ130" s="85">
        <v>0</v>
      </c>
    </row>
    <row r="131" spans="1:43" ht="14.25" customHeight="1" x14ac:dyDescent="0.25">
      <c r="A131" s="89" t="s">
        <v>131</v>
      </c>
      <c r="B131" s="85">
        <v>0</v>
      </c>
      <c r="C131" s="85">
        <v>0</v>
      </c>
      <c r="D131" s="85">
        <v>0</v>
      </c>
      <c r="E131" s="85">
        <v>0</v>
      </c>
      <c r="F131" s="85">
        <v>0</v>
      </c>
      <c r="G131" s="85">
        <v>0</v>
      </c>
      <c r="H131" s="85">
        <v>0</v>
      </c>
      <c r="I131" s="85">
        <v>0</v>
      </c>
      <c r="J131" s="85">
        <v>0</v>
      </c>
      <c r="K131" s="85">
        <v>0</v>
      </c>
      <c r="L131" s="85">
        <v>0</v>
      </c>
      <c r="M131" s="85">
        <v>0</v>
      </c>
      <c r="N131" s="85">
        <v>0</v>
      </c>
      <c r="O131" s="85">
        <v>0</v>
      </c>
      <c r="P131" s="85">
        <v>0</v>
      </c>
      <c r="Q131" s="85">
        <v>0</v>
      </c>
      <c r="R131" s="85">
        <v>0</v>
      </c>
      <c r="S131" s="85">
        <v>0</v>
      </c>
      <c r="T131" s="85">
        <v>0</v>
      </c>
      <c r="U131" s="85">
        <v>0</v>
      </c>
      <c r="V131" s="85">
        <v>0</v>
      </c>
      <c r="W131" s="85">
        <v>0</v>
      </c>
      <c r="X131" s="85">
        <v>0</v>
      </c>
      <c r="Y131" s="85">
        <v>0</v>
      </c>
      <c r="Z131" s="85">
        <v>0</v>
      </c>
      <c r="AA131" s="85">
        <v>0</v>
      </c>
      <c r="AB131" s="85">
        <v>0</v>
      </c>
      <c r="AC131" s="85">
        <v>0</v>
      </c>
      <c r="AD131" s="85">
        <v>0</v>
      </c>
      <c r="AE131" s="85">
        <v>0</v>
      </c>
      <c r="AF131" s="85">
        <v>0</v>
      </c>
      <c r="AG131" s="85">
        <v>0</v>
      </c>
      <c r="AH131" s="85">
        <v>0</v>
      </c>
      <c r="AI131" s="85">
        <v>0</v>
      </c>
      <c r="AJ131" s="85">
        <v>0</v>
      </c>
      <c r="AK131" s="85">
        <v>0</v>
      </c>
      <c r="AL131" s="85">
        <v>0</v>
      </c>
      <c r="AM131" s="85">
        <v>0</v>
      </c>
      <c r="AN131" s="85">
        <v>0</v>
      </c>
      <c r="AO131" s="85">
        <v>0</v>
      </c>
      <c r="AP131" s="85">
        <v>0</v>
      </c>
      <c r="AQ131" s="85">
        <v>0</v>
      </c>
    </row>
    <row r="132" spans="1:43" ht="14.25" customHeight="1" x14ac:dyDescent="0.25">
      <c r="A132" s="89" t="s">
        <v>130</v>
      </c>
      <c r="B132" s="85">
        <v>0</v>
      </c>
      <c r="C132" s="85">
        <v>0</v>
      </c>
      <c r="D132" s="85">
        <v>0</v>
      </c>
      <c r="E132" s="85">
        <v>0</v>
      </c>
      <c r="F132" s="85">
        <v>0</v>
      </c>
      <c r="G132" s="85">
        <v>0</v>
      </c>
      <c r="H132" s="85">
        <v>0</v>
      </c>
      <c r="I132" s="85">
        <v>0</v>
      </c>
      <c r="J132" s="85">
        <v>0</v>
      </c>
      <c r="K132" s="85">
        <v>0</v>
      </c>
      <c r="L132" s="85">
        <v>0</v>
      </c>
      <c r="M132" s="85">
        <v>0</v>
      </c>
      <c r="N132" s="85">
        <v>0</v>
      </c>
      <c r="O132" s="85">
        <v>0</v>
      </c>
      <c r="P132" s="85">
        <v>0</v>
      </c>
      <c r="Q132" s="85">
        <v>0</v>
      </c>
      <c r="R132" s="85">
        <v>0</v>
      </c>
      <c r="S132" s="85">
        <v>0</v>
      </c>
      <c r="T132" s="85">
        <v>0</v>
      </c>
      <c r="U132" s="85">
        <v>0</v>
      </c>
      <c r="V132" s="85">
        <v>0</v>
      </c>
      <c r="W132" s="85">
        <v>0</v>
      </c>
      <c r="X132" s="85">
        <v>0</v>
      </c>
      <c r="Y132" s="85">
        <v>0</v>
      </c>
      <c r="Z132" s="85">
        <v>0</v>
      </c>
      <c r="AA132" s="85">
        <v>0</v>
      </c>
      <c r="AB132" s="85">
        <v>0</v>
      </c>
      <c r="AC132" s="85">
        <v>0</v>
      </c>
      <c r="AD132" s="85">
        <v>0</v>
      </c>
      <c r="AE132" s="85">
        <v>0</v>
      </c>
      <c r="AF132" s="85">
        <v>0</v>
      </c>
      <c r="AG132" s="85">
        <v>0</v>
      </c>
      <c r="AH132" s="85">
        <v>0</v>
      </c>
      <c r="AI132" s="85">
        <v>0</v>
      </c>
      <c r="AJ132" s="85">
        <v>0</v>
      </c>
      <c r="AK132" s="85">
        <v>0</v>
      </c>
      <c r="AL132" s="85">
        <v>0</v>
      </c>
      <c r="AM132" s="85">
        <v>0</v>
      </c>
      <c r="AN132" s="85">
        <v>0</v>
      </c>
      <c r="AO132" s="85">
        <v>0</v>
      </c>
      <c r="AP132" s="85">
        <v>0</v>
      </c>
      <c r="AQ132" s="85">
        <v>0</v>
      </c>
    </row>
    <row r="133" spans="1:43" ht="14.25" customHeight="1" x14ac:dyDescent="0.25">
      <c r="A133" s="89" t="s">
        <v>132</v>
      </c>
      <c r="B133" s="85">
        <v>0</v>
      </c>
      <c r="C133" s="85">
        <v>0</v>
      </c>
      <c r="D133" s="85">
        <v>0</v>
      </c>
      <c r="E133" s="85">
        <v>0</v>
      </c>
      <c r="F133" s="85">
        <v>0</v>
      </c>
      <c r="G133" s="85">
        <v>0</v>
      </c>
      <c r="H133" s="85">
        <v>0</v>
      </c>
      <c r="I133" s="85">
        <v>0</v>
      </c>
      <c r="J133" s="85">
        <v>0</v>
      </c>
      <c r="K133" s="85">
        <v>0</v>
      </c>
      <c r="L133" s="85">
        <v>0</v>
      </c>
      <c r="M133" s="85">
        <v>0</v>
      </c>
      <c r="N133" s="85">
        <v>0</v>
      </c>
      <c r="O133" s="85">
        <v>0</v>
      </c>
      <c r="P133" s="85">
        <v>0</v>
      </c>
      <c r="Q133" s="85">
        <v>0</v>
      </c>
      <c r="R133" s="85">
        <v>0</v>
      </c>
      <c r="S133" s="85">
        <v>0</v>
      </c>
      <c r="T133" s="85">
        <v>0</v>
      </c>
      <c r="U133" s="85">
        <v>0</v>
      </c>
      <c r="V133" s="85">
        <v>0</v>
      </c>
      <c r="W133" s="85">
        <v>0</v>
      </c>
      <c r="X133" s="85">
        <v>0</v>
      </c>
      <c r="Y133" s="85">
        <v>0</v>
      </c>
      <c r="Z133" s="85">
        <v>0</v>
      </c>
      <c r="AA133" s="85">
        <v>0</v>
      </c>
      <c r="AB133" s="85">
        <v>0</v>
      </c>
      <c r="AC133" s="85">
        <v>0</v>
      </c>
      <c r="AD133" s="85">
        <v>0</v>
      </c>
      <c r="AE133" s="85">
        <v>0</v>
      </c>
      <c r="AF133" s="85">
        <v>0</v>
      </c>
      <c r="AG133" s="85">
        <v>0</v>
      </c>
      <c r="AH133" s="85">
        <v>0</v>
      </c>
      <c r="AI133" s="85">
        <v>0</v>
      </c>
      <c r="AJ133" s="85">
        <v>0</v>
      </c>
      <c r="AK133" s="85">
        <v>0</v>
      </c>
      <c r="AL133" s="85">
        <v>0</v>
      </c>
      <c r="AM133" s="85">
        <v>0</v>
      </c>
      <c r="AN133" s="85">
        <v>0</v>
      </c>
      <c r="AO133" s="85">
        <v>0</v>
      </c>
      <c r="AP133" s="85">
        <v>0</v>
      </c>
      <c r="AQ133" s="85">
        <v>0</v>
      </c>
    </row>
    <row r="134" spans="1:43" ht="14.25" customHeight="1" x14ac:dyDescent="0.25">
      <c r="A134" s="89" t="s">
        <v>133</v>
      </c>
      <c r="B134" s="85">
        <v>0</v>
      </c>
      <c r="C134" s="85">
        <v>0</v>
      </c>
      <c r="D134" s="85">
        <v>0</v>
      </c>
      <c r="E134" s="85">
        <v>0</v>
      </c>
      <c r="F134" s="85">
        <v>0</v>
      </c>
      <c r="G134" s="85">
        <v>0</v>
      </c>
      <c r="H134" s="85">
        <v>0</v>
      </c>
      <c r="I134" s="85">
        <v>0</v>
      </c>
      <c r="J134" s="85">
        <v>0</v>
      </c>
      <c r="K134" s="85">
        <v>0</v>
      </c>
      <c r="L134" s="85">
        <v>0</v>
      </c>
      <c r="M134" s="85">
        <v>0</v>
      </c>
      <c r="N134" s="85">
        <v>0</v>
      </c>
      <c r="O134" s="85">
        <v>0</v>
      </c>
      <c r="P134" s="85">
        <v>0</v>
      </c>
      <c r="Q134" s="85">
        <v>0</v>
      </c>
      <c r="R134" s="85">
        <v>0</v>
      </c>
      <c r="S134" s="85">
        <v>0</v>
      </c>
      <c r="T134" s="85">
        <v>0</v>
      </c>
      <c r="U134" s="85">
        <v>0</v>
      </c>
      <c r="V134" s="85">
        <v>0</v>
      </c>
      <c r="W134" s="85">
        <v>0</v>
      </c>
      <c r="X134" s="85">
        <v>0</v>
      </c>
      <c r="Y134" s="85">
        <v>0</v>
      </c>
      <c r="Z134" s="85">
        <v>0</v>
      </c>
      <c r="AA134" s="85">
        <v>0</v>
      </c>
      <c r="AB134" s="85">
        <v>0</v>
      </c>
      <c r="AC134" s="85">
        <v>0</v>
      </c>
      <c r="AD134" s="85">
        <v>0</v>
      </c>
      <c r="AE134" s="85">
        <v>0</v>
      </c>
      <c r="AF134" s="85">
        <v>0</v>
      </c>
      <c r="AG134" s="85">
        <v>0</v>
      </c>
      <c r="AH134" s="85">
        <v>0</v>
      </c>
      <c r="AI134" s="85">
        <v>0</v>
      </c>
      <c r="AJ134" s="85">
        <v>0</v>
      </c>
      <c r="AK134" s="85">
        <v>0</v>
      </c>
      <c r="AL134" s="85">
        <v>0</v>
      </c>
      <c r="AM134" s="85">
        <v>0</v>
      </c>
      <c r="AN134" s="85">
        <v>0</v>
      </c>
      <c r="AO134" s="85">
        <v>0</v>
      </c>
      <c r="AP134" s="85">
        <v>0</v>
      </c>
      <c r="AQ134" s="85">
        <v>0</v>
      </c>
    </row>
    <row r="135" spans="1:43" ht="14.25" customHeight="1" x14ac:dyDescent="0.25">
      <c r="A135" s="89" t="s">
        <v>134</v>
      </c>
      <c r="B135" s="85">
        <v>0</v>
      </c>
      <c r="C135" s="85">
        <v>0</v>
      </c>
      <c r="D135" s="85">
        <v>0</v>
      </c>
      <c r="E135" s="85">
        <v>0</v>
      </c>
      <c r="F135" s="85">
        <v>0</v>
      </c>
      <c r="G135" s="85">
        <v>0</v>
      </c>
      <c r="H135" s="85">
        <v>0</v>
      </c>
      <c r="I135" s="85">
        <v>0</v>
      </c>
      <c r="J135" s="85">
        <v>0</v>
      </c>
      <c r="K135" s="85">
        <v>0</v>
      </c>
      <c r="L135" s="85">
        <v>0</v>
      </c>
      <c r="M135" s="85">
        <v>0</v>
      </c>
      <c r="N135" s="85">
        <v>0</v>
      </c>
      <c r="O135" s="85">
        <v>0</v>
      </c>
      <c r="P135" s="85">
        <v>0</v>
      </c>
      <c r="Q135" s="85">
        <v>0</v>
      </c>
      <c r="R135" s="85">
        <v>0</v>
      </c>
      <c r="S135" s="85">
        <v>0</v>
      </c>
      <c r="T135" s="85">
        <v>0</v>
      </c>
      <c r="U135" s="85">
        <v>0</v>
      </c>
      <c r="V135" s="85">
        <v>0</v>
      </c>
      <c r="W135" s="85">
        <v>0</v>
      </c>
      <c r="X135" s="85">
        <v>0</v>
      </c>
      <c r="Y135" s="85">
        <v>0</v>
      </c>
      <c r="Z135" s="85">
        <v>0</v>
      </c>
      <c r="AA135" s="85">
        <v>0</v>
      </c>
      <c r="AB135" s="85">
        <v>0</v>
      </c>
      <c r="AC135" s="85">
        <v>0</v>
      </c>
      <c r="AD135" s="85">
        <v>0</v>
      </c>
      <c r="AE135" s="85">
        <v>0</v>
      </c>
      <c r="AF135" s="85">
        <v>0</v>
      </c>
      <c r="AG135" s="85">
        <v>0</v>
      </c>
      <c r="AH135" s="85">
        <v>0</v>
      </c>
      <c r="AI135" s="85">
        <v>0</v>
      </c>
      <c r="AJ135" s="85">
        <v>0</v>
      </c>
      <c r="AK135" s="85">
        <v>0</v>
      </c>
      <c r="AL135" s="85">
        <v>0</v>
      </c>
      <c r="AM135" s="85">
        <v>0</v>
      </c>
      <c r="AN135" s="85">
        <v>0</v>
      </c>
      <c r="AO135" s="85">
        <v>0</v>
      </c>
      <c r="AP135" s="85">
        <v>0</v>
      </c>
      <c r="AQ135" s="85">
        <v>0</v>
      </c>
    </row>
    <row r="136" spans="1:43" ht="14.25" customHeight="1" x14ac:dyDescent="0.25">
      <c r="A136" s="89" t="s">
        <v>135</v>
      </c>
      <c r="B136" s="85">
        <v>0</v>
      </c>
      <c r="C136" s="85">
        <v>0</v>
      </c>
      <c r="D136" s="85">
        <v>0</v>
      </c>
      <c r="E136" s="85">
        <v>0</v>
      </c>
      <c r="F136" s="85">
        <v>0</v>
      </c>
      <c r="G136" s="85">
        <v>0</v>
      </c>
      <c r="H136" s="85">
        <v>0</v>
      </c>
      <c r="I136" s="85">
        <v>0</v>
      </c>
      <c r="J136" s="85">
        <v>0</v>
      </c>
      <c r="K136" s="85">
        <v>0</v>
      </c>
      <c r="L136" s="85">
        <v>0</v>
      </c>
      <c r="M136" s="85">
        <v>0</v>
      </c>
      <c r="N136" s="85">
        <v>0</v>
      </c>
      <c r="O136" s="85">
        <v>0</v>
      </c>
      <c r="P136" s="85">
        <v>0</v>
      </c>
      <c r="Q136" s="85">
        <v>0</v>
      </c>
      <c r="R136" s="85">
        <v>0</v>
      </c>
      <c r="S136" s="85">
        <v>0</v>
      </c>
      <c r="T136" s="85">
        <v>0</v>
      </c>
      <c r="U136" s="85">
        <v>0</v>
      </c>
      <c r="V136" s="85">
        <v>0</v>
      </c>
      <c r="W136" s="85">
        <v>0</v>
      </c>
      <c r="X136" s="85">
        <v>0</v>
      </c>
      <c r="Y136" s="85">
        <v>0</v>
      </c>
      <c r="Z136" s="85">
        <v>0</v>
      </c>
      <c r="AA136" s="85">
        <v>0</v>
      </c>
      <c r="AB136" s="85">
        <v>0</v>
      </c>
      <c r="AC136" s="85">
        <v>0</v>
      </c>
      <c r="AD136" s="85">
        <v>0</v>
      </c>
      <c r="AE136" s="85">
        <v>0</v>
      </c>
      <c r="AF136" s="85">
        <v>0</v>
      </c>
      <c r="AG136" s="85">
        <v>0</v>
      </c>
      <c r="AH136" s="85">
        <v>0</v>
      </c>
      <c r="AI136" s="85">
        <v>0</v>
      </c>
      <c r="AJ136" s="85">
        <v>0</v>
      </c>
      <c r="AK136" s="85">
        <v>0</v>
      </c>
      <c r="AL136" s="85">
        <v>0</v>
      </c>
      <c r="AM136" s="85">
        <v>0</v>
      </c>
      <c r="AN136" s="85">
        <v>0</v>
      </c>
      <c r="AO136" s="85">
        <v>0</v>
      </c>
      <c r="AP136" s="85">
        <v>0</v>
      </c>
      <c r="AQ136" s="85">
        <v>0</v>
      </c>
    </row>
    <row r="137" spans="1:43" ht="14.25" customHeight="1" x14ac:dyDescent="0.25">
      <c r="A137" s="89" t="s">
        <v>137</v>
      </c>
      <c r="B137" s="85">
        <v>0</v>
      </c>
      <c r="C137" s="85">
        <v>0</v>
      </c>
      <c r="D137" s="85">
        <v>0</v>
      </c>
      <c r="E137" s="85">
        <v>0</v>
      </c>
      <c r="F137" s="85">
        <v>0</v>
      </c>
      <c r="G137" s="85">
        <v>0</v>
      </c>
      <c r="H137" s="85">
        <v>0</v>
      </c>
      <c r="I137" s="85">
        <v>0</v>
      </c>
      <c r="J137" s="85">
        <v>0</v>
      </c>
      <c r="K137" s="85">
        <v>0</v>
      </c>
      <c r="L137" s="85">
        <v>0</v>
      </c>
      <c r="M137" s="85">
        <v>0</v>
      </c>
      <c r="N137" s="85">
        <v>0</v>
      </c>
      <c r="O137" s="85">
        <v>0</v>
      </c>
      <c r="P137" s="85">
        <v>0</v>
      </c>
      <c r="Q137" s="85">
        <v>0</v>
      </c>
      <c r="R137" s="85">
        <v>0</v>
      </c>
      <c r="S137" s="85">
        <v>0</v>
      </c>
      <c r="T137" s="85">
        <v>0</v>
      </c>
      <c r="U137" s="85">
        <v>0</v>
      </c>
      <c r="V137" s="85">
        <v>0</v>
      </c>
      <c r="W137" s="85">
        <v>0</v>
      </c>
      <c r="X137" s="85">
        <v>0</v>
      </c>
      <c r="Y137" s="85">
        <v>0</v>
      </c>
      <c r="Z137" s="85">
        <v>0</v>
      </c>
      <c r="AA137" s="85">
        <v>0</v>
      </c>
      <c r="AB137" s="85">
        <v>0</v>
      </c>
      <c r="AC137" s="85">
        <v>0</v>
      </c>
      <c r="AD137" s="85">
        <v>0</v>
      </c>
      <c r="AE137" s="85">
        <v>0</v>
      </c>
      <c r="AF137" s="85">
        <v>0</v>
      </c>
      <c r="AG137" s="85">
        <v>0</v>
      </c>
      <c r="AH137" s="85">
        <v>0</v>
      </c>
      <c r="AI137" s="85">
        <v>0</v>
      </c>
      <c r="AJ137" s="85">
        <v>0</v>
      </c>
      <c r="AK137" s="85">
        <v>0</v>
      </c>
      <c r="AL137" s="85">
        <v>0</v>
      </c>
      <c r="AM137" s="85">
        <v>0</v>
      </c>
      <c r="AN137" s="85">
        <v>0</v>
      </c>
      <c r="AO137" s="85">
        <v>0</v>
      </c>
      <c r="AP137" s="85">
        <v>0</v>
      </c>
      <c r="AQ137" s="85">
        <v>0</v>
      </c>
    </row>
    <row r="138" spans="1:43" ht="14.25" customHeight="1" x14ac:dyDescent="0.25">
      <c r="A138" s="89" t="s">
        <v>166</v>
      </c>
      <c r="B138" s="85">
        <v>0</v>
      </c>
      <c r="C138" s="85">
        <v>0</v>
      </c>
      <c r="D138" s="85">
        <v>0</v>
      </c>
      <c r="E138" s="85">
        <v>0</v>
      </c>
      <c r="F138" s="85">
        <v>0</v>
      </c>
      <c r="G138" s="85">
        <v>0</v>
      </c>
      <c r="H138" s="85">
        <v>0</v>
      </c>
      <c r="I138" s="85">
        <v>0</v>
      </c>
      <c r="J138" s="85">
        <v>0</v>
      </c>
      <c r="K138" s="85">
        <v>0</v>
      </c>
      <c r="L138" s="85">
        <v>0</v>
      </c>
      <c r="M138" s="85">
        <v>0</v>
      </c>
      <c r="N138" s="85">
        <v>0</v>
      </c>
      <c r="O138" s="85">
        <v>0</v>
      </c>
      <c r="P138" s="85">
        <v>0</v>
      </c>
      <c r="Q138" s="85">
        <v>0</v>
      </c>
      <c r="R138" s="85">
        <v>0</v>
      </c>
      <c r="S138" s="85">
        <v>0</v>
      </c>
      <c r="T138" s="85">
        <v>0</v>
      </c>
      <c r="U138" s="85">
        <v>0</v>
      </c>
      <c r="V138" s="85">
        <v>0</v>
      </c>
      <c r="W138" s="85">
        <v>0</v>
      </c>
      <c r="X138" s="85">
        <v>0</v>
      </c>
      <c r="Y138" s="85">
        <v>0</v>
      </c>
      <c r="Z138" s="85">
        <v>0</v>
      </c>
      <c r="AA138" s="85">
        <v>0</v>
      </c>
      <c r="AB138" s="85">
        <v>0</v>
      </c>
      <c r="AC138" s="85">
        <v>0</v>
      </c>
      <c r="AD138" s="85">
        <v>0</v>
      </c>
      <c r="AE138" s="85">
        <v>0</v>
      </c>
      <c r="AF138" s="85">
        <v>0</v>
      </c>
      <c r="AG138" s="85">
        <v>0</v>
      </c>
      <c r="AH138" s="85">
        <v>0</v>
      </c>
      <c r="AI138" s="85">
        <v>0</v>
      </c>
      <c r="AJ138" s="85">
        <v>0</v>
      </c>
      <c r="AK138" s="85">
        <v>0</v>
      </c>
      <c r="AL138" s="85">
        <v>0</v>
      </c>
      <c r="AM138" s="85">
        <v>0</v>
      </c>
      <c r="AN138" s="85">
        <v>0</v>
      </c>
      <c r="AO138" s="85">
        <v>0</v>
      </c>
      <c r="AP138" s="85">
        <v>0</v>
      </c>
      <c r="AQ138" s="85">
        <v>0</v>
      </c>
    </row>
    <row r="139" spans="1:43" ht="14.25" customHeight="1" x14ac:dyDescent="0.25">
      <c r="A139" s="89" t="s">
        <v>334</v>
      </c>
      <c r="B139" s="85">
        <v>0</v>
      </c>
      <c r="C139" s="85">
        <v>0</v>
      </c>
      <c r="D139" s="85">
        <v>0</v>
      </c>
      <c r="E139" s="85">
        <v>0</v>
      </c>
      <c r="F139" s="85">
        <v>0</v>
      </c>
      <c r="G139" s="85">
        <v>0</v>
      </c>
      <c r="H139" s="85">
        <v>0</v>
      </c>
      <c r="I139" s="85">
        <v>0</v>
      </c>
      <c r="J139" s="85">
        <v>0</v>
      </c>
      <c r="K139" s="85">
        <v>0</v>
      </c>
      <c r="L139" s="85">
        <v>0</v>
      </c>
      <c r="M139" s="85">
        <v>0</v>
      </c>
      <c r="N139" s="85">
        <v>0</v>
      </c>
      <c r="O139" s="85">
        <v>0</v>
      </c>
      <c r="P139" s="85">
        <v>0</v>
      </c>
      <c r="Q139" s="85">
        <v>0</v>
      </c>
      <c r="R139" s="85">
        <v>0</v>
      </c>
      <c r="S139" s="85">
        <v>0</v>
      </c>
      <c r="T139" s="85">
        <v>0</v>
      </c>
      <c r="U139" s="85">
        <v>0</v>
      </c>
      <c r="V139" s="85">
        <v>0</v>
      </c>
      <c r="W139" s="85">
        <v>0</v>
      </c>
      <c r="X139" s="85">
        <v>0</v>
      </c>
      <c r="Y139" s="85">
        <v>0</v>
      </c>
      <c r="Z139" s="85">
        <v>0</v>
      </c>
      <c r="AA139" s="85">
        <v>0</v>
      </c>
      <c r="AB139" s="85">
        <v>0</v>
      </c>
      <c r="AC139" s="85">
        <v>0</v>
      </c>
      <c r="AD139" s="85">
        <v>0</v>
      </c>
      <c r="AE139" s="85">
        <v>0</v>
      </c>
      <c r="AF139" s="85">
        <v>0</v>
      </c>
      <c r="AG139" s="85">
        <v>0</v>
      </c>
      <c r="AH139" s="85">
        <v>0</v>
      </c>
      <c r="AI139" s="85">
        <v>0</v>
      </c>
      <c r="AJ139" s="85">
        <v>0</v>
      </c>
      <c r="AK139" s="85">
        <v>0</v>
      </c>
      <c r="AL139" s="85">
        <v>0</v>
      </c>
      <c r="AM139" s="85">
        <v>0</v>
      </c>
      <c r="AN139" s="85">
        <v>0</v>
      </c>
      <c r="AO139" s="85">
        <v>0</v>
      </c>
      <c r="AP139" s="85">
        <v>0</v>
      </c>
      <c r="AQ139" s="85">
        <v>0</v>
      </c>
    </row>
    <row r="140" spans="1:43" ht="14.25" customHeight="1" x14ac:dyDescent="0.25">
      <c r="A140" s="89" t="s">
        <v>136</v>
      </c>
      <c r="B140" s="85">
        <v>0</v>
      </c>
      <c r="C140" s="85">
        <v>0</v>
      </c>
      <c r="D140" s="85">
        <v>0</v>
      </c>
      <c r="E140" s="85">
        <v>0</v>
      </c>
      <c r="F140" s="85">
        <v>0</v>
      </c>
      <c r="G140" s="85">
        <v>0</v>
      </c>
      <c r="H140" s="85">
        <v>0</v>
      </c>
      <c r="I140" s="85">
        <v>0</v>
      </c>
      <c r="J140" s="85">
        <v>0</v>
      </c>
      <c r="K140" s="85">
        <v>0</v>
      </c>
      <c r="L140" s="85">
        <v>0</v>
      </c>
      <c r="M140" s="85">
        <v>0</v>
      </c>
      <c r="N140" s="85">
        <v>0</v>
      </c>
      <c r="O140" s="85">
        <v>0</v>
      </c>
      <c r="P140" s="85">
        <v>0</v>
      </c>
      <c r="Q140" s="85">
        <v>0</v>
      </c>
      <c r="R140" s="85">
        <v>0</v>
      </c>
      <c r="S140" s="85">
        <v>0</v>
      </c>
      <c r="T140" s="85">
        <v>0</v>
      </c>
      <c r="U140" s="85">
        <v>0</v>
      </c>
      <c r="V140" s="85">
        <v>0</v>
      </c>
      <c r="W140" s="85">
        <v>0</v>
      </c>
      <c r="X140" s="85">
        <v>0</v>
      </c>
      <c r="Y140" s="85">
        <v>0</v>
      </c>
      <c r="Z140" s="85">
        <v>0</v>
      </c>
      <c r="AA140" s="85">
        <v>0</v>
      </c>
      <c r="AB140" s="85">
        <v>0</v>
      </c>
      <c r="AC140" s="85">
        <v>0</v>
      </c>
      <c r="AD140" s="85">
        <v>0</v>
      </c>
      <c r="AE140" s="85">
        <v>0</v>
      </c>
      <c r="AF140" s="85">
        <v>0</v>
      </c>
      <c r="AG140" s="85">
        <v>0</v>
      </c>
      <c r="AH140" s="85">
        <v>0</v>
      </c>
      <c r="AI140" s="85">
        <v>0</v>
      </c>
      <c r="AJ140" s="85">
        <v>0</v>
      </c>
      <c r="AK140" s="85">
        <v>0</v>
      </c>
      <c r="AL140" s="85">
        <v>0</v>
      </c>
      <c r="AM140" s="85">
        <v>0</v>
      </c>
      <c r="AN140" s="85">
        <v>0</v>
      </c>
      <c r="AO140" s="85">
        <v>0</v>
      </c>
      <c r="AP140" s="85">
        <v>0</v>
      </c>
      <c r="AQ140" s="85">
        <v>0</v>
      </c>
    </row>
    <row r="141" spans="1:43" ht="14.25" customHeight="1" x14ac:dyDescent="0.25">
      <c r="A141" s="89" t="s">
        <v>108</v>
      </c>
      <c r="B141" s="85">
        <v>0</v>
      </c>
      <c r="C141" s="85">
        <v>0</v>
      </c>
      <c r="D141" s="85">
        <v>0</v>
      </c>
      <c r="E141" s="85">
        <v>0</v>
      </c>
      <c r="F141" s="85">
        <v>0</v>
      </c>
      <c r="G141" s="85">
        <v>0</v>
      </c>
      <c r="H141" s="85">
        <v>0</v>
      </c>
      <c r="I141" s="85">
        <v>0</v>
      </c>
      <c r="J141" s="85">
        <v>0</v>
      </c>
      <c r="K141" s="85">
        <v>0</v>
      </c>
      <c r="L141" s="85">
        <v>0</v>
      </c>
      <c r="M141" s="85">
        <v>0</v>
      </c>
      <c r="N141" s="85">
        <v>0</v>
      </c>
      <c r="O141" s="85">
        <v>0</v>
      </c>
      <c r="P141" s="85">
        <v>0</v>
      </c>
      <c r="Q141" s="85">
        <v>0</v>
      </c>
      <c r="R141" s="85">
        <v>0</v>
      </c>
      <c r="S141" s="85">
        <v>0</v>
      </c>
      <c r="T141" s="85">
        <v>0</v>
      </c>
      <c r="U141" s="85">
        <v>0</v>
      </c>
      <c r="V141" s="85">
        <v>0</v>
      </c>
      <c r="W141" s="85">
        <v>0</v>
      </c>
      <c r="X141" s="85">
        <v>0</v>
      </c>
      <c r="Y141" s="85">
        <v>0</v>
      </c>
      <c r="Z141" s="85">
        <v>0</v>
      </c>
      <c r="AA141" s="85">
        <v>0</v>
      </c>
      <c r="AB141" s="85">
        <v>0</v>
      </c>
      <c r="AC141" s="85">
        <v>0</v>
      </c>
      <c r="AD141" s="85">
        <v>0</v>
      </c>
      <c r="AE141" s="85">
        <v>0</v>
      </c>
      <c r="AF141" s="85">
        <v>0</v>
      </c>
      <c r="AG141" s="85">
        <v>0</v>
      </c>
      <c r="AH141" s="85">
        <v>0</v>
      </c>
      <c r="AI141" s="85">
        <v>0</v>
      </c>
      <c r="AJ141" s="85">
        <v>0</v>
      </c>
      <c r="AK141" s="85">
        <v>0</v>
      </c>
      <c r="AL141" s="85">
        <v>0</v>
      </c>
      <c r="AM141" s="85">
        <v>0</v>
      </c>
      <c r="AN141" s="85">
        <v>0</v>
      </c>
      <c r="AO141" s="85">
        <v>0</v>
      </c>
      <c r="AP141" s="85">
        <v>0</v>
      </c>
      <c r="AQ141" s="85">
        <v>0</v>
      </c>
    </row>
    <row r="142" spans="1:43" ht="14.25" customHeight="1" x14ac:dyDescent="0.25">
      <c r="A142" s="89"/>
      <c r="B142" s="85">
        <v>0</v>
      </c>
      <c r="C142" s="85">
        <v>0</v>
      </c>
      <c r="D142" s="85">
        <v>0</v>
      </c>
      <c r="E142" s="85">
        <v>0</v>
      </c>
      <c r="F142" s="85">
        <v>0</v>
      </c>
      <c r="G142" s="85">
        <v>0</v>
      </c>
      <c r="H142" s="85">
        <v>0</v>
      </c>
      <c r="I142" s="85">
        <v>0</v>
      </c>
      <c r="J142" s="85">
        <v>0</v>
      </c>
      <c r="K142" s="85">
        <v>0</v>
      </c>
      <c r="L142" s="85">
        <v>0</v>
      </c>
      <c r="M142" s="85">
        <v>0</v>
      </c>
      <c r="N142" s="85">
        <v>0</v>
      </c>
      <c r="O142" s="85">
        <v>0</v>
      </c>
      <c r="P142" s="85">
        <v>0</v>
      </c>
      <c r="Q142" s="85">
        <v>0</v>
      </c>
      <c r="R142" s="85">
        <v>0</v>
      </c>
      <c r="S142" s="85">
        <v>0</v>
      </c>
      <c r="T142" s="85">
        <v>0</v>
      </c>
      <c r="U142" s="85">
        <v>0</v>
      </c>
      <c r="V142" s="85">
        <v>0</v>
      </c>
      <c r="W142" s="85">
        <v>0</v>
      </c>
      <c r="X142" s="85">
        <v>0</v>
      </c>
      <c r="Y142" s="85">
        <v>0</v>
      </c>
      <c r="Z142" s="85">
        <v>0</v>
      </c>
      <c r="AA142" s="85">
        <v>0</v>
      </c>
      <c r="AB142" s="85">
        <v>0</v>
      </c>
      <c r="AC142" s="85">
        <v>0</v>
      </c>
      <c r="AD142" s="85">
        <v>0</v>
      </c>
      <c r="AE142" s="85">
        <v>0</v>
      </c>
      <c r="AF142" s="85">
        <v>0</v>
      </c>
      <c r="AG142" s="85">
        <v>0</v>
      </c>
      <c r="AH142" s="85">
        <v>0</v>
      </c>
      <c r="AI142" s="85">
        <v>0</v>
      </c>
      <c r="AJ142" s="85">
        <v>0</v>
      </c>
      <c r="AK142" s="85">
        <v>0</v>
      </c>
      <c r="AL142" s="85">
        <v>0</v>
      </c>
      <c r="AM142" s="85">
        <v>0</v>
      </c>
      <c r="AN142" s="85">
        <v>0</v>
      </c>
      <c r="AO142" s="85">
        <v>0</v>
      </c>
      <c r="AP142" s="85">
        <v>0</v>
      </c>
      <c r="AQ142" s="85">
        <v>0</v>
      </c>
    </row>
    <row r="143" spans="1:43" ht="14.25" customHeight="1" x14ac:dyDescent="0.25">
      <c r="A143" s="89"/>
      <c r="B143" s="85">
        <v>0</v>
      </c>
      <c r="C143" s="85">
        <v>0</v>
      </c>
      <c r="D143" s="85">
        <v>0</v>
      </c>
      <c r="E143" s="85">
        <v>0</v>
      </c>
      <c r="F143" s="85">
        <v>0</v>
      </c>
      <c r="G143" s="85">
        <v>0</v>
      </c>
      <c r="H143" s="85">
        <v>0</v>
      </c>
      <c r="I143" s="85">
        <v>0</v>
      </c>
      <c r="J143" s="85">
        <v>0</v>
      </c>
      <c r="K143" s="85">
        <v>0</v>
      </c>
      <c r="L143" s="85">
        <v>0</v>
      </c>
      <c r="M143" s="85">
        <v>0</v>
      </c>
      <c r="N143" s="85">
        <v>0</v>
      </c>
      <c r="O143" s="85">
        <v>0</v>
      </c>
      <c r="P143" s="85">
        <v>0</v>
      </c>
      <c r="Q143" s="85">
        <v>0</v>
      </c>
      <c r="R143" s="85">
        <v>0</v>
      </c>
      <c r="S143" s="85">
        <v>0</v>
      </c>
      <c r="T143" s="85">
        <v>0</v>
      </c>
      <c r="U143" s="85">
        <v>0</v>
      </c>
      <c r="V143" s="85">
        <v>0</v>
      </c>
      <c r="W143" s="85">
        <v>0</v>
      </c>
      <c r="X143" s="85">
        <v>0</v>
      </c>
      <c r="Y143" s="85">
        <v>0</v>
      </c>
      <c r="Z143" s="85">
        <v>0</v>
      </c>
      <c r="AA143" s="85">
        <v>0</v>
      </c>
      <c r="AB143" s="85">
        <v>0</v>
      </c>
      <c r="AC143" s="85">
        <v>0</v>
      </c>
      <c r="AD143" s="85">
        <v>0</v>
      </c>
      <c r="AE143" s="85">
        <v>0</v>
      </c>
      <c r="AF143" s="85">
        <v>0</v>
      </c>
      <c r="AG143" s="85">
        <v>0</v>
      </c>
      <c r="AH143" s="85">
        <v>0</v>
      </c>
      <c r="AI143" s="85">
        <v>0</v>
      </c>
      <c r="AJ143" s="85">
        <v>0</v>
      </c>
      <c r="AK143" s="85">
        <v>0</v>
      </c>
      <c r="AL143" s="85">
        <v>0</v>
      </c>
      <c r="AM143" s="85">
        <v>0</v>
      </c>
      <c r="AN143" s="85">
        <v>0</v>
      </c>
      <c r="AO143" s="85">
        <v>0</v>
      </c>
      <c r="AP143" s="85">
        <v>0</v>
      </c>
      <c r="AQ143" s="85">
        <v>0</v>
      </c>
    </row>
    <row r="144" spans="1:43" ht="14.25" customHeight="1" x14ac:dyDescent="0.25">
      <c r="A144" s="89"/>
      <c r="B144" s="85">
        <v>0</v>
      </c>
      <c r="C144" s="85">
        <v>0</v>
      </c>
      <c r="D144" s="85">
        <v>0</v>
      </c>
      <c r="E144" s="85">
        <v>0</v>
      </c>
      <c r="F144" s="85">
        <v>0</v>
      </c>
      <c r="G144" s="85">
        <v>0</v>
      </c>
      <c r="H144" s="85">
        <v>0</v>
      </c>
      <c r="I144" s="85">
        <v>0</v>
      </c>
      <c r="J144" s="85">
        <v>0</v>
      </c>
      <c r="K144" s="85">
        <v>0</v>
      </c>
      <c r="L144" s="85">
        <v>0</v>
      </c>
      <c r="M144" s="85">
        <v>0</v>
      </c>
      <c r="N144" s="85">
        <v>0</v>
      </c>
      <c r="O144" s="85">
        <v>0</v>
      </c>
      <c r="P144" s="85">
        <v>0</v>
      </c>
      <c r="Q144" s="85">
        <v>0</v>
      </c>
      <c r="R144" s="85">
        <v>0</v>
      </c>
      <c r="S144" s="85">
        <v>0</v>
      </c>
      <c r="T144" s="85">
        <v>0</v>
      </c>
      <c r="U144" s="85">
        <v>0</v>
      </c>
      <c r="V144" s="85">
        <v>0</v>
      </c>
      <c r="W144" s="85">
        <v>0</v>
      </c>
      <c r="X144" s="85">
        <v>0</v>
      </c>
      <c r="Y144" s="85">
        <v>0</v>
      </c>
      <c r="Z144" s="85">
        <v>0</v>
      </c>
      <c r="AA144" s="85">
        <v>0</v>
      </c>
      <c r="AB144" s="85">
        <v>0</v>
      </c>
      <c r="AC144" s="85">
        <v>0</v>
      </c>
      <c r="AD144" s="85">
        <v>0</v>
      </c>
      <c r="AE144" s="85">
        <v>0</v>
      </c>
      <c r="AF144" s="85">
        <v>0</v>
      </c>
      <c r="AG144" s="85">
        <v>0</v>
      </c>
      <c r="AH144" s="85">
        <v>0</v>
      </c>
      <c r="AI144" s="85">
        <v>0</v>
      </c>
      <c r="AJ144" s="85">
        <v>0</v>
      </c>
      <c r="AK144" s="85">
        <v>0</v>
      </c>
      <c r="AL144" s="85">
        <v>0</v>
      </c>
      <c r="AM144" s="85">
        <v>0</v>
      </c>
      <c r="AN144" s="85">
        <v>0</v>
      </c>
      <c r="AO144" s="85">
        <v>0</v>
      </c>
      <c r="AP144" s="85">
        <v>0</v>
      </c>
      <c r="AQ144" s="85">
        <v>0</v>
      </c>
    </row>
    <row r="145" spans="1:43" ht="14.25" customHeight="1" x14ac:dyDescent="0.25">
      <c r="A145" s="89"/>
      <c r="B145" s="85">
        <v>0</v>
      </c>
      <c r="C145" s="85">
        <v>0</v>
      </c>
      <c r="D145" s="85">
        <v>0</v>
      </c>
      <c r="E145" s="85">
        <v>0</v>
      </c>
      <c r="F145" s="85">
        <v>0</v>
      </c>
      <c r="G145" s="85">
        <v>0</v>
      </c>
      <c r="H145" s="85">
        <v>0</v>
      </c>
      <c r="I145" s="85">
        <v>0</v>
      </c>
      <c r="J145" s="85">
        <v>0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0</v>
      </c>
      <c r="R145" s="85">
        <v>0</v>
      </c>
      <c r="S145" s="85">
        <v>0</v>
      </c>
      <c r="T145" s="85">
        <v>0</v>
      </c>
      <c r="U145" s="85">
        <v>0</v>
      </c>
      <c r="V145" s="85">
        <v>0</v>
      </c>
      <c r="W145" s="85">
        <v>0</v>
      </c>
      <c r="X145" s="85">
        <v>0</v>
      </c>
      <c r="Y145" s="85">
        <v>0</v>
      </c>
      <c r="Z145" s="85">
        <v>0</v>
      </c>
      <c r="AA145" s="85">
        <v>0</v>
      </c>
      <c r="AB145" s="85">
        <v>0</v>
      </c>
      <c r="AC145" s="85">
        <v>0</v>
      </c>
      <c r="AD145" s="85">
        <v>0</v>
      </c>
      <c r="AE145" s="85">
        <v>0</v>
      </c>
      <c r="AF145" s="85">
        <v>0</v>
      </c>
      <c r="AG145" s="85">
        <v>0</v>
      </c>
      <c r="AH145" s="85">
        <v>0</v>
      </c>
      <c r="AI145" s="85">
        <v>0</v>
      </c>
      <c r="AJ145" s="85">
        <v>0</v>
      </c>
      <c r="AK145" s="85">
        <v>0</v>
      </c>
      <c r="AL145" s="85">
        <v>0</v>
      </c>
      <c r="AM145" s="85">
        <v>0</v>
      </c>
      <c r="AN145" s="85">
        <v>0</v>
      </c>
      <c r="AO145" s="85">
        <v>0</v>
      </c>
      <c r="AP145" s="85">
        <v>0</v>
      </c>
      <c r="AQ145" s="85">
        <v>0</v>
      </c>
    </row>
    <row r="146" spans="1:43" ht="14.25" customHeight="1" x14ac:dyDescent="0.25">
      <c r="A146" s="89"/>
      <c r="B146" s="85">
        <v>0</v>
      </c>
      <c r="C146" s="85">
        <v>0</v>
      </c>
      <c r="D146" s="85">
        <v>0</v>
      </c>
      <c r="E146" s="85">
        <v>0</v>
      </c>
      <c r="F146" s="85">
        <v>0</v>
      </c>
      <c r="G146" s="85">
        <v>0</v>
      </c>
      <c r="H146" s="85">
        <v>0</v>
      </c>
      <c r="I146" s="85">
        <v>0</v>
      </c>
      <c r="J146" s="85">
        <v>0</v>
      </c>
      <c r="K146" s="85">
        <v>0</v>
      </c>
      <c r="L146" s="85">
        <v>0</v>
      </c>
      <c r="M146" s="85">
        <v>0</v>
      </c>
      <c r="N146" s="85">
        <v>0</v>
      </c>
      <c r="O146" s="85">
        <v>0</v>
      </c>
      <c r="P146" s="85">
        <v>0</v>
      </c>
      <c r="Q146" s="85">
        <v>0</v>
      </c>
      <c r="R146" s="85">
        <v>0</v>
      </c>
      <c r="S146" s="85">
        <v>0</v>
      </c>
      <c r="T146" s="85">
        <v>0</v>
      </c>
      <c r="U146" s="85">
        <v>0</v>
      </c>
      <c r="V146" s="85">
        <v>0</v>
      </c>
      <c r="W146" s="85">
        <v>0</v>
      </c>
      <c r="X146" s="85">
        <v>0</v>
      </c>
      <c r="Y146" s="85">
        <v>0</v>
      </c>
      <c r="Z146" s="85">
        <v>0</v>
      </c>
      <c r="AA146" s="85">
        <v>0</v>
      </c>
      <c r="AB146" s="85">
        <v>0</v>
      </c>
      <c r="AC146" s="85">
        <v>0</v>
      </c>
      <c r="AD146" s="85">
        <v>0</v>
      </c>
      <c r="AE146" s="85">
        <v>0</v>
      </c>
      <c r="AF146" s="85">
        <v>0</v>
      </c>
      <c r="AG146" s="85">
        <v>0</v>
      </c>
      <c r="AH146" s="85">
        <v>0</v>
      </c>
      <c r="AI146" s="85">
        <v>0</v>
      </c>
      <c r="AJ146" s="85">
        <v>0</v>
      </c>
      <c r="AK146" s="85">
        <v>0</v>
      </c>
      <c r="AL146" s="85">
        <v>0</v>
      </c>
      <c r="AM146" s="85">
        <v>0</v>
      </c>
      <c r="AN146" s="85">
        <v>0</v>
      </c>
      <c r="AO146" s="85">
        <v>0</v>
      </c>
      <c r="AP146" s="85">
        <v>0</v>
      </c>
      <c r="AQ146" s="85">
        <v>0</v>
      </c>
    </row>
    <row r="147" spans="1:43" ht="14.25" customHeight="1" x14ac:dyDescent="0.25">
      <c r="A147" s="89"/>
      <c r="B147" s="85">
        <v>0</v>
      </c>
      <c r="C147" s="85">
        <v>0</v>
      </c>
      <c r="D147" s="85">
        <v>0</v>
      </c>
      <c r="E147" s="85">
        <v>0</v>
      </c>
      <c r="F147" s="85">
        <v>0</v>
      </c>
      <c r="G147" s="85">
        <v>0</v>
      </c>
      <c r="H147" s="85">
        <v>0</v>
      </c>
      <c r="I147" s="85">
        <v>0</v>
      </c>
      <c r="J147" s="85">
        <v>0</v>
      </c>
      <c r="K147" s="85">
        <v>0</v>
      </c>
      <c r="L147" s="85">
        <v>0</v>
      </c>
      <c r="M147" s="85">
        <v>0</v>
      </c>
      <c r="N147" s="85">
        <v>0</v>
      </c>
      <c r="O147" s="85">
        <v>0</v>
      </c>
      <c r="P147" s="85">
        <v>0</v>
      </c>
      <c r="Q147" s="85">
        <v>0</v>
      </c>
      <c r="R147" s="85">
        <v>0</v>
      </c>
      <c r="S147" s="85">
        <v>0</v>
      </c>
      <c r="T147" s="85">
        <v>0</v>
      </c>
      <c r="U147" s="85">
        <v>0</v>
      </c>
      <c r="V147" s="85">
        <v>0</v>
      </c>
      <c r="W147" s="85">
        <v>0</v>
      </c>
      <c r="X147" s="85">
        <v>0</v>
      </c>
      <c r="Y147" s="85">
        <v>0</v>
      </c>
      <c r="Z147" s="85">
        <v>0</v>
      </c>
      <c r="AA147" s="85">
        <v>0</v>
      </c>
      <c r="AB147" s="85">
        <v>0</v>
      </c>
      <c r="AC147" s="85">
        <v>0</v>
      </c>
      <c r="AD147" s="85">
        <v>0</v>
      </c>
      <c r="AE147" s="85">
        <v>0</v>
      </c>
      <c r="AF147" s="85">
        <v>0</v>
      </c>
      <c r="AG147" s="85">
        <v>0</v>
      </c>
      <c r="AH147" s="85">
        <v>0</v>
      </c>
      <c r="AI147" s="85">
        <v>0</v>
      </c>
      <c r="AJ147" s="85">
        <v>0</v>
      </c>
      <c r="AK147" s="85">
        <v>0</v>
      </c>
      <c r="AL147" s="85">
        <v>0</v>
      </c>
      <c r="AM147" s="85">
        <v>0</v>
      </c>
      <c r="AN147" s="85">
        <v>0</v>
      </c>
      <c r="AO147" s="85">
        <v>0</v>
      </c>
      <c r="AP147" s="85">
        <v>0</v>
      </c>
      <c r="AQ147" s="85">
        <v>0</v>
      </c>
    </row>
    <row r="148" spans="1:43" ht="14.25" customHeight="1" x14ac:dyDescent="0.25">
      <c r="A148" s="89"/>
      <c r="B148" s="85">
        <v>0</v>
      </c>
      <c r="C148" s="85">
        <v>0</v>
      </c>
      <c r="D148" s="85">
        <v>0</v>
      </c>
      <c r="E148" s="85">
        <v>0</v>
      </c>
      <c r="F148" s="85">
        <v>0</v>
      </c>
      <c r="G148" s="85">
        <v>0</v>
      </c>
      <c r="H148" s="85">
        <v>0</v>
      </c>
      <c r="I148" s="85">
        <v>0</v>
      </c>
      <c r="J148" s="85">
        <v>0</v>
      </c>
      <c r="K148" s="85">
        <v>0</v>
      </c>
      <c r="L148" s="85">
        <v>0</v>
      </c>
      <c r="M148" s="85">
        <v>0</v>
      </c>
      <c r="N148" s="85">
        <v>0</v>
      </c>
      <c r="O148" s="85">
        <v>0</v>
      </c>
      <c r="P148" s="85">
        <v>0</v>
      </c>
      <c r="Q148" s="85">
        <v>0</v>
      </c>
      <c r="R148" s="85">
        <v>0</v>
      </c>
      <c r="S148" s="85">
        <v>0</v>
      </c>
      <c r="T148" s="85">
        <v>0</v>
      </c>
      <c r="U148" s="85">
        <v>0</v>
      </c>
      <c r="V148" s="85">
        <v>0</v>
      </c>
      <c r="W148" s="85">
        <v>0</v>
      </c>
      <c r="X148" s="85">
        <v>0</v>
      </c>
      <c r="Y148" s="85">
        <v>0</v>
      </c>
      <c r="Z148" s="85">
        <v>0</v>
      </c>
      <c r="AA148" s="85">
        <v>0</v>
      </c>
      <c r="AB148" s="85">
        <v>0</v>
      </c>
      <c r="AC148" s="85">
        <v>0</v>
      </c>
      <c r="AD148" s="85">
        <v>0</v>
      </c>
      <c r="AE148" s="85">
        <v>0</v>
      </c>
      <c r="AF148" s="85">
        <v>0</v>
      </c>
      <c r="AG148" s="85">
        <v>0</v>
      </c>
      <c r="AH148" s="85">
        <v>0</v>
      </c>
      <c r="AI148" s="85">
        <v>0</v>
      </c>
      <c r="AJ148" s="85">
        <v>0</v>
      </c>
      <c r="AK148" s="85">
        <v>0</v>
      </c>
      <c r="AL148" s="85">
        <v>0</v>
      </c>
      <c r="AM148" s="85">
        <v>0</v>
      </c>
      <c r="AN148" s="85">
        <v>0</v>
      </c>
      <c r="AO148" s="85">
        <v>0</v>
      </c>
      <c r="AP148" s="85">
        <v>0</v>
      </c>
      <c r="AQ148" s="85">
        <v>0</v>
      </c>
    </row>
    <row r="151" spans="1:43" ht="14.25" hidden="1" customHeight="1" x14ac:dyDescent="0.25">
      <c r="B151" s="617" t="s">
        <v>2</v>
      </c>
      <c r="C151" s="617"/>
      <c r="D151" s="617"/>
      <c r="E151" s="617"/>
      <c r="F151" s="617"/>
      <c r="H151" s="617" t="s">
        <v>2</v>
      </c>
      <c r="I151" s="617"/>
      <c r="J151" s="617"/>
      <c r="K151" s="617"/>
      <c r="L151" s="617"/>
    </row>
    <row r="152" spans="1:43" ht="14.25" hidden="1" customHeight="1" x14ac:dyDescent="0.25">
      <c r="B152" s="618" t="s">
        <v>479</v>
      </c>
      <c r="C152" s="618"/>
      <c r="D152" s="618"/>
      <c r="E152" s="618"/>
      <c r="F152" s="618"/>
      <c r="H152" s="617" t="s">
        <v>480</v>
      </c>
      <c r="I152" s="617"/>
      <c r="J152" s="617"/>
      <c r="K152" s="617"/>
      <c r="L152" s="617"/>
    </row>
    <row r="153" spans="1:43" ht="14.25" hidden="1" customHeight="1" x14ac:dyDescent="0.25">
      <c r="B153" s="84" t="s">
        <v>481</v>
      </c>
      <c r="C153" s="615" t="str">
        <f>'Comparison Tool'!C5</f>
        <v>Lorenzo de' Medici</v>
      </c>
      <c r="D153" s="615"/>
      <c r="E153" s="85" t="e">
        <f>MATCH(C153,A157:A198,0)</f>
        <v>#N/A</v>
      </c>
      <c r="F153" s="84" t="s">
        <v>482</v>
      </c>
      <c r="H153" s="84" t="s">
        <v>481</v>
      </c>
      <c r="I153" s="615" t="str">
        <f>'Comparison Tool'!C12</f>
        <v>Vercingetorix</v>
      </c>
      <c r="J153" s="615"/>
      <c r="K153" s="85" t="e">
        <f>MATCH(I153,A157:A197,0)</f>
        <v>#N/A</v>
      </c>
      <c r="L153" s="84" t="s">
        <v>482</v>
      </c>
    </row>
    <row r="154" spans="1:43" ht="14.25" hidden="1" customHeight="1" x14ac:dyDescent="0.25">
      <c r="B154" s="84" t="s">
        <v>483</v>
      </c>
      <c r="C154" s="615" t="str">
        <f>'Comparison Tool'!C7</f>
        <v>Niccolo Piccinino</v>
      </c>
      <c r="D154" s="615"/>
      <c r="E154" s="85" t="e">
        <f>MATCH(C154,B156:AQ156,0)</f>
        <v>#N/A</v>
      </c>
      <c r="F154" s="84" t="s">
        <v>484</v>
      </c>
      <c r="H154" s="84" t="s">
        <v>483</v>
      </c>
      <c r="I154" s="615" t="str">
        <f>'Comparison Tool'!C14</f>
        <v>Niccolo Piccinino</v>
      </c>
      <c r="J154" s="615"/>
      <c r="K154" s="85" t="e">
        <f>MATCH(I154,B156:AQ156,0)</f>
        <v>#N/A</v>
      </c>
      <c r="L154" s="84" t="s">
        <v>484</v>
      </c>
    </row>
    <row r="155" spans="1:43" ht="14.25" hidden="1" customHeight="1" x14ac:dyDescent="0.25">
      <c r="B155" s="86"/>
      <c r="C155" s="616" t="s">
        <v>485</v>
      </c>
      <c r="D155" s="616"/>
      <c r="E155" s="83" t="e">
        <f>INDEX(B157:AQ198,E154,E153)</f>
        <v>#N/A</v>
      </c>
      <c r="H155" s="86"/>
      <c r="I155" s="616" t="s">
        <v>485</v>
      </c>
      <c r="J155" s="616"/>
      <c r="K155" s="83" t="e">
        <f>INDEX(B157:AQ198,K154,K153)</f>
        <v>#N/A</v>
      </c>
    </row>
    <row r="156" spans="1:43" ht="69.75" customHeight="1" x14ac:dyDescent="0.25">
      <c r="A156" s="92" t="s">
        <v>489</v>
      </c>
      <c r="B156" s="88" t="s">
        <v>82</v>
      </c>
      <c r="C156" s="88" t="s">
        <v>305</v>
      </c>
      <c r="D156" s="88" t="s">
        <v>84</v>
      </c>
      <c r="E156" s="88" t="s">
        <v>85</v>
      </c>
      <c r="F156" s="88" t="s">
        <v>83</v>
      </c>
      <c r="G156" s="88" t="s">
        <v>86</v>
      </c>
      <c r="H156" s="88" t="s">
        <v>88</v>
      </c>
      <c r="I156" s="88" t="s">
        <v>87</v>
      </c>
      <c r="J156" s="88" t="s">
        <v>89</v>
      </c>
      <c r="K156" s="88" t="s">
        <v>90</v>
      </c>
      <c r="L156" s="88" t="s">
        <v>294</v>
      </c>
      <c r="M156" s="88" t="s">
        <v>91</v>
      </c>
      <c r="N156" s="88" t="s">
        <v>92</v>
      </c>
      <c r="O156" s="88" t="s">
        <v>93</v>
      </c>
      <c r="P156" s="88" t="s">
        <v>296</v>
      </c>
      <c r="Q156" s="88" t="s">
        <v>95</v>
      </c>
      <c r="R156" s="88" t="s">
        <v>94</v>
      </c>
      <c r="S156" s="88" t="s">
        <v>97</v>
      </c>
      <c r="T156" s="88" t="s">
        <v>98</v>
      </c>
      <c r="U156" s="88" t="s">
        <v>100</v>
      </c>
      <c r="V156" s="88" t="s">
        <v>96</v>
      </c>
      <c r="W156" s="88" t="s">
        <v>103</v>
      </c>
      <c r="X156" s="88" t="s">
        <v>99</v>
      </c>
      <c r="Y156" s="88" t="s">
        <v>104</v>
      </c>
      <c r="Z156" s="88" t="s">
        <v>102</v>
      </c>
      <c r="AA156" s="88" t="s">
        <v>106</v>
      </c>
      <c r="AB156" s="88" t="s">
        <v>101</v>
      </c>
      <c r="AC156" s="88" t="s">
        <v>105</v>
      </c>
      <c r="AD156" s="88" t="s">
        <v>295</v>
      </c>
      <c r="AE156" s="88" t="s">
        <v>108</v>
      </c>
      <c r="AF156" s="88" t="s">
        <v>107</v>
      </c>
      <c r="AG156" s="88" t="s">
        <v>40</v>
      </c>
      <c r="AH156" s="88" t="s">
        <v>500</v>
      </c>
      <c r="AI156" s="88"/>
      <c r="AJ156" s="88"/>
      <c r="AK156" s="88"/>
      <c r="AL156" s="88"/>
      <c r="AM156" s="88"/>
      <c r="AN156" s="88"/>
      <c r="AO156" s="88"/>
      <c r="AP156" s="88"/>
      <c r="AQ156" s="88"/>
    </row>
    <row r="157" spans="1:43" ht="14.25" customHeight="1" x14ac:dyDescent="0.25">
      <c r="A157" s="89" t="s">
        <v>82</v>
      </c>
      <c r="B157" s="85">
        <v>0</v>
      </c>
      <c r="C157" s="85">
        <v>0</v>
      </c>
      <c r="D157" s="85">
        <v>0</v>
      </c>
      <c r="E157" s="85">
        <v>0</v>
      </c>
      <c r="F157" s="85">
        <v>0</v>
      </c>
      <c r="G157" s="85">
        <v>0</v>
      </c>
      <c r="H157" s="85">
        <v>0</v>
      </c>
      <c r="I157" s="85">
        <v>0</v>
      </c>
      <c r="J157" s="85">
        <v>0</v>
      </c>
      <c r="K157" s="85">
        <v>0</v>
      </c>
      <c r="L157" s="85">
        <v>0</v>
      </c>
      <c r="M157" s="85">
        <v>0</v>
      </c>
      <c r="N157" s="85">
        <v>0</v>
      </c>
      <c r="O157" s="85">
        <v>0</v>
      </c>
      <c r="P157" s="85">
        <v>0</v>
      </c>
      <c r="Q157" s="85">
        <v>0</v>
      </c>
      <c r="R157" s="85">
        <v>0</v>
      </c>
      <c r="S157" s="85">
        <v>0</v>
      </c>
      <c r="T157" s="85">
        <v>0</v>
      </c>
      <c r="U157" s="85">
        <v>0</v>
      </c>
      <c r="V157" s="85">
        <v>0</v>
      </c>
      <c r="W157" s="85">
        <v>0</v>
      </c>
      <c r="X157" s="85">
        <v>0</v>
      </c>
      <c r="Y157" s="85">
        <v>0</v>
      </c>
      <c r="Z157" s="85">
        <v>0</v>
      </c>
      <c r="AA157" s="85">
        <v>0</v>
      </c>
      <c r="AB157" s="85">
        <v>0</v>
      </c>
      <c r="AC157" s="85">
        <v>0</v>
      </c>
      <c r="AD157" s="85">
        <v>0</v>
      </c>
      <c r="AE157" s="85">
        <v>0</v>
      </c>
      <c r="AF157" s="85">
        <v>0</v>
      </c>
      <c r="AG157" s="85">
        <v>0</v>
      </c>
      <c r="AH157" s="85">
        <v>0</v>
      </c>
      <c r="AI157" s="85">
        <v>0</v>
      </c>
      <c r="AJ157" s="85">
        <v>0</v>
      </c>
      <c r="AK157" s="85">
        <v>0</v>
      </c>
      <c r="AL157" s="85">
        <v>0</v>
      </c>
      <c r="AM157" s="85">
        <v>0</v>
      </c>
      <c r="AN157" s="85">
        <v>0</v>
      </c>
      <c r="AO157" s="85">
        <v>0</v>
      </c>
      <c r="AP157" s="85">
        <v>0</v>
      </c>
      <c r="AQ157" s="85">
        <v>0</v>
      </c>
    </row>
    <row r="158" spans="1:43" ht="14.25" customHeight="1" x14ac:dyDescent="0.25">
      <c r="A158" s="89" t="s">
        <v>305</v>
      </c>
      <c r="B158" s="85">
        <v>0</v>
      </c>
      <c r="C158" s="85">
        <v>0</v>
      </c>
      <c r="D158" s="85">
        <v>0</v>
      </c>
      <c r="E158" s="85">
        <v>0</v>
      </c>
      <c r="F158" s="85">
        <v>0</v>
      </c>
      <c r="G158" s="85">
        <v>0</v>
      </c>
      <c r="H158" s="85">
        <v>0</v>
      </c>
      <c r="I158" s="85">
        <v>0</v>
      </c>
      <c r="J158" s="85">
        <v>0</v>
      </c>
      <c r="K158" s="85">
        <v>0</v>
      </c>
      <c r="L158" s="85">
        <v>0</v>
      </c>
      <c r="M158" s="85">
        <v>0</v>
      </c>
      <c r="N158" s="85">
        <v>0</v>
      </c>
      <c r="O158" s="85">
        <v>0</v>
      </c>
      <c r="P158" s="85">
        <v>0</v>
      </c>
      <c r="Q158" s="85">
        <v>0</v>
      </c>
      <c r="R158" s="85">
        <v>0</v>
      </c>
      <c r="S158" s="85">
        <v>0</v>
      </c>
      <c r="T158" s="85">
        <v>0</v>
      </c>
      <c r="U158" s="85">
        <v>0</v>
      </c>
      <c r="V158" s="85">
        <v>0</v>
      </c>
      <c r="W158" s="85">
        <v>0</v>
      </c>
      <c r="X158" s="85">
        <v>0</v>
      </c>
      <c r="Y158" s="85">
        <v>0</v>
      </c>
      <c r="Z158" s="85">
        <v>0</v>
      </c>
      <c r="AA158" s="85">
        <v>0</v>
      </c>
      <c r="AB158" s="85">
        <v>0</v>
      </c>
      <c r="AC158" s="85">
        <v>0</v>
      </c>
      <c r="AD158" s="85">
        <v>0</v>
      </c>
      <c r="AE158" s="85">
        <v>0</v>
      </c>
      <c r="AF158" s="85">
        <v>0</v>
      </c>
      <c r="AG158" s="85">
        <v>0</v>
      </c>
      <c r="AH158" s="85">
        <v>0</v>
      </c>
      <c r="AI158" s="85">
        <v>0</v>
      </c>
      <c r="AJ158" s="85">
        <v>0</v>
      </c>
      <c r="AK158" s="85">
        <v>0</v>
      </c>
      <c r="AL158" s="85">
        <v>0</v>
      </c>
      <c r="AM158" s="85">
        <v>0</v>
      </c>
      <c r="AN158" s="85">
        <v>0</v>
      </c>
      <c r="AO158" s="85">
        <v>0</v>
      </c>
      <c r="AP158" s="85">
        <v>0</v>
      </c>
      <c r="AQ158" s="85">
        <v>0</v>
      </c>
    </row>
    <row r="159" spans="1:43" ht="14.25" customHeight="1" x14ac:dyDescent="0.25">
      <c r="A159" s="89" t="s">
        <v>84</v>
      </c>
      <c r="B159" s="85">
        <v>0</v>
      </c>
      <c r="C159" s="85">
        <v>0</v>
      </c>
      <c r="D159" s="85">
        <v>0</v>
      </c>
      <c r="E159" s="85">
        <v>0</v>
      </c>
      <c r="F159" s="85">
        <v>0</v>
      </c>
      <c r="G159" s="85">
        <v>0</v>
      </c>
      <c r="H159" s="85">
        <v>0</v>
      </c>
      <c r="I159" s="85">
        <v>0</v>
      </c>
      <c r="J159" s="85">
        <v>0</v>
      </c>
      <c r="K159" s="85">
        <v>0</v>
      </c>
      <c r="L159" s="85">
        <v>0</v>
      </c>
      <c r="M159" s="85">
        <v>0</v>
      </c>
      <c r="N159" s="85">
        <v>0</v>
      </c>
      <c r="O159" s="85">
        <v>0</v>
      </c>
      <c r="P159" s="85">
        <v>0</v>
      </c>
      <c r="Q159" s="85">
        <v>0</v>
      </c>
      <c r="R159" s="85">
        <v>0</v>
      </c>
      <c r="S159" s="85">
        <v>0</v>
      </c>
      <c r="T159" s="85">
        <v>0</v>
      </c>
      <c r="U159" s="85">
        <v>0</v>
      </c>
      <c r="V159" s="85">
        <v>0</v>
      </c>
      <c r="W159" s="85">
        <v>0</v>
      </c>
      <c r="X159" s="85">
        <v>0</v>
      </c>
      <c r="Y159" s="85">
        <v>0</v>
      </c>
      <c r="Z159" s="85">
        <v>0</v>
      </c>
      <c r="AA159" s="85">
        <v>0</v>
      </c>
      <c r="AB159" s="85">
        <v>0</v>
      </c>
      <c r="AC159" s="85">
        <v>0</v>
      </c>
      <c r="AD159" s="85">
        <v>0</v>
      </c>
      <c r="AE159" s="85">
        <v>0</v>
      </c>
      <c r="AF159" s="85">
        <v>0</v>
      </c>
      <c r="AG159" s="85">
        <v>0</v>
      </c>
      <c r="AH159" s="85">
        <v>0</v>
      </c>
      <c r="AI159" s="85">
        <v>0</v>
      </c>
      <c r="AJ159" s="85">
        <v>0</v>
      </c>
      <c r="AK159" s="85">
        <v>0</v>
      </c>
      <c r="AL159" s="85">
        <v>0</v>
      </c>
      <c r="AM159" s="85">
        <v>0</v>
      </c>
      <c r="AN159" s="85">
        <v>0</v>
      </c>
      <c r="AO159" s="85">
        <v>0</v>
      </c>
      <c r="AP159" s="85">
        <v>0</v>
      </c>
      <c r="AQ159" s="85">
        <v>0</v>
      </c>
    </row>
    <row r="160" spans="1:43" ht="14.25" customHeight="1" x14ac:dyDescent="0.25">
      <c r="A160" s="89" t="s">
        <v>85</v>
      </c>
      <c r="B160" s="85">
        <v>0</v>
      </c>
      <c r="C160" s="85">
        <v>0</v>
      </c>
      <c r="D160" s="85">
        <v>0</v>
      </c>
      <c r="E160" s="85">
        <v>0</v>
      </c>
      <c r="F160" s="85">
        <v>0</v>
      </c>
      <c r="G160" s="85">
        <v>0</v>
      </c>
      <c r="H160" s="85">
        <v>0</v>
      </c>
      <c r="I160" s="85">
        <v>0</v>
      </c>
      <c r="J160" s="85">
        <v>0</v>
      </c>
      <c r="K160" s="85">
        <v>0</v>
      </c>
      <c r="L160" s="85">
        <v>0</v>
      </c>
      <c r="M160" s="85">
        <v>0</v>
      </c>
      <c r="N160" s="85">
        <v>0</v>
      </c>
      <c r="O160" s="85">
        <v>0</v>
      </c>
      <c r="P160" s="85">
        <v>0</v>
      </c>
      <c r="Q160" s="85">
        <v>0</v>
      </c>
      <c r="R160" s="85">
        <v>0</v>
      </c>
      <c r="S160" s="85">
        <v>0</v>
      </c>
      <c r="T160" s="85">
        <v>0</v>
      </c>
      <c r="U160" s="85">
        <v>0</v>
      </c>
      <c r="V160" s="85">
        <v>0</v>
      </c>
      <c r="W160" s="85">
        <v>0</v>
      </c>
      <c r="X160" s="85">
        <v>0</v>
      </c>
      <c r="Y160" s="85">
        <v>0</v>
      </c>
      <c r="Z160" s="85">
        <v>0</v>
      </c>
      <c r="AA160" s="85">
        <v>0</v>
      </c>
      <c r="AB160" s="85">
        <v>0</v>
      </c>
      <c r="AC160" s="85">
        <v>0</v>
      </c>
      <c r="AD160" s="85">
        <v>0</v>
      </c>
      <c r="AE160" s="85">
        <v>0</v>
      </c>
      <c r="AF160" s="85">
        <v>0</v>
      </c>
      <c r="AG160" s="85">
        <v>0</v>
      </c>
      <c r="AH160" s="85">
        <v>0</v>
      </c>
      <c r="AI160" s="85">
        <v>0</v>
      </c>
      <c r="AJ160" s="85">
        <v>0</v>
      </c>
      <c r="AK160" s="85">
        <v>0</v>
      </c>
      <c r="AL160" s="85">
        <v>0</v>
      </c>
      <c r="AM160" s="85">
        <v>0</v>
      </c>
      <c r="AN160" s="85">
        <v>0</v>
      </c>
      <c r="AO160" s="85">
        <v>0</v>
      </c>
      <c r="AP160" s="85">
        <v>0</v>
      </c>
      <c r="AQ160" s="85">
        <v>0</v>
      </c>
    </row>
    <row r="161" spans="1:43" ht="14.25" customHeight="1" x14ac:dyDescent="0.25">
      <c r="A161" s="89" t="s">
        <v>83</v>
      </c>
      <c r="B161" s="85">
        <v>0</v>
      </c>
      <c r="C161" s="85">
        <v>0</v>
      </c>
      <c r="D161" s="85">
        <v>0</v>
      </c>
      <c r="E161" s="85">
        <v>0</v>
      </c>
      <c r="F161" s="85">
        <v>0</v>
      </c>
      <c r="G161" s="85">
        <v>0</v>
      </c>
      <c r="H161" s="85">
        <v>0</v>
      </c>
      <c r="I161" s="85">
        <v>0</v>
      </c>
      <c r="J161" s="85">
        <v>0</v>
      </c>
      <c r="K161" s="85">
        <v>0</v>
      </c>
      <c r="L161" s="85">
        <v>0</v>
      </c>
      <c r="M161" s="85">
        <v>0</v>
      </c>
      <c r="N161" s="85">
        <v>0</v>
      </c>
      <c r="O161" s="85">
        <v>0</v>
      </c>
      <c r="P161" s="85">
        <v>0</v>
      </c>
      <c r="Q161" s="85">
        <v>0</v>
      </c>
      <c r="R161" s="85">
        <v>0</v>
      </c>
      <c r="S161" s="85">
        <v>0</v>
      </c>
      <c r="T161" s="85">
        <v>0</v>
      </c>
      <c r="U161" s="85">
        <v>0</v>
      </c>
      <c r="V161" s="85">
        <v>0</v>
      </c>
      <c r="W161" s="85">
        <v>0</v>
      </c>
      <c r="X161" s="85">
        <v>0</v>
      </c>
      <c r="Y161" s="85">
        <v>0</v>
      </c>
      <c r="Z161" s="85">
        <v>0</v>
      </c>
      <c r="AA161" s="85">
        <v>0</v>
      </c>
      <c r="AB161" s="85">
        <v>0</v>
      </c>
      <c r="AC161" s="85">
        <v>0</v>
      </c>
      <c r="AD161" s="85">
        <v>0</v>
      </c>
      <c r="AE161" s="85">
        <v>0</v>
      </c>
      <c r="AF161" s="85">
        <v>0</v>
      </c>
      <c r="AG161" s="85">
        <v>0</v>
      </c>
      <c r="AH161" s="85">
        <v>0</v>
      </c>
      <c r="AI161" s="85">
        <v>0</v>
      </c>
      <c r="AJ161" s="85">
        <v>0</v>
      </c>
      <c r="AK161" s="85">
        <v>0</v>
      </c>
      <c r="AL161" s="85">
        <v>0</v>
      </c>
      <c r="AM161" s="85">
        <v>0</v>
      </c>
      <c r="AN161" s="85">
        <v>0</v>
      </c>
      <c r="AO161" s="85">
        <v>0</v>
      </c>
      <c r="AP161" s="85">
        <v>0</v>
      </c>
      <c r="AQ161" s="85">
        <v>0</v>
      </c>
    </row>
    <row r="162" spans="1:43" ht="14.25" customHeight="1" x14ac:dyDescent="0.25">
      <c r="A162" s="89" t="s">
        <v>86</v>
      </c>
      <c r="B162" s="85">
        <v>0</v>
      </c>
      <c r="C162" s="85">
        <v>0</v>
      </c>
      <c r="D162" s="85">
        <v>0</v>
      </c>
      <c r="E162" s="85">
        <v>0</v>
      </c>
      <c r="F162" s="85">
        <v>0</v>
      </c>
      <c r="G162" s="85">
        <v>0</v>
      </c>
      <c r="H162" s="85">
        <v>0</v>
      </c>
      <c r="I162" s="85">
        <v>0</v>
      </c>
      <c r="J162" s="85">
        <v>0</v>
      </c>
      <c r="K162" s="85">
        <v>0</v>
      </c>
      <c r="L162" s="85">
        <v>0</v>
      </c>
      <c r="M162" s="85">
        <v>0</v>
      </c>
      <c r="N162" s="85">
        <v>0</v>
      </c>
      <c r="O162" s="85">
        <v>0</v>
      </c>
      <c r="P162" s="85">
        <v>0</v>
      </c>
      <c r="Q162" s="85">
        <v>0</v>
      </c>
      <c r="R162" s="85">
        <v>0</v>
      </c>
      <c r="S162" s="85">
        <v>0</v>
      </c>
      <c r="T162" s="85">
        <v>0</v>
      </c>
      <c r="U162" s="85">
        <v>0</v>
      </c>
      <c r="V162" s="85">
        <v>0</v>
      </c>
      <c r="W162" s="85">
        <v>0</v>
      </c>
      <c r="X162" s="85">
        <v>0</v>
      </c>
      <c r="Y162" s="85">
        <v>0</v>
      </c>
      <c r="Z162" s="85">
        <v>0</v>
      </c>
      <c r="AA162" s="85">
        <v>0</v>
      </c>
      <c r="AB162" s="85">
        <v>0</v>
      </c>
      <c r="AC162" s="85">
        <v>0</v>
      </c>
      <c r="AD162" s="85">
        <v>0</v>
      </c>
      <c r="AE162" s="85">
        <v>0</v>
      </c>
      <c r="AF162" s="85">
        <v>0</v>
      </c>
      <c r="AG162" s="85">
        <v>0</v>
      </c>
      <c r="AH162" s="85">
        <v>0</v>
      </c>
      <c r="AI162" s="85">
        <v>0</v>
      </c>
      <c r="AJ162" s="85">
        <v>0</v>
      </c>
      <c r="AK162" s="85">
        <v>0</v>
      </c>
      <c r="AL162" s="85">
        <v>0</v>
      </c>
      <c r="AM162" s="85">
        <v>0</v>
      </c>
      <c r="AN162" s="85">
        <v>0</v>
      </c>
      <c r="AO162" s="85">
        <v>0</v>
      </c>
      <c r="AP162" s="85">
        <v>0</v>
      </c>
      <c r="AQ162" s="85">
        <v>0</v>
      </c>
    </row>
    <row r="163" spans="1:43" ht="14.25" customHeight="1" x14ac:dyDescent="0.25">
      <c r="A163" s="89" t="s">
        <v>88</v>
      </c>
      <c r="B163" s="85">
        <v>0</v>
      </c>
      <c r="C163" s="85">
        <v>0</v>
      </c>
      <c r="D163" s="85">
        <v>0</v>
      </c>
      <c r="E163" s="85">
        <v>0</v>
      </c>
      <c r="F163" s="85">
        <v>0</v>
      </c>
      <c r="G163" s="85">
        <v>0</v>
      </c>
      <c r="H163" s="85">
        <v>0</v>
      </c>
      <c r="I163" s="85">
        <v>0</v>
      </c>
      <c r="J163" s="85">
        <v>0</v>
      </c>
      <c r="K163" s="85">
        <v>0</v>
      </c>
      <c r="L163" s="85">
        <v>0</v>
      </c>
      <c r="M163" s="85">
        <v>0</v>
      </c>
      <c r="N163" s="85">
        <v>0</v>
      </c>
      <c r="O163" s="85">
        <v>0</v>
      </c>
      <c r="P163" s="85">
        <v>0</v>
      </c>
      <c r="Q163" s="85">
        <v>0</v>
      </c>
      <c r="R163" s="85">
        <v>0</v>
      </c>
      <c r="S163" s="85">
        <v>0</v>
      </c>
      <c r="T163" s="85">
        <v>0</v>
      </c>
      <c r="U163" s="85">
        <v>0</v>
      </c>
      <c r="V163" s="85">
        <v>0</v>
      </c>
      <c r="W163" s="85">
        <v>0</v>
      </c>
      <c r="X163" s="85">
        <v>0</v>
      </c>
      <c r="Y163" s="85">
        <v>0</v>
      </c>
      <c r="Z163" s="85">
        <v>0</v>
      </c>
      <c r="AA163" s="85">
        <v>0</v>
      </c>
      <c r="AB163" s="85">
        <v>0</v>
      </c>
      <c r="AC163" s="85">
        <v>0</v>
      </c>
      <c r="AD163" s="85">
        <v>0</v>
      </c>
      <c r="AE163" s="85">
        <v>0</v>
      </c>
      <c r="AF163" s="85">
        <v>0</v>
      </c>
      <c r="AG163" s="85">
        <v>0</v>
      </c>
      <c r="AH163" s="85">
        <v>0</v>
      </c>
      <c r="AI163" s="85">
        <v>0</v>
      </c>
      <c r="AJ163" s="85">
        <v>0</v>
      </c>
      <c r="AK163" s="85">
        <v>0</v>
      </c>
      <c r="AL163" s="85">
        <v>0</v>
      </c>
      <c r="AM163" s="85">
        <v>0</v>
      </c>
      <c r="AN163" s="85">
        <v>0</v>
      </c>
      <c r="AO163" s="85">
        <v>0</v>
      </c>
      <c r="AP163" s="85">
        <v>0</v>
      </c>
      <c r="AQ163" s="85">
        <v>0</v>
      </c>
    </row>
    <row r="164" spans="1:43" ht="14.25" customHeight="1" x14ac:dyDescent="0.25">
      <c r="A164" s="89" t="s">
        <v>87</v>
      </c>
      <c r="B164" s="85">
        <v>0</v>
      </c>
      <c r="C164" s="85">
        <v>0</v>
      </c>
      <c r="D164" s="85">
        <v>0</v>
      </c>
      <c r="E164" s="85">
        <v>0</v>
      </c>
      <c r="F164" s="85">
        <v>0</v>
      </c>
      <c r="G164" s="85">
        <v>0</v>
      </c>
      <c r="H164" s="85">
        <v>0</v>
      </c>
      <c r="I164" s="85">
        <v>0</v>
      </c>
      <c r="J164" s="85">
        <v>0</v>
      </c>
      <c r="K164" s="85">
        <v>0</v>
      </c>
      <c r="L164" s="85">
        <v>0</v>
      </c>
      <c r="M164" s="85">
        <v>0</v>
      </c>
      <c r="N164" s="85">
        <v>0</v>
      </c>
      <c r="O164" s="85">
        <v>0</v>
      </c>
      <c r="P164" s="85">
        <v>0</v>
      </c>
      <c r="Q164" s="85">
        <v>0</v>
      </c>
      <c r="R164" s="85">
        <v>0</v>
      </c>
      <c r="S164" s="85">
        <v>0</v>
      </c>
      <c r="T164" s="85">
        <v>0</v>
      </c>
      <c r="U164" s="85">
        <v>0</v>
      </c>
      <c r="V164" s="85">
        <v>0</v>
      </c>
      <c r="W164" s="85">
        <v>0</v>
      </c>
      <c r="X164" s="85">
        <v>0</v>
      </c>
      <c r="Y164" s="85">
        <v>0</v>
      </c>
      <c r="Z164" s="85">
        <v>0</v>
      </c>
      <c r="AA164" s="85">
        <v>0</v>
      </c>
      <c r="AB164" s="85">
        <v>0</v>
      </c>
      <c r="AC164" s="85">
        <v>0</v>
      </c>
      <c r="AD164" s="85">
        <v>0</v>
      </c>
      <c r="AE164" s="85">
        <v>0</v>
      </c>
      <c r="AF164" s="85">
        <v>0</v>
      </c>
      <c r="AG164" s="85">
        <v>0</v>
      </c>
      <c r="AH164" s="85">
        <v>0</v>
      </c>
      <c r="AI164" s="85">
        <v>0</v>
      </c>
      <c r="AJ164" s="85">
        <v>0</v>
      </c>
      <c r="AK164" s="85">
        <v>0</v>
      </c>
      <c r="AL164" s="85">
        <v>0</v>
      </c>
      <c r="AM164" s="85">
        <v>0</v>
      </c>
      <c r="AN164" s="85">
        <v>0</v>
      </c>
      <c r="AO164" s="85">
        <v>0</v>
      </c>
      <c r="AP164" s="85">
        <v>0</v>
      </c>
      <c r="AQ164" s="85">
        <v>0</v>
      </c>
    </row>
    <row r="165" spans="1:43" ht="14.25" customHeight="1" x14ac:dyDescent="0.25">
      <c r="A165" s="89" t="s">
        <v>89</v>
      </c>
      <c r="B165" s="85">
        <v>0</v>
      </c>
      <c r="C165" s="85">
        <v>0</v>
      </c>
      <c r="D165" s="85">
        <v>0</v>
      </c>
      <c r="E165" s="85">
        <v>0</v>
      </c>
      <c r="F165" s="85">
        <v>0</v>
      </c>
      <c r="G165" s="85">
        <v>0</v>
      </c>
      <c r="H165" s="85">
        <v>0</v>
      </c>
      <c r="I165" s="85">
        <v>0</v>
      </c>
      <c r="J165" s="85">
        <v>0</v>
      </c>
      <c r="K165" s="85">
        <v>0</v>
      </c>
      <c r="L165" s="85">
        <v>0</v>
      </c>
      <c r="M165" s="85">
        <v>0</v>
      </c>
      <c r="N165" s="85">
        <v>0</v>
      </c>
      <c r="O165" s="85">
        <v>0</v>
      </c>
      <c r="P165" s="85">
        <v>0</v>
      </c>
      <c r="Q165" s="85">
        <v>0</v>
      </c>
      <c r="R165" s="85">
        <v>0</v>
      </c>
      <c r="S165" s="85">
        <v>0</v>
      </c>
      <c r="T165" s="85">
        <v>0</v>
      </c>
      <c r="U165" s="85">
        <v>0</v>
      </c>
      <c r="V165" s="85">
        <v>0</v>
      </c>
      <c r="W165" s="85">
        <v>0</v>
      </c>
      <c r="X165" s="85">
        <v>0</v>
      </c>
      <c r="Y165" s="85">
        <v>0</v>
      </c>
      <c r="Z165" s="85">
        <v>0</v>
      </c>
      <c r="AA165" s="85">
        <v>0</v>
      </c>
      <c r="AB165" s="85">
        <v>0</v>
      </c>
      <c r="AC165" s="85">
        <v>0</v>
      </c>
      <c r="AD165" s="85">
        <v>0</v>
      </c>
      <c r="AE165" s="85">
        <v>0</v>
      </c>
      <c r="AF165" s="85">
        <v>0</v>
      </c>
      <c r="AG165" s="85">
        <v>0</v>
      </c>
      <c r="AH165" s="85">
        <v>0</v>
      </c>
      <c r="AI165" s="85">
        <v>0</v>
      </c>
      <c r="AJ165" s="85">
        <v>0</v>
      </c>
      <c r="AK165" s="85">
        <v>0</v>
      </c>
      <c r="AL165" s="85">
        <v>0</v>
      </c>
      <c r="AM165" s="85">
        <v>0</v>
      </c>
      <c r="AN165" s="85">
        <v>0</v>
      </c>
      <c r="AO165" s="85">
        <v>0</v>
      </c>
      <c r="AP165" s="85">
        <v>0</v>
      </c>
      <c r="AQ165" s="85">
        <v>0</v>
      </c>
    </row>
    <row r="166" spans="1:43" ht="14.25" customHeight="1" x14ac:dyDescent="0.25">
      <c r="A166" s="89" t="s">
        <v>90</v>
      </c>
      <c r="B166" s="85">
        <v>0</v>
      </c>
      <c r="C166" s="85">
        <v>0</v>
      </c>
      <c r="D166" s="85">
        <v>0</v>
      </c>
      <c r="E166" s="85">
        <v>0</v>
      </c>
      <c r="F166" s="85">
        <v>0</v>
      </c>
      <c r="G166" s="85">
        <v>0</v>
      </c>
      <c r="H166" s="85">
        <v>0</v>
      </c>
      <c r="I166" s="85">
        <v>0</v>
      </c>
      <c r="J166" s="85">
        <v>0</v>
      </c>
      <c r="K166" s="85">
        <v>0</v>
      </c>
      <c r="L166" s="85">
        <v>0</v>
      </c>
      <c r="M166" s="85">
        <v>0</v>
      </c>
      <c r="N166" s="85">
        <v>0</v>
      </c>
      <c r="O166" s="85">
        <v>0</v>
      </c>
      <c r="P166" s="85">
        <v>0</v>
      </c>
      <c r="Q166" s="85">
        <v>0</v>
      </c>
      <c r="R166" s="85">
        <v>0</v>
      </c>
      <c r="S166" s="85">
        <v>0</v>
      </c>
      <c r="T166" s="85">
        <v>0</v>
      </c>
      <c r="U166" s="85">
        <v>0</v>
      </c>
      <c r="V166" s="85">
        <v>0</v>
      </c>
      <c r="W166" s="85">
        <v>0</v>
      </c>
      <c r="X166" s="85">
        <v>0</v>
      </c>
      <c r="Y166" s="85">
        <v>0</v>
      </c>
      <c r="Z166" s="85">
        <v>0</v>
      </c>
      <c r="AA166" s="85">
        <v>0</v>
      </c>
      <c r="AB166" s="85">
        <v>0</v>
      </c>
      <c r="AC166" s="85">
        <v>0</v>
      </c>
      <c r="AD166" s="85">
        <v>0</v>
      </c>
      <c r="AE166" s="85">
        <v>0</v>
      </c>
      <c r="AF166" s="85">
        <v>0</v>
      </c>
      <c r="AG166" s="85">
        <v>0</v>
      </c>
      <c r="AH166" s="85">
        <v>0</v>
      </c>
      <c r="AI166" s="85">
        <v>0</v>
      </c>
      <c r="AJ166" s="85">
        <v>0</v>
      </c>
      <c r="AK166" s="85">
        <v>0</v>
      </c>
      <c r="AL166" s="85">
        <v>0</v>
      </c>
      <c r="AM166" s="85">
        <v>0</v>
      </c>
      <c r="AN166" s="85">
        <v>0</v>
      </c>
      <c r="AO166" s="85">
        <v>0</v>
      </c>
      <c r="AP166" s="85">
        <v>0</v>
      </c>
      <c r="AQ166" s="85">
        <v>0</v>
      </c>
    </row>
    <row r="167" spans="1:43" ht="14.25" customHeight="1" x14ac:dyDescent="0.25">
      <c r="A167" s="89" t="s">
        <v>294</v>
      </c>
      <c r="B167" s="85">
        <v>0</v>
      </c>
      <c r="C167" s="85">
        <v>0</v>
      </c>
      <c r="D167" s="85">
        <v>0</v>
      </c>
      <c r="E167" s="85">
        <v>0</v>
      </c>
      <c r="F167" s="85">
        <v>0</v>
      </c>
      <c r="G167" s="85">
        <v>0</v>
      </c>
      <c r="H167" s="85">
        <v>0</v>
      </c>
      <c r="I167" s="85">
        <v>0</v>
      </c>
      <c r="J167" s="85">
        <v>0</v>
      </c>
      <c r="K167" s="85">
        <v>0</v>
      </c>
      <c r="L167" s="85">
        <v>0</v>
      </c>
      <c r="M167" s="85">
        <v>0</v>
      </c>
      <c r="N167" s="85">
        <v>0</v>
      </c>
      <c r="O167" s="85">
        <v>0</v>
      </c>
      <c r="P167" s="85">
        <v>0</v>
      </c>
      <c r="Q167" s="85">
        <v>0</v>
      </c>
      <c r="R167" s="85">
        <v>0</v>
      </c>
      <c r="S167" s="85">
        <v>0</v>
      </c>
      <c r="T167" s="85">
        <v>0</v>
      </c>
      <c r="U167" s="85">
        <v>0</v>
      </c>
      <c r="V167" s="85">
        <v>0</v>
      </c>
      <c r="W167" s="85">
        <v>0</v>
      </c>
      <c r="X167" s="85">
        <v>0</v>
      </c>
      <c r="Y167" s="85">
        <v>0</v>
      </c>
      <c r="Z167" s="85">
        <v>0</v>
      </c>
      <c r="AA167" s="85">
        <v>0</v>
      </c>
      <c r="AB167" s="85">
        <v>0</v>
      </c>
      <c r="AC167" s="85">
        <v>0</v>
      </c>
      <c r="AD167" s="85">
        <v>0</v>
      </c>
      <c r="AE167" s="85">
        <v>0</v>
      </c>
      <c r="AF167" s="85">
        <v>0</v>
      </c>
      <c r="AG167" s="85">
        <v>0</v>
      </c>
      <c r="AH167" s="85">
        <v>0</v>
      </c>
      <c r="AI167" s="85">
        <v>0</v>
      </c>
      <c r="AJ167" s="85">
        <v>0</v>
      </c>
      <c r="AK167" s="85">
        <v>0</v>
      </c>
      <c r="AL167" s="85">
        <v>0</v>
      </c>
      <c r="AM167" s="85">
        <v>0</v>
      </c>
      <c r="AN167" s="85">
        <v>0</v>
      </c>
      <c r="AO167" s="85">
        <v>0</v>
      </c>
      <c r="AP167" s="85">
        <v>0</v>
      </c>
      <c r="AQ167" s="85">
        <v>0</v>
      </c>
    </row>
    <row r="168" spans="1:43" ht="14.25" customHeight="1" x14ac:dyDescent="0.25">
      <c r="A168" s="89" t="s">
        <v>91</v>
      </c>
      <c r="B168" s="85">
        <v>0</v>
      </c>
      <c r="C168" s="85">
        <v>0</v>
      </c>
      <c r="D168" s="85">
        <v>0</v>
      </c>
      <c r="E168" s="85">
        <v>0</v>
      </c>
      <c r="F168" s="85">
        <v>0</v>
      </c>
      <c r="G168" s="85">
        <v>0</v>
      </c>
      <c r="H168" s="85">
        <v>0</v>
      </c>
      <c r="I168" s="85">
        <v>0</v>
      </c>
      <c r="J168" s="85">
        <v>0</v>
      </c>
      <c r="K168" s="85">
        <v>0</v>
      </c>
      <c r="L168" s="85">
        <v>0</v>
      </c>
      <c r="M168" s="85">
        <v>0</v>
      </c>
      <c r="N168" s="85">
        <v>0</v>
      </c>
      <c r="O168" s="85">
        <v>0</v>
      </c>
      <c r="P168" s="85">
        <v>0</v>
      </c>
      <c r="Q168" s="85">
        <v>0</v>
      </c>
      <c r="R168" s="85">
        <v>0</v>
      </c>
      <c r="S168" s="85">
        <v>0</v>
      </c>
      <c r="T168" s="85">
        <v>0</v>
      </c>
      <c r="U168" s="85">
        <v>0</v>
      </c>
      <c r="V168" s="85">
        <v>0</v>
      </c>
      <c r="W168" s="85">
        <v>0</v>
      </c>
      <c r="X168" s="85">
        <v>0</v>
      </c>
      <c r="Y168" s="85">
        <v>0</v>
      </c>
      <c r="Z168" s="85">
        <v>0</v>
      </c>
      <c r="AA168" s="85">
        <v>0</v>
      </c>
      <c r="AB168" s="85">
        <v>0</v>
      </c>
      <c r="AC168" s="85">
        <v>0</v>
      </c>
      <c r="AD168" s="85">
        <v>0</v>
      </c>
      <c r="AE168" s="85">
        <v>0</v>
      </c>
      <c r="AF168" s="85">
        <v>0</v>
      </c>
      <c r="AG168" s="85">
        <v>0</v>
      </c>
      <c r="AH168" s="85">
        <v>0</v>
      </c>
      <c r="AI168" s="85">
        <v>0</v>
      </c>
      <c r="AJ168" s="85">
        <v>0</v>
      </c>
      <c r="AK168" s="85">
        <v>0</v>
      </c>
      <c r="AL168" s="85">
        <v>0</v>
      </c>
      <c r="AM168" s="85">
        <v>0</v>
      </c>
      <c r="AN168" s="85">
        <v>0</v>
      </c>
      <c r="AO168" s="85">
        <v>0</v>
      </c>
      <c r="AP168" s="85">
        <v>0</v>
      </c>
      <c r="AQ168" s="85">
        <v>0</v>
      </c>
    </row>
    <row r="169" spans="1:43" ht="14.25" customHeight="1" x14ac:dyDescent="0.25">
      <c r="A169" s="89" t="s">
        <v>92</v>
      </c>
      <c r="B169" s="85">
        <v>0</v>
      </c>
      <c r="C169" s="85">
        <v>0</v>
      </c>
      <c r="D169" s="85">
        <v>0</v>
      </c>
      <c r="E169" s="85">
        <v>0</v>
      </c>
      <c r="F169" s="85">
        <v>0</v>
      </c>
      <c r="G169" s="85">
        <v>0</v>
      </c>
      <c r="H169" s="85">
        <v>0</v>
      </c>
      <c r="I169" s="85">
        <v>0</v>
      </c>
      <c r="J169" s="85">
        <v>0</v>
      </c>
      <c r="K169" s="85">
        <v>0</v>
      </c>
      <c r="L169" s="85">
        <v>0</v>
      </c>
      <c r="M169" s="85">
        <v>0</v>
      </c>
      <c r="N169" s="85">
        <v>0</v>
      </c>
      <c r="O169" s="85">
        <v>0</v>
      </c>
      <c r="P169" s="85">
        <v>0</v>
      </c>
      <c r="Q169" s="85">
        <v>0</v>
      </c>
      <c r="R169" s="85">
        <v>0</v>
      </c>
      <c r="S169" s="85">
        <v>0</v>
      </c>
      <c r="T169" s="85">
        <v>0</v>
      </c>
      <c r="U169" s="85">
        <v>0</v>
      </c>
      <c r="V169" s="85">
        <v>0</v>
      </c>
      <c r="W169" s="85">
        <v>0</v>
      </c>
      <c r="X169" s="85">
        <v>0</v>
      </c>
      <c r="Y169" s="85">
        <v>0</v>
      </c>
      <c r="Z169" s="85">
        <v>0</v>
      </c>
      <c r="AA169" s="85">
        <v>0</v>
      </c>
      <c r="AB169" s="85">
        <v>0</v>
      </c>
      <c r="AC169" s="85">
        <v>0</v>
      </c>
      <c r="AD169" s="85">
        <v>0</v>
      </c>
      <c r="AE169" s="85">
        <v>0</v>
      </c>
      <c r="AF169" s="85">
        <v>0</v>
      </c>
      <c r="AG169" s="85">
        <v>0</v>
      </c>
      <c r="AH169" s="85">
        <v>0</v>
      </c>
      <c r="AI169" s="85">
        <v>0</v>
      </c>
      <c r="AJ169" s="85">
        <v>0</v>
      </c>
      <c r="AK169" s="85">
        <v>0</v>
      </c>
      <c r="AL169" s="85">
        <v>0</v>
      </c>
      <c r="AM169" s="85">
        <v>0</v>
      </c>
      <c r="AN169" s="85">
        <v>0</v>
      </c>
      <c r="AO169" s="85">
        <v>0</v>
      </c>
      <c r="AP169" s="85">
        <v>0</v>
      </c>
      <c r="AQ169" s="85">
        <v>0</v>
      </c>
    </row>
    <row r="170" spans="1:43" ht="14.25" customHeight="1" x14ac:dyDescent="0.25">
      <c r="A170" s="89" t="s">
        <v>93</v>
      </c>
      <c r="B170" s="85">
        <v>0</v>
      </c>
      <c r="C170" s="85">
        <v>0</v>
      </c>
      <c r="D170" s="85">
        <v>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P170" s="85">
        <v>0</v>
      </c>
      <c r="Q170" s="85">
        <v>0</v>
      </c>
      <c r="R170" s="85">
        <v>0</v>
      </c>
      <c r="S170" s="85">
        <v>0</v>
      </c>
      <c r="T170" s="85">
        <v>0</v>
      </c>
      <c r="U170" s="85">
        <v>0</v>
      </c>
      <c r="V170" s="85">
        <v>0</v>
      </c>
      <c r="W170" s="85">
        <v>0</v>
      </c>
      <c r="X170" s="85">
        <v>0</v>
      </c>
      <c r="Y170" s="85">
        <v>0</v>
      </c>
      <c r="Z170" s="85">
        <v>0</v>
      </c>
      <c r="AA170" s="85">
        <v>0</v>
      </c>
      <c r="AB170" s="85">
        <v>0</v>
      </c>
      <c r="AC170" s="85">
        <v>0</v>
      </c>
      <c r="AD170" s="85">
        <v>0</v>
      </c>
      <c r="AE170" s="85">
        <v>0</v>
      </c>
      <c r="AF170" s="85">
        <v>0</v>
      </c>
      <c r="AG170" s="85">
        <v>0</v>
      </c>
      <c r="AH170" s="85">
        <v>0</v>
      </c>
      <c r="AI170" s="85">
        <v>0</v>
      </c>
      <c r="AJ170" s="85">
        <v>0</v>
      </c>
      <c r="AK170" s="85">
        <v>0</v>
      </c>
      <c r="AL170" s="85">
        <v>0</v>
      </c>
      <c r="AM170" s="85">
        <v>0</v>
      </c>
      <c r="AN170" s="85">
        <v>0</v>
      </c>
      <c r="AO170" s="85">
        <v>0</v>
      </c>
      <c r="AP170" s="85">
        <v>0</v>
      </c>
      <c r="AQ170" s="85">
        <v>0</v>
      </c>
    </row>
    <row r="171" spans="1:43" ht="14.25" customHeight="1" x14ac:dyDescent="0.25">
      <c r="A171" s="89" t="s">
        <v>296</v>
      </c>
      <c r="B171" s="85">
        <v>0</v>
      </c>
      <c r="C171" s="85">
        <v>0</v>
      </c>
      <c r="D171" s="85">
        <v>0</v>
      </c>
      <c r="E171" s="85">
        <v>0</v>
      </c>
      <c r="F171" s="85">
        <v>0</v>
      </c>
      <c r="G171" s="85">
        <v>0</v>
      </c>
      <c r="H171" s="85">
        <v>0</v>
      </c>
      <c r="I171" s="85">
        <v>0</v>
      </c>
      <c r="J171" s="85">
        <v>0</v>
      </c>
      <c r="K171" s="85">
        <v>0</v>
      </c>
      <c r="L171" s="85">
        <v>0</v>
      </c>
      <c r="M171" s="85">
        <v>0</v>
      </c>
      <c r="N171" s="85">
        <v>0</v>
      </c>
      <c r="O171" s="85">
        <v>0</v>
      </c>
      <c r="P171" s="85">
        <v>0</v>
      </c>
      <c r="Q171" s="85">
        <v>0</v>
      </c>
      <c r="R171" s="85">
        <v>0</v>
      </c>
      <c r="S171" s="85">
        <v>0</v>
      </c>
      <c r="T171" s="85">
        <v>0</v>
      </c>
      <c r="U171" s="85">
        <v>0</v>
      </c>
      <c r="V171" s="85">
        <v>0</v>
      </c>
      <c r="W171" s="85">
        <v>0</v>
      </c>
      <c r="X171" s="85">
        <v>0</v>
      </c>
      <c r="Y171" s="85">
        <v>0</v>
      </c>
      <c r="Z171" s="85">
        <v>0</v>
      </c>
      <c r="AA171" s="85">
        <v>0</v>
      </c>
      <c r="AB171" s="85">
        <v>0</v>
      </c>
      <c r="AC171" s="85">
        <v>0</v>
      </c>
      <c r="AD171" s="85">
        <v>0</v>
      </c>
      <c r="AE171" s="85">
        <v>0</v>
      </c>
      <c r="AF171" s="85">
        <v>0</v>
      </c>
      <c r="AG171" s="85">
        <v>0</v>
      </c>
      <c r="AH171" s="85">
        <v>0</v>
      </c>
      <c r="AI171" s="85">
        <v>0</v>
      </c>
      <c r="AJ171" s="85">
        <v>0</v>
      </c>
      <c r="AK171" s="85">
        <v>0</v>
      </c>
      <c r="AL171" s="85">
        <v>0</v>
      </c>
      <c r="AM171" s="85">
        <v>0</v>
      </c>
      <c r="AN171" s="85">
        <v>0</v>
      </c>
      <c r="AO171" s="85">
        <v>0</v>
      </c>
      <c r="AP171" s="85">
        <v>0</v>
      </c>
      <c r="AQ171" s="85">
        <v>0</v>
      </c>
    </row>
    <row r="172" spans="1:43" ht="14.25" customHeight="1" x14ac:dyDescent="0.25">
      <c r="A172" s="89" t="s">
        <v>95</v>
      </c>
      <c r="B172" s="85">
        <v>0</v>
      </c>
      <c r="C172" s="85">
        <v>0</v>
      </c>
      <c r="D172" s="85">
        <v>0</v>
      </c>
      <c r="E172" s="85">
        <v>0</v>
      </c>
      <c r="F172" s="85">
        <v>0</v>
      </c>
      <c r="G172" s="85">
        <v>0</v>
      </c>
      <c r="H172" s="85">
        <v>0</v>
      </c>
      <c r="I172" s="85">
        <v>0</v>
      </c>
      <c r="J172" s="85">
        <v>0</v>
      </c>
      <c r="K172" s="85">
        <v>0</v>
      </c>
      <c r="L172" s="85">
        <v>0</v>
      </c>
      <c r="M172" s="85">
        <v>0</v>
      </c>
      <c r="N172" s="85">
        <v>0</v>
      </c>
      <c r="O172" s="85">
        <v>0</v>
      </c>
      <c r="P172" s="85">
        <v>0</v>
      </c>
      <c r="Q172" s="85">
        <v>0</v>
      </c>
      <c r="R172" s="85">
        <v>0</v>
      </c>
      <c r="S172" s="85">
        <v>0</v>
      </c>
      <c r="T172" s="85">
        <v>0</v>
      </c>
      <c r="U172" s="85">
        <v>0</v>
      </c>
      <c r="V172" s="85">
        <v>0</v>
      </c>
      <c r="W172" s="85">
        <v>0</v>
      </c>
      <c r="X172" s="85">
        <v>0</v>
      </c>
      <c r="Y172" s="85">
        <v>0</v>
      </c>
      <c r="Z172" s="85">
        <v>0</v>
      </c>
      <c r="AA172" s="85">
        <v>0</v>
      </c>
      <c r="AB172" s="85">
        <v>0</v>
      </c>
      <c r="AC172" s="85">
        <v>0</v>
      </c>
      <c r="AD172" s="85">
        <v>0</v>
      </c>
      <c r="AE172" s="85">
        <v>0</v>
      </c>
      <c r="AF172" s="85">
        <v>0</v>
      </c>
      <c r="AG172" s="85">
        <v>0</v>
      </c>
      <c r="AH172" s="85">
        <v>0</v>
      </c>
      <c r="AI172" s="85">
        <v>0</v>
      </c>
      <c r="AJ172" s="85">
        <v>0</v>
      </c>
      <c r="AK172" s="85">
        <v>0</v>
      </c>
      <c r="AL172" s="85">
        <v>0</v>
      </c>
      <c r="AM172" s="85">
        <v>0</v>
      </c>
      <c r="AN172" s="85">
        <v>0</v>
      </c>
      <c r="AO172" s="85">
        <v>0</v>
      </c>
      <c r="AP172" s="85">
        <v>0</v>
      </c>
      <c r="AQ172" s="85">
        <v>0</v>
      </c>
    </row>
    <row r="173" spans="1:43" ht="14.25" customHeight="1" x14ac:dyDescent="0.25">
      <c r="A173" s="89" t="s">
        <v>94</v>
      </c>
      <c r="B173" s="85">
        <v>0</v>
      </c>
      <c r="C173" s="85">
        <v>0</v>
      </c>
      <c r="D173" s="85">
        <v>0</v>
      </c>
      <c r="E173" s="85">
        <v>0</v>
      </c>
      <c r="F173" s="85">
        <v>0</v>
      </c>
      <c r="G173" s="85">
        <v>0</v>
      </c>
      <c r="H173" s="85">
        <v>0</v>
      </c>
      <c r="I173" s="85">
        <v>0</v>
      </c>
      <c r="J173" s="85">
        <v>0</v>
      </c>
      <c r="K173" s="85">
        <v>0</v>
      </c>
      <c r="L173" s="85">
        <v>0</v>
      </c>
      <c r="M173" s="85">
        <v>0</v>
      </c>
      <c r="N173" s="85">
        <v>0</v>
      </c>
      <c r="O173" s="85">
        <v>0</v>
      </c>
      <c r="P173" s="85">
        <v>0</v>
      </c>
      <c r="Q173" s="85">
        <v>0</v>
      </c>
      <c r="R173" s="85">
        <v>0</v>
      </c>
      <c r="S173" s="85">
        <v>0</v>
      </c>
      <c r="T173" s="85">
        <v>0</v>
      </c>
      <c r="U173" s="85">
        <v>0</v>
      </c>
      <c r="V173" s="85">
        <v>0</v>
      </c>
      <c r="W173" s="85">
        <v>0</v>
      </c>
      <c r="X173" s="85">
        <v>0</v>
      </c>
      <c r="Y173" s="85">
        <v>0</v>
      </c>
      <c r="Z173" s="85">
        <v>0</v>
      </c>
      <c r="AA173" s="85">
        <v>0</v>
      </c>
      <c r="AB173" s="85">
        <v>0</v>
      </c>
      <c r="AC173" s="85">
        <v>0</v>
      </c>
      <c r="AD173" s="85">
        <v>0</v>
      </c>
      <c r="AE173" s="85">
        <v>0</v>
      </c>
      <c r="AF173" s="85">
        <v>0</v>
      </c>
      <c r="AG173" s="85">
        <v>0</v>
      </c>
      <c r="AH173" s="85">
        <v>0</v>
      </c>
      <c r="AI173" s="85">
        <v>0</v>
      </c>
      <c r="AJ173" s="85">
        <v>0</v>
      </c>
      <c r="AK173" s="85">
        <v>0</v>
      </c>
      <c r="AL173" s="85">
        <v>0</v>
      </c>
      <c r="AM173" s="85">
        <v>0</v>
      </c>
      <c r="AN173" s="85">
        <v>0</v>
      </c>
      <c r="AO173" s="85">
        <v>0</v>
      </c>
      <c r="AP173" s="85">
        <v>0</v>
      </c>
      <c r="AQ173" s="85">
        <v>0</v>
      </c>
    </row>
    <row r="174" spans="1:43" ht="14.25" customHeight="1" x14ac:dyDescent="0.25">
      <c r="A174" s="89" t="s">
        <v>97</v>
      </c>
      <c r="B174" s="85">
        <v>0</v>
      </c>
      <c r="C174" s="85">
        <v>0</v>
      </c>
      <c r="D174" s="85">
        <v>0</v>
      </c>
      <c r="E174" s="85">
        <v>0</v>
      </c>
      <c r="F174" s="85">
        <v>0</v>
      </c>
      <c r="G174" s="85">
        <v>0</v>
      </c>
      <c r="H174" s="85">
        <v>0</v>
      </c>
      <c r="I174" s="85">
        <v>0</v>
      </c>
      <c r="J174" s="85">
        <v>0</v>
      </c>
      <c r="K174" s="85">
        <v>0</v>
      </c>
      <c r="L174" s="85">
        <v>0</v>
      </c>
      <c r="M174" s="85">
        <v>0</v>
      </c>
      <c r="N174" s="85">
        <v>0</v>
      </c>
      <c r="O174" s="85">
        <v>0</v>
      </c>
      <c r="P174" s="85">
        <v>0</v>
      </c>
      <c r="Q174" s="85">
        <v>0</v>
      </c>
      <c r="R174" s="85">
        <v>0</v>
      </c>
      <c r="S174" s="85">
        <v>0</v>
      </c>
      <c r="T174" s="85">
        <v>0</v>
      </c>
      <c r="U174" s="85">
        <v>0</v>
      </c>
      <c r="V174" s="85">
        <v>0</v>
      </c>
      <c r="W174" s="85">
        <v>0</v>
      </c>
      <c r="X174" s="85">
        <v>0</v>
      </c>
      <c r="Y174" s="85">
        <v>0</v>
      </c>
      <c r="Z174" s="85">
        <v>0</v>
      </c>
      <c r="AA174" s="85">
        <v>0</v>
      </c>
      <c r="AB174" s="85">
        <v>0</v>
      </c>
      <c r="AC174" s="85">
        <v>0</v>
      </c>
      <c r="AD174" s="85">
        <v>0</v>
      </c>
      <c r="AE174" s="85">
        <v>0</v>
      </c>
      <c r="AF174" s="85">
        <v>0</v>
      </c>
      <c r="AG174" s="85">
        <v>0</v>
      </c>
      <c r="AH174" s="85">
        <v>0</v>
      </c>
      <c r="AI174" s="85">
        <v>0</v>
      </c>
      <c r="AJ174" s="85">
        <v>0</v>
      </c>
      <c r="AK174" s="85">
        <v>0</v>
      </c>
      <c r="AL174" s="85">
        <v>0</v>
      </c>
      <c r="AM174" s="85">
        <v>0</v>
      </c>
      <c r="AN174" s="85">
        <v>0</v>
      </c>
      <c r="AO174" s="85">
        <v>0</v>
      </c>
      <c r="AP174" s="85">
        <v>0</v>
      </c>
      <c r="AQ174" s="85">
        <v>0</v>
      </c>
    </row>
    <row r="175" spans="1:43" ht="14.25" customHeight="1" x14ac:dyDescent="0.25">
      <c r="A175" s="89" t="s">
        <v>98</v>
      </c>
      <c r="B175" s="85">
        <v>0</v>
      </c>
      <c r="C175" s="85">
        <v>0</v>
      </c>
      <c r="D175" s="85">
        <v>0</v>
      </c>
      <c r="E175" s="85">
        <v>0</v>
      </c>
      <c r="F175" s="85">
        <v>0</v>
      </c>
      <c r="G175" s="85">
        <v>0</v>
      </c>
      <c r="H175" s="85">
        <v>0</v>
      </c>
      <c r="I175" s="85">
        <v>0</v>
      </c>
      <c r="J175" s="85">
        <v>0</v>
      </c>
      <c r="K175" s="85">
        <v>0</v>
      </c>
      <c r="L175" s="85">
        <v>0</v>
      </c>
      <c r="M175" s="85">
        <v>0</v>
      </c>
      <c r="N175" s="85">
        <v>0</v>
      </c>
      <c r="O175" s="85">
        <v>0</v>
      </c>
      <c r="P175" s="85">
        <v>0</v>
      </c>
      <c r="Q175" s="85">
        <v>0</v>
      </c>
      <c r="R175" s="85">
        <v>0</v>
      </c>
      <c r="S175" s="85">
        <v>0</v>
      </c>
      <c r="T175" s="85">
        <v>0</v>
      </c>
      <c r="U175" s="85">
        <v>0</v>
      </c>
      <c r="V175" s="85">
        <v>0</v>
      </c>
      <c r="W175" s="85">
        <v>0</v>
      </c>
      <c r="X175" s="85">
        <v>0</v>
      </c>
      <c r="Y175" s="85">
        <v>0</v>
      </c>
      <c r="Z175" s="85">
        <v>0</v>
      </c>
      <c r="AA175" s="85">
        <v>0</v>
      </c>
      <c r="AB175" s="85">
        <v>0</v>
      </c>
      <c r="AC175" s="85">
        <v>0</v>
      </c>
      <c r="AD175" s="85">
        <v>0</v>
      </c>
      <c r="AE175" s="85">
        <v>0</v>
      </c>
      <c r="AF175" s="85">
        <v>0</v>
      </c>
      <c r="AG175" s="85">
        <v>0</v>
      </c>
      <c r="AH175" s="85">
        <v>0</v>
      </c>
      <c r="AI175" s="85">
        <v>0</v>
      </c>
      <c r="AJ175" s="85">
        <v>0</v>
      </c>
      <c r="AK175" s="85">
        <v>0</v>
      </c>
      <c r="AL175" s="85">
        <v>0</v>
      </c>
      <c r="AM175" s="85">
        <v>0</v>
      </c>
      <c r="AN175" s="85">
        <v>0</v>
      </c>
      <c r="AO175" s="85">
        <v>0</v>
      </c>
      <c r="AP175" s="85">
        <v>0</v>
      </c>
      <c r="AQ175" s="85">
        <v>0</v>
      </c>
    </row>
    <row r="176" spans="1:43" ht="14.25" customHeight="1" x14ac:dyDescent="0.25">
      <c r="A176" s="89" t="s">
        <v>100</v>
      </c>
      <c r="B176" s="85">
        <v>0</v>
      </c>
      <c r="C176" s="85">
        <v>0</v>
      </c>
      <c r="D176" s="85">
        <v>0</v>
      </c>
      <c r="E176" s="85">
        <v>0</v>
      </c>
      <c r="F176" s="85">
        <v>0</v>
      </c>
      <c r="G176" s="85">
        <v>0</v>
      </c>
      <c r="H176" s="85">
        <v>0</v>
      </c>
      <c r="I176" s="85">
        <v>0</v>
      </c>
      <c r="J176" s="85">
        <v>0</v>
      </c>
      <c r="K176" s="85">
        <v>0</v>
      </c>
      <c r="L176" s="85">
        <v>0</v>
      </c>
      <c r="M176" s="85">
        <v>0</v>
      </c>
      <c r="N176" s="85">
        <v>0</v>
      </c>
      <c r="O176" s="85">
        <v>0</v>
      </c>
      <c r="P176" s="85">
        <v>0</v>
      </c>
      <c r="Q176" s="85">
        <v>0</v>
      </c>
      <c r="R176" s="85">
        <v>0</v>
      </c>
      <c r="S176" s="85">
        <v>0</v>
      </c>
      <c r="T176" s="85">
        <v>0</v>
      </c>
      <c r="U176" s="85">
        <v>0</v>
      </c>
      <c r="V176" s="85">
        <v>0</v>
      </c>
      <c r="W176" s="85">
        <v>0</v>
      </c>
      <c r="X176" s="85">
        <v>0</v>
      </c>
      <c r="Y176" s="85">
        <v>0</v>
      </c>
      <c r="Z176" s="85">
        <v>0</v>
      </c>
      <c r="AA176" s="85">
        <v>0</v>
      </c>
      <c r="AB176" s="85">
        <v>0</v>
      </c>
      <c r="AC176" s="85">
        <v>0</v>
      </c>
      <c r="AD176" s="85">
        <v>0</v>
      </c>
      <c r="AE176" s="85">
        <v>0</v>
      </c>
      <c r="AF176" s="85">
        <v>0</v>
      </c>
      <c r="AG176" s="85">
        <v>0</v>
      </c>
      <c r="AH176" s="85">
        <v>0</v>
      </c>
      <c r="AI176" s="85">
        <v>0</v>
      </c>
      <c r="AJ176" s="85">
        <v>0</v>
      </c>
      <c r="AK176" s="85">
        <v>0</v>
      </c>
      <c r="AL176" s="85">
        <v>0</v>
      </c>
      <c r="AM176" s="85">
        <v>0</v>
      </c>
      <c r="AN176" s="85">
        <v>0</v>
      </c>
      <c r="AO176" s="85">
        <v>0</v>
      </c>
      <c r="AP176" s="85">
        <v>0</v>
      </c>
      <c r="AQ176" s="85">
        <v>0</v>
      </c>
    </row>
    <row r="177" spans="1:43" ht="14.25" customHeight="1" x14ac:dyDescent="0.25">
      <c r="A177" s="89" t="s">
        <v>96</v>
      </c>
      <c r="B177" s="85">
        <v>0</v>
      </c>
      <c r="C177" s="85">
        <v>0</v>
      </c>
      <c r="D177" s="85">
        <v>0</v>
      </c>
      <c r="E177" s="85">
        <v>0</v>
      </c>
      <c r="F177" s="85">
        <v>0</v>
      </c>
      <c r="G177" s="85">
        <v>0</v>
      </c>
      <c r="H177" s="85">
        <v>0</v>
      </c>
      <c r="I177" s="85">
        <v>0</v>
      </c>
      <c r="J177" s="85">
        <v>0</v>
      </c>
      <c r="K177" s="85">
        <v>0</v>
      </c>
      <c r="L177" s="85">
        <v>0</v>
      </c>
      <c r="M177" s="85">
        <v>0</v>
      </c>
      <c r="N177" s="85">
        <v>0</v>
      </c>
      <c r="O177" s="85">
        <v>0</v>
      </c>
      <c r="P177" s="85">
        <v>0</v>
      </c>
      <c r="Q177" s="85">
        <v>0</v>
      </c>
      <c r="R177" s="85">
        <v>0</v>
      </c>
      <c r="S177" s="85">
        <v>0</v>
      </c>
      <c r="T177" s="85">
        <v>0</v>
      </c>
      <c r="U177" s="85">
        <v>0</v>
      </c>
      <c r="V177" s="85">
        <v>0</v>
      </c>
      <c r="W177" s="85">
        <v>0</v>
      </c>
      <c r="X177" s="85">
        <v>0</v>
      </c>
      <c r="Y177" s="85">
        <v>0</v>
      </c>
      <c r="Z177" s="85">
        <v>0</v>
      </c>
      <c r="AA177" s="85">
        <v>0</v>
      </c>
      <c r="AB177" s="85">
        <v>0</v>
      </c>
      <c r="AC177" s="85">
        <v>0</v>
      </c>
      <c r="AD177" s="85">
        <v>0</v>
      </c>
      <c r="AE177" s="85">
        <v>0</v>
      </c>
      <c r="AF177" s="85">
        <v>0</v>
      </c>
      <c r="AG177" s="85">
        <v>0</v>
      </c>
      <c r="AH177" s="85">
        <v>0</v>
      </c>
      <c r="AI177" s="85">
        <v>0</v>
      </c>
      <c r="AJ177" s="85">
        <v>0</v>
      </c>
      <c r="AK177" s="85">
        <v>0</v>
      </c>
      <c r="AL177" s="85">
        <v>0</v>
      </c>
      <c r="AM177" s="85">
        <v>0</v>
      </c>
      <c r="AN177" s="85">
        <v>0</v>
      </c>
      <c r="AO177" s="85">
        <v>0</v>
      </c>
      <c r="AP177" s="85">
        <v>0</v>
      </c>
      <c r="AQ177" s="85">
        <v>0</v>
      </c>
    </row>
    <row r="178" spans="1:43" ht="14.25" customHeight="1" x14ac:dyDescent="0.25">
      <c r="A178" s="89" t="s">
        <v>103</v>
      </c>
      <c r="B178" s="85">
        <v>0</v>
      </c>
      <c r="C178" s="85">
        <v>0</v>
      </c>
      <c r="D178" s="85">
        <v>0</v>
      </c>
      <c r="E178" s="85">
        <v>0</v>
      </c>
      <c r="F178" s="85">
        <v>0</v>
      </c>
      <c r="G178" s="85">
        <v>0</v>
      </c>
      <c r="H178" s="85">
        <v>0</v>
      </c>
      <c r="I178" s="85">
        <v>0</v>
      </c>
      <c r="J178" s="85">
        <v>0</v>
      </c>
      <c r="K178" s="85">
        <v>0</v>
      </c>
      <c r="L178" s="85">
        <v>0</v>
      </c>
      <c r="M178" s="85">
        <v>0</v>
      </c>
      <c r="N178" s="85">
        <v>0</v>
      </c>
      <c r="O178" s="85">
        <v>0</v>
      </c>
      <c r="P178" s="85">
        <v>0</v>
      </c>
      <c r="Q178" s="85">
        <v>0</v>
      </c>
      <c r="R178" s="85">
        <v>0</v>
      </c>
      <c r="S178" s="85">
        <v>0</v>
      </c>
      <c r="T178" s="85">
        <v>0</v>
      </c>
      <c r="U178" s="85">
        <v>0</v>
      </c>
      <c r="V178" s="85">
        <v>0</v>
      </c>
      <c r="W178" s="85">
        <v>0</v>
      </c>
      <c r="X178" s="85">
        <v>0</v>
      </c>
      <c r="Y178" s="85">
        <v>0</v>
      </c>
      <c r="Z178" s="85">
        <v>0</v>
      </c>
      <c r="AA178" s="85">
        <v>0</v>
      </c>
      <c r="AB178" s="85">
        <v>0</v>
      </c>
      <c r="AC178" s="85">
        <v>0</v>
      </c>
      <c r="AD178" s="85">
        <v>0</v>
      </c>
      <c r="AE178" s="85">
        <v>0</v>
      </c>
      <c r="AF178" s="85">
        <v>0</v>
      </c>
      <c r="AG178" s="85">
        <v>0</v>
      </c>
      <c r="AH178" s="85">
        <v>0</v>
      </c>
      <c r="AI178" s="85">
        <v>0</v>
      </c>
      <c r="AJ178" s="85">
        <v>0</v>
      </c>
      <c r="AK178" s="85">
        <v>0</v>
      </c>
      <c r="AL178" s="85">
        <v>0</v>
      </c>
      <c r="AM178" s="85">
        <v>0</v>
      </c>
      <c r="AN178" s="85">
        <v>0</v>
      </c>
      <c r="AO178" s="85">
        <v>0</v>
      </c>
      <c r="AP178" s="85">
        <v>0</v>
      </c>
      <c r="AQ178" s="85">
        <v>0</v>
      </c>
    </row>
    <row r="179" spans="1:43" ht="14.25" customHeight="1" x14ac:dyDescent="0.25">
      <c r="A179" s="89" t="s">
        <v>99</v>
      </c>
      <c r="B179" s="85">
        <v>0</v>
      </c>
      <c r="C179" s="85">
        <v>0</v>
      </c>
      <c r="D179" s="85">
        <v>0</v>
      </c>
      <c r="E179" s="85">
        <v>0</v>
      </c>
      <c r="F179" s="85">
        <v>0</v>
      </c>
      <c r="G179" s="85">
        <v>0</v>
      </c>
      <c r="H179" s="85">
        <v>0</v>
      </c>
      <c r="I179" s="85">
        <v>0</v>
      </c>
      <c r="J179" s="85">
        <v>0</v>
      </c>
      <c r="K179" s="85">
        <v>0</v>
      </c>
      <c r="L179" s="85">
        <v>0</v>
      </c>
      <c r="M179" s="85">
        <v>0</v>
      </c>
      <c r="N179" s="85">
        <v>0</v>
      </c>
      <c r="O179" s="85">
        <v>0</v>
      </c>
      <c r="P179" s="85">
        <v>0</v>
      </c>
      <c r="Q179" s="85">
        <v>0</v>
      </c>
      <c r="R179" s="85">
        <v>0</v>
      </c>
      <c r="S179" s="85">
        <v>0</v>
      </c>
      <c r="T179" s="85">
        <v>0</v>
      </c>
      <c r="U179" s="85">
        <v>0</v>
      </c>
      <c r="V179" s="85">
        <v>0</v>
      </c>
      <c r="W179" s="85">
        <v>0</v>
      </c>
      <c r="X179" s="85">
        <v>0</v>
      </c>
      <c r="Y179" s="85">
        <v>0</v>
      </c>
      <c r="Z179" s="85">
        <v>0</v>
      </c>
      <c r="AA179" s="85">
        <v>0</v>
      </c>
      <c r="AB179" s="85">
        <v>0</v>
      </c>
      <c r="AC179" s="85">
        <v>0</v>
      </c>
      <c r="AD179" s="85">
        <v>0</v>
      </c>
      <c r="AE179" s="85">
        <v>0</v>
      </c>
      <c r="AF179" s="85">
        <v>0</v>
      </c>
      <c r="AG179" s="85">
        <v>0</v>
      </c>
      <c r="AH179" s="85">
        <v>0</v>
      </c>
      <c r="AI179" s="85">
        <v>0</v>
      </c>
      <c r="AJ179" s="85">
        <v>0</v>
      </c>
      <c r="AK179" s="85">
        <v>0</v>
      </c>
      <c r="AL179" s="85">
        <v>0</v>
      </c>
      <c r="AM179" s="85">
        <v>0</v>
      </c>
      <c r="AN179" s="85">
        <v>0</v>
      </c>
      <c r="AO179" s="85">
        <v>0</v>
      </c>
      <c r="AP179" s="85">
        <v>0</v>
      </c>
      <c r="AQ179" s="85">
        <v>0</v>
      </c>
    </row>
    <row r="180" spans="1:43" ht="14.25" customHeight="1" x14ac:dyDescent="0.25">
      <c r="A180" s="89" t="s">
        <v>104</v>
      </c>
      <c r="B180" s="85">
        <v>0</v>
      </c>
      <c r="C180" s="85">
        <v>0</v>
      </c>
      <c r="D180" s="85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0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85">
        <v>0</v>
      </c>
      <c r="V180" s="85">
        <v>0</v>
      </c>
      <c r="W180" s="85">
        <v>0</v>
      </c>
      <c r="X180" s="85">
        <v>0</v>
      </c>
      <c r="Y180" s="85">
        <v>0</v>
      </c>
      <c r="Z180" s="85">
        <v>0</v>
      </c>
      <c r="AA180" s="85">
        <v>0</v>
      </c>
      <c r="AB180" s="85">
        <v>0</v>
      </c>
      <c r="AC180" s="85">
        <v>0</v>
      </c>
      <c r="AD180" s="85">
        <v>0</v>
      </c>
      <c r="AE180" s="85">
        <v>0</v>
      </c>
      <c r="AF180" s="85">
        <v>0</v>
      </c>
      <c r="AG180" s="85">
        <v>0</v>
      </c>
      <c r="AH180" s="85">
        <v>0</v>
      </c>
      <c r="AI180" s="85">
        <v>0</v>
      </c>
      <c r="AJ180" s="85">
        <v>0</v>
      </c>
      <c r="AK180" s="85">
        <v>0</v>
      </c>
      <c r="AL180" s="85">
        <v>0</v>
      </c>
      <c r="AM180" s="85">
        <v>0</v>
      </c>
      <c r="AN180" s="85">
        <v>0</v>
      </c>
      <c r="AO180" s="85">
        <v>0</v>
      </c>
      <c r="AP180" s="85">
        <v>0</v>
      </c>
      <c r="AQ180" s="85">
        <v>0</v>
      </c>
    </row>
    <row r="181" spans="1:43" ht="14.25" customHeight="1" x14ac:dyDescent="0.25">
      <c r="A181" s="89" t="s">
        <v>102</v>
      </c>
      <c r="B181" s="85">
        <v>0</v>
      </c>
      <c r="C181" s="85">
        <v>0</v>
      </c>
      <c r="D181" s="85">
        <v>0</v>
      </c>
      <c r="E181" s="85">
        <v>0</v>
      </c>
      <c r="F181" s="85">
        <v>0</v>
      </c>
      <c r="G181" s="85">
        <v>0</v>
      </c>
      <c r="H181" s="85">
        <v>0</v>
      </c>
      <c r="I181" s="85">
        <v>0</v>
      </c>
      <c r="J181" s="85">
        <v>0</v>
      </c>
      <c r="K181" s="85">
        <v>0</v>
      </c>
      <c r="L181" s="85">
        <v>0</v>
      </c>
      <c r="M181" s="85">
        <v>0</v>
      </c>
      <c r="N181" s="85">
        <v>0</v>
      </c>
      <c r="O181" s="85">
        <v>0</v>
      </c>
      <c r="P181" s="85">
        <v>0</v>
      </c>
      <c r="Q181" s="85">
        <v>0</v>
      </c>
      <c r="R181" s="85">
        <v>0</v>
      </c>
      <c r="S181" s="85">
        <v>0</v>
      </c>
      <c r="T181" s="85">
        <v>0</v>
      </c>
      <c r="U181" s="85">
        <v>0</v>
      </c>
      <c r="V181" s="85">
        <v>0</v>
      </c>
      <c r="W181" s="85">
        <v>0</v>
      </c>
      <c r="X181" s="85">
        <v>0</v>
      </c>
      <c r="Y181" s="85">
        <v>0</v>
      </c>
      <c r="Z181" s="85">
        <v>0</v>
      </c>
      <c r="AA181" s="85">
        <v>0</v>
      </c>
      <c r="AB181" s="85">
        <v>0</v>
      </c>
      <c r="AC181" s="85">
        <v>0</v>
      </c>
      <c r="AD181" s="85">
        <v>0</v>
      </c>
      <c r="AE181" s="85">
        <v>0</v>
      </c>
      <c r="AF181" s="85">
        <v>0</v>
      </c>
      <c r="AG181" s="85">
        <v>0</v>
      </c>
      <c r="AH181" s="85">
        <v>0</v>
      </c>
      <c r="AI181" s="85">
        <v>0</v>
      </c>
      <c r="AJ181" s="85">
        <v>0</v>
      </c>
      <c r="AK181" s="85">
        <v>0</v>
      </c>
      <c r="AL181" s="85">
        <v>0</v>
      </c>
      <c r="AM181" s="85">
        <v>0</v>
      </c>
      <c r="AN181" s="85">
        <v>0</v>
      </c>
      <c r="AO181" s="85">
        <v>0</v>
      </c>
      <c r="AP181" s="85">
        <v>0</v>
      </c>
      <c r="AQ181" s="85">
        <v>0</v>
      </c>
    </row>
    <row r="182" spans="1:43" ht="14.25" customHeight="1" x14ac:dyDescent="0.25">
      <c r="A182" s="89" t="s">
        <v>106</v>
      </c>
      <c r="B182" s="85">
        <v>0</v>
      </c>
      <c r="C182" s="85">
        <v>0</v>
      </c>
      <c r="D182" s="85">
        <v>0</v>
      </c>
      <c r="E182" s="85">
        <v>0</v>
      </c>
      <c r="F182" s="85">
        <v>0</v>
      </c>
      <c r="G182" s="85">
        <v>0</v>
      </c>
      <c r="H182" s="85">
        <v>0</v>
      </c>
      <c r="I182" s="85">
        <v>0</v>
      </c>
      <c r="J182" s="85">
        <v>0</v>
      </c>
      <c r="K182" s="85">
        <v>0</v>
      </c>
      <c r="L182" s="85">
        <v>0</v>
      </c>
      <c r="M182" s="85">
        <v>0</v>
      </c>
      <c r="N182" s="85">
        <v>0</v>
      </c>
      <c r="O182" s="85">
        <v>0</v>
      </c>
      <c r="P182" s="85">
        <v>0</v>
      </c>
      <c r="Q182" s="85">
        <v>0</v>
      </c>
      <c r="R182" s="85">
        <v>0</v>
      </c>
      <c r="S182" s="85">
        <v>0</v>
      </c>
      <c r="T182" s="85">
        <v>0</v>
      </c>
      <c r="U182" s="85">
        <v>0</v>
      </c>
      <c r="V182" s="85">
        <v>0</v>
      </c>
      <c r="W182" s="85">
        <v>0</v>
      </c>
      <c r="X182" s="85">
        <v>0</v>
      </c>
      <c r="Y182" s="85">
        <v>0</v>
      </c>
      <c r="Z182" s="85">
        <v>0</v>
      </c>
      <c r="AA182" s="85">
        <v>0</v>
      </c>
      <c r="AB182" s="85">
        <v>0</v>
      </c>
      <c r="AC182" s="85">
        <v>0</v>
      </c>
      <c r="AD182" s="85">
        <v>0</v>
      </c>
      <c r="AE182" s="85">
        <v>0</v>
      </c>
      <c r="AF182" s="85">
        <v>0</v>
      </c>
      <c r="AG182" s="85">
        <v>0</v>
      </c>
      <c r="AH182" s="85">
        <v>0</v>
      </c>
      <c r="AI182" s="85">
        <v>0</v>
      </c>
      <c r="AJ182" s="85">
        <v>0</v>
      </c>
      <c r="AK182" s="85">
        <v>0</v>
      </c>
      <c r="AL182" s="85">
        <v>0</v>
      </c>
      <c r="AM182" s="85">
        <v>0</v>
      </c>
      <c r="AN182" s="85">
        <v>0</v>
      </c>
      <c r="AO182" s="85">
        <v>0</v>
      </c>
      <c r="AP182" s="85">
        <v>0</v>
      </c>
      <c r="AQ182" s="85">
        <v>0</v>
      </c>
    </row>
    <row r="183" spans="1:43" ht="14.25" customHeight="1" x14ac:dyDescent="0.25">
      <c r="A183" s="89" t="s">
        <v>101</v>
      </c>
      <c r="B183" s="85">
        <v>0</v>
      </c>
      <c r="C183" s="85">
        <v>0</v>
      </c>
      <c r="D183" s="85">
        <v>0</v>
      </c>
      <c r="E183" s="85">
        <v>0</v>
      </c>
      <c r="F183" s="85">
        <v>0</v>
      </c>
      <c r="G183" s="85">
        <v>0</v>
      </c>
      <c r="H183" s="85">
        <v>0</v>
      </c>
      <c r="I183" s="85">
        <v>0</v>
      </c>
      <c r="J183" s="85">
        <v>0</v>
      </c>
      <c r="K183" s="85">
        <v>0</v>
      </c>
      <c r="L183" s="85">
        <v>0</v>
      </c>
      <c r="M183" s="85">
        <v>0</v>
      </c>
      <c r="N183" s="85">
        <v>0</v>
      </c>
      <c r="O183" s="85">
        <v>0</v>
      </c>
      <c r="P183" s="85">
        <v>0</v>
      </c>
      <c r="Q183" s="85">
        <v>0</v>
      </c>
      <c r="R183" s="85">
        <v>0</v>
      </c>
      <c r="S183" s="85">
        <v>0</v>
      </c>
      <c r="T183" s="85">
        <v>0</v>
      </c>
      <c r="U183" s="85">
        <v>0</v>
      </c>
      <c r="V183" s="85">
        <v>0</v>
      </c>
      <c r="W183" s="85">
        <v>0</v>
      </c>
      <c r="X183" s="85">
        <v>0</v>
      </c>
      <c r="Y183" s="85">
        <v>0</v>
      </c>
      <c r="Z183" s="85">
        <v>0</v>
      </c>
      <c r="AA183" s="85">
        <v>0</v>
      </c>
      <c r="AB183" s="85">
        <v>0</v>
      </c>
      <c r="AC183" s="85">
        <v>0</v>
      </c>
      <c r="AD183" s="85">
        <v>0</v>
      </c>
      <c r="AE183" s="85">
        <v>0</v>
      </c>
      <c r="AF183" s="85">
        <v>0</v>
      </c>
      <c r="AG183" s="85">
        <v>0</v>
      </c>
      <c r="AH183" s="85">
        <v>0</v>
      </c>
      <c r="AI183" s="85">
        <v>0</v>
      </c>
      <c r="AJ183" s="85">
        <v>0</v>
      </c>
      <c r="AK183" s="85">
        <v>0</v>
      </c>
      <c r="AL183" s="85">
        <v>0</v>
      </c>
      <c r="AM183" s="85">
        <v>0</v>
      </c>
      <c r="AN183" s="85">
        <v>0</v>
      </c>
      <c r="AO183" s="85">
        <v>0</v>
      </c>
      <c r="AP183" s="85">
        <v>0</v>
      </c>
      <c r="AQ183" s="85">
        <v>0</v>
      </c>
    </row>
    <row r="184" spans="1:43" ht="14.25" customHeight="1" x14ac:dyDescent="0.25">
      <c r="A184" s="89" t="s">
        <v>105</v>
      </c>
      <c r="B184" s="85">
        <v>0</v>
      </c>
      <c r="C184" s="85">
        <v>0</v>
      </c>
      <c r="D184" s="85">
        <v>0</v>
      </c>
      <c r="E184" s="85">
        <v>0</v>
      </c>
      <c r="F184" s="85">
        <v>0</v>
      </c>
      <c r="G184" s="85">
        <v>0</v>
      </c>
      <c r="H184" s="85">
        <v>0</v>
      </c>
      <c r="I184" s="85">
        <v>0</v>
      </c>
      <c r="J184" s="85">
        <v>0</v>
      </c>
      <c r="K184" s="85">
        <v>0</v>
      </c>
      <c r="L184" s="85">
        <v>0</v>
      </c>
      <c r="M184" s="85">
        <v>0</v>
      </c>
      <c r="N184" s="85">
        <v>0</v>
      </c>
      <c r="O184" s="85">
        <v>0</v>
      </c>
      <c r="P184" s="85">
        <v>0</v>
      </c>
      <c r="Q184" s="85">
        <v>0</v>
      </c>
      <c r="R184" s="85">
        <v>0</v>
      </c>
      <c r="S184" s="85">
        <v>0</v>
      </c>
      <c r="T184" s="85">
        <v>0</v>
      </c>
      <c r="U184" s="85">
        <v>0</v>
      </c>
      <c r="V184" s="85">
        <v>0</v>
      </c>
      <c r="W184" s="85">
        <v>0</v>
      </c>
      <c r="X184" s="85">
        <v>0</v>
      </c>
      <c r="Y184" s="85">
        <v>0</v>
      </c>
      <c r="Z184" s="85">
        <v>0</v>
      </c>
      <c r="AA184" s="85">
        <v>0</v>
      </c>
      <c r="AB184" s="85">
        <v>0</v>
      </c>
      <c r="AC184" s="85">
        <v>0</v>
      </c>
      <c r="AD184" s="85">
        <v>0</v>
      </c>
      <c r="AE184" s="85">
        <v>0</v>
      </c>
      <c r="AF184" s="85">
        <v>0</v>
      </c>
      <c r="AG184" s="85">
        <v>0</v>
      </c>
      <c r="AH184" s="85">
        <v>0</v>
      </c>
      <c r="AI184" s="85">
        <v>0</v>
      </c>
      <c r="AJ184" s="85">
        <v>0</v>
      </c>
      <c r="AK184" s="85">
        <v>0</v>
      </c>
      <c r="AL184" s="85">
        <v>0</v>
      </c>
      <c r="AM184" s="85">
        <v>0</v>
      </c>
      <c r="AN184" s="85">
        <v>0</v>
      </c>
      <c r="AO184" s="85">
        <v>0</v>
      </c>
      <c r="AP184" s="85">
        <v>0</v>
      </c>
      <c r="AQ184" s="85">
        <v>0</v>
      </c>
    </row>
    <row r="185" spans="1:43" ht="14.25" customHeight="1" x14ac:dyDescent="0.25">
      <c r="A185" s="89" t="s">
        <v>295</v>
      </c>
      <c r="B185" s="85">
        <v>0</v>
      </c>
      <c r="C185" s="85">
        <v>0</v>
      </c>
      <c r="D185" s="85">
        <v>0</v>
      </c>
      <c r="E185" s="85">
        <v>0</v>
      </c>
      <c r="F185" s="85">
        <v>0</v>
      </c>
      <c r="G185" s="85">
        <v>0</v>
      </c>
      <c r="H185" s="85">
        <v>0</v>
      </c>
      <c r="I185" s="85">
        <v>0</v>
      </c>
      <c r="J185" s="85">
        <v>0</v>
      </c>
      <c r="K185" s="85">
        <v>0</v>
      </c>
      <c r="L185" s="85">
        <v>0</v>
      </c>
      <c r="M185" s="85">
        <v>0</v>
      </c>
      <c r="N185" s="85">
        <v>0</v>
      </c>
      <c r="O185" s="85">
        <v>0</v>
      </c>
      <c r="P185" s="85">
        <v>0</v>
      </c>
      <c r="Q185" s="85">
        <v>0</v>
      </c>
      <c r="R185" s="85">
        <v>0</v>
      </c>
      <c r="S185" s="85">
        <v>0</v>
      </c>
      <c r="T185" s="85">
        <v>0</v>
      </c>
      <c r="U185" s="85">
        <v>0</v>
      </c>
      <c r="V185" s="85">
        <v>0</v>
      </c>
      <c r="W185" s="85">
        <v>0</v>
      </c>
      <c r="X185" s="85">
        <v>0</v>
      </c>
      <c r="Y185" s="85">
        <v>0</v>
      </c>
      <c r="Z185" s="85">
        <v>0</v>
      </c>
      <c r="AA185" s="85">
        <v>0</v>
      </c>
      <c r="AB185" s="85">
        <v>0</v>
      </c>
      <c r="AC185" s="85">
        <v>0</v>
      </c>
      <c r="AD185" s="85">
        <v>0</v>
      </c>
      <c r="AE185" s="85">
        <v>0</v>
      </c>
      <c r="AF185" s="85">
        <v>0</v>
      </c>
      <c r="AG185" s="85">
        <v>0</v>
      </c>
      <c r="AH185" s="85">
        <v>0</v>
      </c>
      <c r="AI185" s="85">
        <v>0</v>
      </c>
      <c r="AJ185" s="85">
        <v>0</v>
      </c>
      <c r="AK185" s="85">
        <v>0</v>
      </c>
      <c r="AL185" s="85">
        <v>0</v>
      </c>
      <c r="AM185" s="85">
        <v>0</v>
      </c>
      <c r="AN185" s="85">
        <v>0</v>
      </c>
      <c r="AO185" s="85">
        <v>0</v>
      </c>
      <c r="AP185" s="85">
        <v>0</v>
      </c>
      <c r="AQ185" s="85">
        <v>0</v>
      </c>
    </row>
    <row r="186" spans="1:43" ht="14.25" customHeight="1" x14ac:dyDescent="0.25">
      <c r="A186" s="89" t="s">
        <v>108</v>
      </c>
      <c r="B186" s="85">
        <v>0</v>
      </c>
      <c r="C186" s="85">
        <v>0</v>
      </c>
      <c r="D186" s="85">
        <v>0</v>
      </c>
      <c r="E186" s="85">
        <v>0</v>
      </c>
      <c r="F186" s="85">
        <v>0</v>
      </c>
      <c r="G186" s="85">
        <v>0</v>
      </c>
      <c r="H186" s="85">
        <v>0</v>
      </c>
      <c r="I186" s="85">
        <v>0</v>
      </c>
      <c r="J186" s="85">
        <v>0</v>
      </c>
      <c r="K186" s="85">
        <v>0</v>
      </c>
      <c r="L186" s="85">
        <v>0</v>
      </c>
      <c r="M186" s="85">
        <v>0</v>
      </c>
      <c r="N186" s="85">
        <v>0</v>
      </c>
      <c r="O186" s="85">
        <v>0</v>
      </c>
      <c r="P186" s="85">
        <v>0</v>
      </c>
      <c r="Q186" s="85">
        <v>0</v>
      </c>
      <c r="R186" s="85">
        <v>0</v>
      </c>
      <c r="S186" s="85">
        <v>0</v>
      </c>
      <c r="T186" s="85">
        <v>0</v>
      </c>
      <c r="U186" s="85">
        <v>0</v>
      </c>
      <c r="V186" s="85">
        <v>0</v>
      </c>
      <c r="W186" s="85">
        <v>0</v>
      </c>
      <c r="X186" s="85">
        <v>0</v>
      </c>
      <c r="Y186" s="85">
        <v>0</v>
      </c>
      <c r="Z186" s="85">
        <v>0</v>
      </c>
      <c r="AA186" s="85">
        <v>0</v>
      </c>
      <c r="AB186" s="85">
        <v>0</v>
      </c>
      <c r="AC186" s="85">
        <v>0</v>
      </c>
      <c r="AD186" s="85">
        <v>0</v>
      </c>
      <c r="AE186" s="85">
        <v>0</v>
      </c>
      <c r="AF186" s="85">
        <v>0</v>
      </c>
      <c r="AG186" s="85">
        <v>0</v>
      </c>
      <c r="AH186" s="85">
        <v>0</v>
      </c>
      <c r="AI186" s="85">
        <v>0</v>
      </c>
      <c r="AJ186" s="85">
        <v>0</v>
      </c>
      <c r="AK186" s="85">
        <v>0</v>
      </c>
      <c r="AL186" s="85">
        <v>0</v>
      </c>
      <c r="AM186" s="85">
        <v>0</v>
      </c>
      <c r="AN186" s="85">
        <v>0</v>
      </c>
      <c r="AO186" s="85">
        <v>0</v>
      </c>
      <c r="AP186" s="85">
        <v>0</v>
      </c>
      <c r="AQ186" s="85">
        <v>0</v>
      </c>
    </row>
    <row r="187" spans="1:43" ht="14.25" customHeight="1" x14ac:dyDescent="0.25">
      <c r="A187" s="89" t="s">
        <v>107</v>
      </c>
      <c r="B187" s="85">
        <v>0</v>
      </c>
      <c r="C187" s="85">
        <v>0</v>
      </c>
      <c r="D187" s="85">
        <v>0</v>
      </c>
      <c r="E187" s="85">
        <v>0</v>
      </c>
      <c r="F187" s="85">
        <v>0</v>
      </c>
      <c r="G187" s="85">
        <v>0</v>
      </c>
      <c r="H187" s="85">
        <v>0</v>
      </c>
      <c r="I187" s="85">
        <v>0</v>
      </c>
      <c r="J187" s="85">
        <v>0</v>
      </c>
      <c r="K187" s="85">
        <v>0</v>
      </c>
      <c r="L187" s="85">
        <v>0</v>
      </c>
      <c r="M187" s="85">
        <v>0</v>
      </c>
      <c r="N187" s="85">
        <v>0</v>
      </c>
      <c r="O187" s="85">
        <v>0</v>
      </c>
      <c r="P187" s="85">
        <v>0</v>
      </c>
      <c r="Q187" s="85">
        <v>0</v>
      </c>
      <c r="R187" s="85">
        <v>0</v>
      </c>
      <c r="S187" s="85">
        <v>0</v>
      </c>
      <c r="T187" s="85">
        <v>0</v>
      </c>
      <c r="U187" s="85">
        <v>0</v>
      </c>
      <c r="V187" s="85">
        <v>0</v>
      </c>
      <c r="W187" s="85">
        <v>0</v>
      </c>
      <c r="X187" s="85">
        <v>0</v>
      </c>
      <c r="Y187" s="85">
        <v>0</v>
      </c>
      <c r="Z187" s="85">
        <v>0</v>
      </c>
      <c r="AA187" s="85">
        <v>0</v>
      </c>
      <c r="AB187" s="85">
        <v>0</v>
      </c>
      <c r="AC187" s="85">
        <v>0</v>
      </c>
      <c r="AD187" s="85">
        <v>0</v>
      </c>
      <c r="AE187" s="85">
        <v>0</v>
      </c>
      <c r="AF187" s="85">
        <v>0</v>
      </c>
      <c r="AG187" s="85">
        <v>0</v>
      </c>
      <c r="AH187" s="85">
        <v>0</v>
      </c>
      <c r="AI187" s="85">
        <v>0</v>
      </c>
      <c r="AJ187" s="85">
        <v>0</v>
      </c>
      <c r="AK187" s="85">
        <v>0</v>
      </c>
      <c r="AL187" s="85">
        <v>0</v>
      </c>
      <c r="AM187" s="85">
        <v>0</v>
      </c>
      <c r="AN187" s="85">
        <v>0</v>
      </c>
      <c r="AO187" s="85">
        <v>0</v>
      </c>
      <c r="AP187" s="85">
        <v>0</v>
      </c>
      <c r="AQ187" s="85">
        <v>0</v>
      </c>
    </row>
    <row r="188" spans="1:43" ht="14.25" customHeight="1" x14ac:dyDescent="0.25">
      <c r="A188" s="89" t="s">
        <v>40</v>
      </c>
      <c r="B188" s="85">
        <v>0</v>
      </c>
      <c r="C188" s="85">
        <v>0</v>
      </c>
      <c r="D188" s="85">
        <v>0</v>
      </c>
      <c r="E188" s="85">
        <v>0</v>
      </c>
      <c r="F188" s="85">
        <v>0</v>
      </c>
      <c r="G188" s="85">
        <v>0</v>
      </c>
      <c r="H188" s="85">
        <v>0</v>
      </c>
      <c r="I188" s="85">
        <v>0</v>
      </c>
      <c r="J188" s="85">
        <v>0</v>
      </c>
      <c r="K188" s="85">
        <v>0</v>
      </c>
      <c r="L188" s="85">
        <v>0</v>
      </c>
      <c r="M188" s="85">
        <v>0</v>
      </c>
      <c r="N188" s="85">
        <v>0</v>
      </c>
      <c r="O188" s="85">
        <v>0</v>
      </c>
      <c r="P188" s="85">
        <v>0</v>
      </c>
      <c r="Q188" s="85">
        <v>0</v>
      </c>
      <c r="R188" s="85">
        <v>0</v>
      </c>
      <c r="S188" s="85">
        <v>0</v>
      </c>
      <c r="T188" s="85">
        <v>0</v>
      </c>
      <c r="U188" s="85">
        <v>0</v>
      </c>
      <c r="V188" s="85">
        <v>0</v>
      </c>
      <c r="W188" s="85">
        <v>0</v>
      </c>
      <c r="X188" s="85">
        <v>0</v>
      </c>
      <c r="Y188" s="85">
        <v>0</v>
      </c>
      <c r="Z188" s="85">
        <v>0</v>
      </c>
      <c r="AA188" s="85">
        <v>0</v>
      </c>
      <c r="AB188" s="85">
        <v>0</v>
      </c>
      <c r="AC188" s="85">
        <v>0</v>
      </c>
      <c r="AD188" s="85">
        <v>0</v>
      </c>
      <c r="AE188" s="85">
        <v>0</v>
      </c>
      <c r="AF188" s="85">
        <v>0</v>
      </c>
      <c r="AG188" s="85">
        <v>0</v>
      </c>
      <c r="AH188" s="85">
        <v>0</v>
      </c>
      <c r="AI188" s="85">
        <v>0</v>
      </c>
      <c r="AJ188" s="85">
        <v>0</v>
      </c>
      <c r="AK188" s="85">
        <v>0</v>
      </c>
      <c r="AL188" s="85">
        <v>0</v>
      </c>
      <c r="AM188" s="85">
        <v>0</v>
      </c>
      <c r="AN188" s="85">
        <v>0</v>
      </c>
      <c r="AO188" s="85">
        <v>0</v>
      </c>
      <c r="AP188" s="85">
        <v>0</v>
      </c>
      <c r="AQ188" s="85">
        <v>0</v>
      </c>
    </row>
    <row r="189" spans="1:43" ht="14.25" customHeight="1" x14ac:dyDescent="0.25">
      <c r="A189" s="89" t="s">
        <v>500</v>
      </c>
      <c r="B189" s="85">
        <v>0</v>
      </c>
      <c r="C189" s="85">
        <v>0</v>
      </c>
      <c r="D189" s="85">
        <v>0</v>
      </c>
      <c r="E189" s="85">
        <v>0</v>
      </c>
      <c r="F189" s="85">
        <v>0</v>
      </c>
      <c r="G189" s="85">
        <v>0</v>
      </c>
      <c r="H189" s="85">
        <v>0</v>
      </c>
      <c r="I189" s="85">
        <v>0</v>
      </c>
      <c r="J189" s="85">
        <v>0</v>
      </c>
      <c r="K189" s="85">
        <v>0</v>
      </c>
      <c r="L189" s="85">
        <v>0</v>
      </c>
      <c r="M189" s="85">
        <v>0</v>
      </c>
      <c r="N189" s="85">
        <v>0</v>
      </c>
      <c r="O189" s="85">
        <v>0</v>
      </c>
      <c r="P189" s="85">
        <v>0</v>
      </c>
      <c r="Q189" s="85">
        <v>0</v>
      </c>
      <c r="R189" s="85">
        <v>0</v>
      </c>
      <c r="S189" s="85">
        <v>0</v>
      </c>
      <c r="T189" s="85">
        <v>0</v>
      </c>
      <c r="U189" s="85">
        <v>0</v>
      </c>
      <c r="V189" s="85">
        <v>0</v>
      </c>
      <c r="W189" s="85">
        <v>0</v>
      </c>
      <c r="X189" s="85">
        <v>0</v>
      </c>
      <c r="Y189" s="85">
        <v>0</v>
      </c>
      <c r="Z189" s="85">
        <v>0</v>
      </c>
      <c r="AA189" s="85">
        <v>0</v>
      </c>
      <c r="AB189" s="85">
        <v>0</v>
      </c>
      <c r="AC189" s="85">
        <v>0</v>
      </c>
      <c r="AD189" s="85">
        <v>0</v>
      </c>
      <c r="AE189" s="85">
        <v>0</v>
      </c>
      <c r="AF189" s="85">
        <v>0</v>
      </c>
      <c r="AG189" s="85">
        <v>0</v>
      </c>
      <c r="AH189" s="85">
        <v>0</v>
      </c>
      <c r="AI189" s="85">
        <v>0</v>
      </c>
      <c r="AJ189" s="85">
        <v>0</v>
      </c>
      <c r="AK189" s="85">
        <v>0</v>
      </c>
      <c r="AL189" s="85">
        <v>0</v>
      </c>
      <c r="AM189" s="85">
        <v>0</v>
      </c>
      <c r="AN189" s="85">
        <v>0</v>
      </c>
      <c r="AO189" s="85">
        <v>0</v>
      </c>
      <c r="AP189" s="85">
        <v>0</v>
      </c>
      <c r="AQ189" s="85">
        <v>0</v>
      </c>
    </row>
    <row r="190" spans="1:43" ht="14.25" customHeight="1" x14ac:dyDescent="0.25">
      <c r="A190" s="89"/>
      <c r="B190" s="85">
        <v>0</v>
      </c>
      <c r="C190" s="85">
        <v>0</v>
      </c>
      <c r="D190" s="85">
        <v>0</v>
      </c>
      <c r="E190" s="85">
        <v>0</v>
      </c>
      <c r="F190" s="85">
        <v>0</v>
      </c>
      <c r="G190" s="85">
        <v>0</v>
      </c>
      <c r="H190" s="85">
        <v>0</v>
      </c>
      <c r="I190" s="85">
        <v>0</v>
      </c>
      <c r="J190" s="85">
        <v>0</v>
      </c>
      <c r="K190" s="85">
        <v>0</v>
      </c>
      <c r="L190" s="85">
        <v>0</v>
      </c>
      <c r="M190" s="85">
        <v>0</v>
      </c>
      <c r="N190" s="85">
        <v>0</v>
      </c>
      <c r="O190" s="85">
        <v>0</v>
      </c>
      <c r="P190" s="85">
        <v>0</v>
      </c>
      <c r="Q190" s="85">
        <v>0</v>
      </c>
      <c r="R190" s="85">
        <v>0</v>
      </c>
      <c r="S190" s="85">
        <v>0</v>
      </c>
      <c r="T190" s="85">
        <v>0</v>
      </c>
      <c r="U190" s="85">
        <v>0</v>
      </c>
      <c r="V190" s="85">
        <v>0</v>
      </c>
      <c r="W190" s="85">
        <v>0</v>
      </c>
      <c r="X190" s="85">
        <v>0</v>
      </c>
      <c r="Y190" s="85">
        <v>0</v>
      </c>
      <c r="Z190" s="85">
        <v>0</v>
      </c>
      <c r="AA190" s="85">
        <v>0</v>
      </c>
      <c r="AB190" s="85">
        <v>0</v>
      </c>
      <c r="AC190" s="85">
        <v>0</v>
      </c>
      <c r="AD190" s="85">
        <v>0</v>
      </c>
      <c r="AE190" s="85">
        <v>0</v>
      </c>
      <c r="AF190" s="85">
        <v>0</v>
      </c>
      <c r="AG190" s="85">
        <v>0</v>
      </c>
      <c r="AH190" s="85">
        <v>0</v>
      </c>
      <c r="AI190" s="85">
        <v>0</v>
      </c>
      <c r="AJ190" s="85">
        <v>0</v>
      </c>
      <c r="AK190" s="85">
        <v>0</v>
      </c>
      <c r="AL190" s="85">
        <v>0</v>
      </c>
      <c r="AM190" s="85">
        <v>0</v>
      </c>
      <c r="AN190" s="85">
        <v>0</v>
      </c>
      <c r="AO190" s="85">
        <v>0</v>
      </c>
      <c r="AP190" s="85">
        <v>0</v>
      </c>
      <c r="AQ190" s="85">
        <v>0</v>
      </c>
    </row>
    <row r="191" spans="1:43" ht="14.25" customHeight="1" x14ac:dyDescent="0.25">
      <c r="A191" s="89"/>
      <c r="B191" s="85">
        <v>0</v>
      </c>
      <c r="C191" s="85">
        <v>0</v>
      </c>
      <c r="D191" s="85">
        <v>0</v>
      </c>
      <c r="E191" s="85">
        <v>0</v>
      </c>
      <c r="F191" s="85">
        <v>0</v>
      </c>
      <c r="G191" s="85">
        <v>0</v>
      </c>
      <c r="H191" s="85">
        <v>0</v>
      </c>
      <c r="I191" s="85">
        <v>0</v>
      </c>
      <c r="J191" s="85">
        <v>0</v>
      </c>
      <c r="K191" s="85">
        <v>0</v>
      </c>
      <c r="L191" s="85">
        <v>0</v>
      </c>
      <c r="M191" s="85">
        <v>0</v>
      </c>
      <c r="N191" s="85">
        <v>0</v>
      </c>
      <c r="O191" s="85">
        <v>0</v>
      </c>
      <c r="P191" s="85">
        <v>0</v>
      </c>
      <c r="Q191" s="85">
        <v>0</v>
      </c>
      <c r="R191" s="85">
        <v>0</v>
      </c>
      <c r="S191" s="85">
        <v>0</v>
      </c>
      <c r="T191" s="85">
        <v>0</v>
      </c>
      <c r="U191" s="85">
        <v>0</v>
      </c>
      <c r="V191" s="85">
        <v>0</v>
      </c>
      <c r="W191" s="85">
        <v>0</v>
      </c>
      <c r="X191" s="85">
        <v>0</v>
      </c>
      <c r="Y191" s="85">
        <v>0</v>
      </c>
      <c r="Z191" s="85">
        <v>0</v>
      </c>
      <c r="AA191" s="85">
        <v>0</v>
      </c>
      <c r="AB191" s="85">
        <v>0</v>
      </c>
      <c r="AC191" s="85">
        <v>0</v>
      </c>
      <c r="AD191" s="85">
        <v>0</v>
      </c>
      <c r="AE191" s="85">
        <v>0</v>
      </c>
      <c r="AF191" s="85">
        <v>0</v>
      </c>
      <c r="AG191" s="85">
        <v>0</v>
      </c>
      <c r="AH191" s="85">
        <v>0</v>
      </c>
      <c r="AI191" s="85">
        <v>0</v>
      </c>
      <c r="AJ191" s="85">
        <v>0</v>
      </c>
      <c r="AK191" s="85">
        <v>0</v>
      </c>
      <c r="AL191" s="85">
        <v>0</v>
      </c>
      <c r="AM191" s="85">
        <v>0</v>
      </c>
      <c r="AN191" s="85">
        <v>0</v>
      </c>
      <c r="AO191" s="85">
        <v>0</v>
      </c>
      <c r="AP191" s="85">
        <v>0</v>
      </c>
      <c r="AQ191" s="85">
        <v>0</v>
      </c>
    </row>
    <row r="192" spans="1:43" ht="14.25" customHeight="1" x14ac:dyDescent="0.25">
      <c r="A192" s="89"/>
      <c r="B192" s="85">
        <v>0</v>
      </c>
      <c r="C192" s="85">
        <v>0</v>
      </c>
      <c r="D192" s="85">
        <v>0</v>
      </c>
      <c r="E192" s="85">
        <v>0</v>
      </c>
      <c r="F192" s="85">
        <v>0</v>
      </c>
      <c r="G192" s="85">
        <v>0</v>
      </c>
      <c r="H192" s="85">
        <v>0</v>
      </c>
      <c r="I192" s="85">
        <v>0</v>
      </c>
      <c r="J192" s="85">
        <v>0</v>
      </c>
      <c r="K192" s="85">
        <v>0</v>
      </c>
      <c r="L192" s="85">
        <v>0</v>
      </c>
      <c r="M192" s="85">
        <v>0</v>
      </c>
      <c r="N192" s="85">
        <v>0</v>
      </c>
      <c r="O192" s="85">
        <v>0</v>
      </c>
      <c r="P192" s="85">
        <v>0</v>
      </c>
      <c r="Q192" s="85">
        <v>0</v>
      </c>
      <c r="R192" s="85">
        <v>0</v>
      </c>
      <c r="S192" s="85">
        <v>0</v>
      </c>
      <c r="T192" s="85">
        <v>0</v>
      </c>
      <c r="U192" s="85">
        <v>0</v>
      </c>
      <c r="V192" s="85">
        <v>0</v>
      </c>
      <c r="W192" s="85">
        <v>0</v>
      </c>
      <c r="X192" s="85">
        <v>0</v>
      </c>
      <c r="Y192" s="85">
        <v>0</v>
      </c>
      <c r="Z192" s="85">
        <v>0</v>
      </c>
      <c r="AA192" s="85">
        <v>0</v>
      </c>
      <c r="AB192" s="85">
        <v>0</v>
      </c>
      <c r="AC192" s="85">
        <v>0</v>
      </c>
      <c r="AD192" s="85">
        <v>0</v>
      </c>
      <c r="AE192" s="85">
        <v>0</v>
      </c>
      <c r="AF192" s="85">
        <v>0</v>
      </c>
      <c r="AG192" s="85">
        <v>0</v>
      </c>
      <c r="AH192" s="85">
        <v>0</v>
      </c>
      <c r="AI192" s="85">
        <v>0</v>
      </c>
      <c r="AJ192" s="85">
        <v>0</v>
      </c>
      <c r="AK192" s="85">
        <v>0</v>
      </c>
      <c r="AL192" s="85">
        <v>0</v>
      </c>
      <c r="AM192" s="85">
        <v>0</v>
      </c>
      <c r="AN192" s="85">
        <v>0</v>
      </c>
      <c r="AO192" s="85">
        <v>0</v>
      </c>
      <c r="AP192" s="85">
        <v>0</v>
      </c>
      <c r="AQ192" s="85">
        <v>0</v>
      </c>
    </row>
    <row r="193" spans="1:43" ht="14.25" customHeight="1" x14ac:dyDescent="0.25">
      <c r="A193" s="89"/>
      <c r="B193" s="85">
        <v>0</v>
      </c>
      <c r="C193" s="85">
        <v>0</v>
      </c>
      <c r="D193" s="85">
        <v>0</v>
      </c>
      <c r="E193" s="85">
        <v>0</v>
      </c>
      <c r="F193" s="85">
        <v>0</v>
      </c>
      <c r="G193" s="85">
        <v>0</v>
      </c>
      <c r="H193" s="85">
        <v>0</v>
      </c>
      <c r="I193" s="85">
        <v>0</v>
      </c>
      <c r="J193" s="85">
        <v>0</v>
      </c>
      <c r="K193" s="85">
        <v>0</v>
      </c>
      <c r="L193" s="85">
        <v>0</v>
      </c>
      <c r="M193" s="85">
        <v>0</v>
      </c>
      <c r="N193" s="85">
        <v>0</v>
      </c>
      <c r="O193" s="85">
        <v>0</v>
      </c>
      <c r="P193" s="85">
        <v>0</v>
      </c>
      <c r="Q193" s="85">
        <v>0</v>
      </c>
      <c r="R193" s="85">
        <v>0</v>
      </c>
      <c r="S193" s="85">
        <v>0</v>
      </c>
      <c r="T193" s="85">
        <v>0</v>
      </c>
      <c r="U193" s="85">
        <v>0</v>
      </c>
      <c r="V193" s="85">
        <v>0</v>
      </c>
      <c r="W193" s="85">
        <v>0</v>
      </c>
      <c r="X193" s="85">
        <v>0</v>
      </c>
      <c r="Y193" s="85">
        <v>0</v>
      </c>
      <c r="Z193" s="85">
        <v>0</v>
      </c>
      <c r="AA193" s="85">
        <v>0</v>
      </c>
      <c r="AB193" s="85">
        <v>0</v>
      </c>
      <c r="AC193" s="85">
        <v>0</v>
      </c>
      <c r="AD193" s="85">
        <v>0</v>
      </c>
      <c r="AE193" s="85">
        <v>0</v>
      </c>
      <c r="AF193" s="85">
        <v>0</v>
      </c>
      <c r="AG193" s="85">
        <v>0</v>
      </c>
      <c r="AH193" s="85">
        <v>0</v>
      </c>
      <c r="AI193" s="85">
        <v>0</v>
      </c>
      <c r="AJ193" s="85">
        <v>0</v>
      </c>
      <c r="AK193" s="85">
        <v>0</v>
      </c>
      <c r="AL193" s="85">
        <v>0</v>
      </c>
      <c r="AM193" s="85">
        <v>0</v>
      </c>
      <c r="AN193" s="85">
        <v>0</v>
      </c>
      <c r="AO193" s="85">
        <v>0</v>
      </c>
      <c r="AP193" s="85">
        <v>0</v>
      </c>
      <c r="AQ193" s="85">
        <v>0</v>
      </c>
    </row>
    <row r="194" spans="1:43" ht="14.25" customHeight="1" x14ac:dyDescent="0.25">
      <c r="A194" s="89"/>
      <c r="B194" s="85">
        <v>0</v>
      </c>
      <c r="C194" s="85">
        <v>0</v>
      </c>
      <c r="D194" s="85">
        <v>0</v>
      </c>
      <c r="E194" s="85">
        <v>0</v>
      </c>
      <c r="F194" s="85">
        <v>0</v>
      </c>
      <c r="G194" s="85">
        <v>0</v>
      </c>
      <c r="H194" s="85">
        <v>0</v>
      </c>
      <c r="I194" s="85">
        <v>0</v>
      </c>
      <c r="J194" s="85">
        <v>0</v>
      </c>
      <c r="K194" s="85">
        <v>0</v>
      </c>
      <c r="L194" s="85">
        <v>0</v>
      </c>
      <c r="M194" s="85">
        <v>0</v>
      </c>
      <c r="N194" s="85">
        <v>0</v>
      </c>
      <c r="O194" s="85">
        <v>0</v>
      </c>
      <c r="P194" s="85">
        <v>0</v>
      </c>
      <c r="Q194" s="85">
        <v>0</v>
      </c>
      <c r="R194" s="85">
        <v>0</v>
      </c>
      <c r="S194" s="85">
        <v>0</v>
      </c>
      <c r="T194" s="85">
        <v>0</v>
      </c>
      <c r="U194" s="85">
        <v>0</v>
      </c>
      <c r="V194" s="85">
        <v>0</v>
      </c>
      <c r="W194" s="85">
        <v>0</v>
      </c>
      <c r="X194" s="85">
        <v>0</v>
      </c>
      <c r="Y194" s="85">
        <v>0</v>
      </c>
      <c r="Z194" s="85">
        <v>0</v>
      </c>
      <c r="AA194" s="85">
        <v>0</v>
      </c>
      <c r="AB194" s="85">
        <v>0</v>
      </c>
      <c r="AC194" s="85">
        <v>0</v>
      </c>
      <c r="AD194" s="85">
        <v>0</v>
      </c>
      <c r="AE194" s="85">
        <v>0</v>
      </c>
      <c r="AF194" s="85">
        <v>0</v>
      </c>
      <c r="AG194" s="85">
        <v>0</v>
      </c>
      <c r="AH194" s="85">
        <v>0</v>
      </c>
      <c r="AI194" s="85">
        <v>0</v>
      </c>
      <c r="AJ194" s="85">
        <v>0</v>
      </c>
      <c r="AK194" s="85">
        <v>0</v>
      </c>
      <c r="AL194" s="85">
        <v>0</v>
      </c>
      <c r="AM194" s="85">
        <v>0</v>
      </c>
      <c r="AN194" s="85">
        <v>0</v>
      </c>
      <c r="AO194" s="85">
        <v>0</v>
      </c>
      <c r="AP194" s="85">
        <v>0</v>
      </c>
      <c r="AQ194" s="85">
        <v>0</v>
      </c>
    </row>
    <row r="195" spans="1:43" ht="14.25" customHeight="1" x14ac:dyDescent="0.25">
      <c r="A195" s="89"/>
      <c r="B195" s="85">
        <v>0</v>
      </c>
      <c r="C195" s="85">
        <v>0</v>
      </c>
      <c r="D195" s="85">
        <v>0</v>
      </c>
      <c r="E195" s="85">
        <v>0</v>
      </c>
      <c r="F195" s="85">
        <v>0</v>
      </c>
      <c r="G195" s="85">
        <v>0</v>
      </c>
      <c r="H195" s="85">
        <v>0</v>
      </c>
      <c r="I195" s="85">
        <v>0</v>
      </c>
      <c r="J195" s="85">
        <v>0</v>
      </c>
      <c r="K195" s="85">
        <v>0</v>
      </c>
      <c r="L195" s="85">
        <v>0</v>
      </c>
      <c r="M195" s="85">
        <v>0</v>
      </c>
      <c r="N195" s="85">
        <v>0</v>
      </c>
      <c r="O195" s="85">
        <v>0</v>
      </c>
      <c r="P195" s="85">
        <v>0</v>
      </c>
      <c r="Q195" s="85">
        <v>0</v>
      </c>
      <c r="R195" s="85">
        <v>0</v>
      </c>
      <c r="S195" s="85">
        <v>0</v>
      </c>
      <c r="T195" s="85">
        <v>0</v>
      </c>
      <c r="U195" s="85">
        <v>0</v>
      </c>
      <c r="V195" s="85">
        <v>0</v>
      </c>
      <c r="W195" s="85">
        <v>0</v>
      </c>
      <c r="X195" s="85">
        <v>0</v>
      </c>
      <c r="Y195" s="85">
        <v>0</v>
      </c>
      <c r="Z195" s="85">
        <v>0</v>
      </c>
      <c r="AA195" s="85">
        <v>0</v>
      </c>
      <c r="AB195" s="85">
        <v>0</v>
      </c>
      <c r="AC195" s="85">
        <v>0</v>
      </c>
      <c r="AD195" s="85">
        <v>0</v>
      </c>
      <c r="AE195" s="85">
        <v>0</v>
      </c>
      <c r="AF195" s="85">
        <v>0</v>
      </c>
      <c r="AG195" s="85">
        <v>0</v>
      </c>
      <c r="AH195" s="85">
        <v>0</v>
      </c>
      <c r="AI195" s="85">
        <v>0</v>
      </c>
      <c r="AJ195" s="85">
        <v>0</v>
      </c>
      <c r="AK195" s="85">
        <v>0</v>
      </c>
      <c r="AL195" s="85">
        <v>0</v>
      </c>
      <c r="AM195" s="85">
        <v>0</v>
      </c>
      <c r="AN195" s="85">
        <v>0</v>
      </c>
      <c r="AO195" s="85">
        <v>0</v>
      </c>
      <c r="AP195" s="85">
        <v>0</v>
      </c>
      <c r="AQ195" s="85">
        <v>0</v>
      </c>
    </row>
    <row r="196" spans="1:43" ht="14.25" customHeight="1" x14ac:dyDescent="0.25">
      <c r="A196" s="89"/>
      <c r="B196" s="85">
        <v>0</v>
      </c>
      <c r="C196" s="85">
        <v>0</v>
      </c>
      <c r="D196" s="85">
        <v>0</v>
      </c>
      <c r="E196" s="85">
        <v>0</v>
      </c>
      <c r="F196" s="85">
        <v>0</v>
      </c>
      <c r="G196" s="85">
        <v>0</v>
      </c>
      <c r="H196" s="85">
        <v>0</v>
      </c>
      <c r="I196" s="85">
        <v>0</v>
      </c>
      <c r="J196" s="85">
        <v>0</v>
      </c>
      <c r="K196" s="85">
        <v>0</v>
      </c>
      <c r="L196" s="85">
        <v>0</v>
      </c>
      <c r="M196" s="85">
        <v>0</v>
      </c>
      <c r="N196" s="85">
        <v>0</v>
      </c>
      <c r="O196" s="85">
        <v>0</v>
      </c>
      <c r="P196" s="85">
        <v>0</v>
      </c>
      <c r="Q196" s="85">
        <v>0</v>
      </c>
      <c r="R196" s="85">
        <v>0</v>
      </c>
      <c r="S196" s="85">
        <v>0</v>
      </c>
      <c r="T196" s="85">
        <v>0</v>
      </c>
      <c r="U196" s="85">
        <v>0</v>
      </c>
      <c r="V196" s="85">
        <v>0</v>
      </c>
      <c r="W196" s="85">
        <v>0</v>
      </c>
      <c r="X196" s="85">
        <v>0</v>
      </c>
      <c r="Y196" s="85">
        <v>0</v>
      </c>
      <c r="Z196" s="85">
        <v>0</v>
      </c>
      <c r="AA196" s="85">
        <v>0</v>
      </c>
      <c r="AB196" s="85">
        <v>0</v>
      </c>
      <c r="AC196" s="85">
        <v>0</v>
      </c>
      <c r="AD196" s="85">
        <v>0</v>
      </c>
      <c r="AE196" s="85">
        <v>0</v>
      </c>
      <c r="AF196" s="85">
        <v>0</v>
      </c>
      <c r="AG196" s="85">
        <v>0</v>
      </c>
      <c r="AH196" s="85">
        <v>0</v>
      </c>
      <c r="AI196" s="85">
        <v>0</v>
      </c>
      <c r="AJ196" s="85">
        <v>0</v>
      </c>
      <c r="AK196" s="85">
        <v>0</v>
      </c>
      <c r="AL196" s="85">
        <v>0</v>
      </c>
      <c r="AM196" s="85">
        <v>0</v>
      </c>
      <c r="AN196" s="85">
        <v>0</v>
      </c>
      <c r="AO196" s="85">
        <v>0</v>
      </c>
      <c r="AP196" s="85">
        <v>0</v>
      </c>
      <c r="AQ196" s="85">
        <v>0</v>
      </c>
    </row>
    <row r="197" spans="1:43" ht="14.25" customHeight="1" x14ac:dyDescent="0.25">
      <c r="A197" s="89"/>
      <c r="B197" s="85">
        <v>0</v>
      </c>
      <c r="C197" s="85">
        <v>0</v>
      </c>
      <c r="D197" s="85">
        <v>0</v>
      </c>
      <c r="E197" s="85">
        <v>0</v>
      </c>
      <c r="F197" s="85">
        <v>0</v>
      </c>
      <c r="G197" s="85">
        <v>0</v>
      </c>
      <c r="H197" s="85">
        <v>0</v>
      </c>
      <c r="I197" s="85">
        <v>0</v>
      </c>
      <c r="J197" s="85">
        <v>0</v>
      </c>
      <c r="K197" s="85">
        <v>0</v>
      </c>
      <c r="L197" s="85">
        <v>0</v>
      </c>
      <c r="M197" s="85">
        <v>0</v>
      </c>
      <c r="N197" s="85">
        <v>0</v>
      </c>
      <c r="O197" s="85">
        <v>0</v>
      </c>
      <c r="P197" s="85">
        <v>0</v>
      </c>
      <c r="Q197" s="85">
        <v>0</v>
      </c>
      <c r="R197" s="85">
        <v>0</v>
      </c>
      <c r="S197" s="85">
        <v>0</v>
      </c>
      <c r="T197" s="85">
        <v>0</v>
      </c>
      <c r="U197" s="85">
        <v>0</v>
      </c>
      <c r="V197" s="85">
        <v>0</v>
      </c>
      <c r="W197" s="85">
        <v>0</v>
      </c>
      <c r="X197" s="85">
        <v>0</v>
      </c>
      <c r="Y197" s="85">
        <v>0</v>
      </c>
      <c r="Z197" s="85">
        <v>0</v>
      </c>
      <c r="AA197" s="85">
        <v>0</v>
      </c>
      <c r="AB197" s="85">
        <v>0</v>
      </c>
      <c r="AC197" s="85">
        <v>0</v>
      </c>
      <c r="AD197" s="85">
        <v>0</v>
      </c>
      <c r="AE197" s="85">
        <v>0</v>
      </c>
      <c r="AF197" s="85">
        <v>0</v>
      </c>
      <c r="AG197" s="85">
        <v>0</v>
      </c>
      <c r="AH197" s="85">
        <v>0</v>
      </c>
      <c r="AI197" s="85">
        <v>0</v>
      </c>
      <c r="AJ197" s="85">
        <v>0</v>
      </c>
      <c r="AK197" s="85">
        <v>0</v>
      </c>
      <c r="AL197" s="85">
        <v>0</v>
      </c>
      <c r="AM197" s="85">
        <v>0</v>
      </c>
      <c r="AN197" s="85">
        <v>0</v>
      </c>
      <c r="AO197" s="85">
        <v>0</v>
      </c>
      <c r="AP197" s="85">
        <v>0</v>
      </c>
      <c r="AQ197" s="85">
        <v>0</v>
      </c>
    </row>
    <row r="198" spans="1:43" ht="14.25" customHeight="1" x14ac:dyDescent="0.25">
      <c r="A198" s="89"/>
      <c r="B198" s="85">
        <v>0</v>
      </c>
      <c r="C198" s="85">
        <v>0</v>
      </c>
      <c r="D198" s="85">
        <v>0</v>
      </c>
      <c r="E198" s="85">
        <v>0</v>
      </c>
      <c r="F198" s="85">
        <v>0</v>
      </c>
      <c r="G198" s="85">
        <v>0</v>
      </c>
      <c r="H198" s="85">
        <v>0</v>
      </c>
      <c r="I198" s="85">
        <v>0</v>
      </c>
      <c r="J198" s="85">
        <v>0</v>
      </c>
      <c r="K198" s="85">
        <v>0</v>
      </c>
      <c r="L198" s="85">
        <v>0</v>
      </c>
      <c r="M198" s="85">
        <v>0</v>
      </c>
      <c r="N198" s="85">
        <v>0</v>
      </c>
      <c r="O198" s="85">
        <v>0</v>
      </c>
      <c r="P198" s="85">
        <v>0</v>
      </c>
      <c r="Q198" s="85">
        <v>0</v>
      </c>
      <c r="R198" s="85">
        <v>0</v>
      </c>
      <c r="S198" s="85">
        <v>0</v>
      </c>
      <c r="T198" s="85">
        <v>0</v>
      </c>
      <c r="U198" s="85">
        <v>0</v>
      </c>
      <c r="V198" s="85">
        <v>0</v>
      </c>
      <c r="W198" s="85">
        <v>0</v>
      </c>
      <c r="X198" s="85">
        <v>0</v>
      </c>
      <c r="Y198" s="85">
        <v>0</v>
      </c>
      <c r="Z198" s="85">
        <v>0</v>
      </c>
      <c r="AA198" s="85">
        <v>0</v>
      </c>
      <c r="AB198" s="85">
        <v>0</v>
      </c>
      <c r="AC198" s="85">
        <v>0</v>
      </c>
      <c r="AD198" s="85">
        <v>0</v>
      </c>
      <c r="AE198" s="85">
        <v>0</v>
      </c>
      <c r="AF198" s="85">
        <v>0</v>
      </c>
      <c r="AG198" s="85">
        <v>0</v>
      </c>
      <c r="AH198" s="85">
        <v>0</v>
      </c>
      <c r="AI198" s="85">
        <v>0</v>
      </c>
      <c r="AJ198" s="85">
        <v>0</v>
      </c>
      <c r="AK198" s="85">
        <v>0</v>
      </c>
      <c r="AL198" s="85">
        <v>0</v>
      </c>
      <c r="AM198" s="85">
        <v>0</v>
      </c>
      <c r="AN198" s="85">
        <v>0</v>
      </c>
      <c r="AO198" s="85">
        <v>0</v>
      </c>
      <c r="AP198" s="85">
        <v>0</v>
      </c>
      <c r="AQ198" s="85">
        <v>0</v>
      </c>
    </row>
  </sheetData>
  <mergeCells count="40">
    <mergeCell ref="C5:D5"/>
    <mergeCell ref="I5:J5"/>
    <mergeCell ref="B1:F1"/>
    <mergeCell ref="H1:L1"/>
    <mergeCell ref="C3:D3"/>
    <mergeCell ref="I3:J3"/>
    <mergeCell ref="B2:F2"/>
    <mergeCell ref="H2:L2"/>
    <mergeCell ref="C4:D4"/>
    <mergeCell ref="I4:J4"/>
    <mergeCell ref="B51:F51"/>
    <mergeCell ref="H51:L51"/>
    <mergeCell ref="B52:F52"/>
    <mergeCell ref="H52:L52"/>
    <mergeCell ref="C53:D53"/>
    <mergeCell ref="I53:J53"/>
    <mergeCell ref="C54:D54"/>
    <mergeCell ref="I54:J54"/>
    <mergeCell ref="C55:D55"/>
    <mergeCell ref="I55:J55"/>
    <mergeCell ref="B101:F101"/>
    <mergeCell ref="H101:L101"/>
    <mergeCell ref="B102:F102"/>
    <mergeCell ref="H102:L102"/>
    <mergeCell ref="C103:D103"/>
    <mergeCell ref="I103:J103"/>
    <mergeCell ref="C104:D104"/>
    <mergeCell ref="I104:J104"/>
    <mergeCell ref="C105:D105"/>
    <mergeCell ref="I105:J105"/>
    <mergeCell ref="B151:F151"/>
    <mergeCell ref="H151:L151"/>
    <mergeCell ref="B152:F152"/>
    <mergeCell ref="H152:L152"/>
    <mergeCell ref="C153:D153"/>
    <mergeCell ref="I153:J153"/>
    <mergeCell ref="C154:D154"/>
    <mergeCell ref="I154:J154"/>
    <mergeCell ref="C155:D155"/>
    <mergeCell ref="I155:J155"/>
  </mergeCells>
  <conditionalFormatting sqref="B7:AQ48 B57:AQ98 B107:AQ148 B157:AQ198">
    <cfRule type="containsText" dxfId="8" priority="1" operator="containsText" text="0">
      <formula>NOT(ISERROR(SEARCH("0",B7)))</formula>
    </cfRule>
    <cfRule type="containsText" dxfId="7" priority="2" operator="containsText" text="N">
      <formula>NOT(ISERROR(SEARCH("N",B7)))</formula>
    </cfRule>
    <cfRule type="containsText" dxfId="6" priority="3" operator="containsText" text="Y">
      <formula>NOT(ISERROR(SEARCH("Y",B7)))</formula>
    </cfRule>
  </conditionalFormatting>
  <conditionalFormatting sqref="B57:AQ98">
    <cfRule type="cellIs" dxfId="5" priority="12" operator="equal">
      <formula>"N"</formula>
    </cfRule>
    <cfRule type="cellIs" dxfId="4" priority="13" operator="equal">
      <formula>"Y"</formula>
    </cfRule>
  </conditionalFormatting>
  <conditionalFormatting sqref="B107:AQ148">
    <cfRule type="cellIs" dxfId="3" priority="10" operator="equal">
      <formula>"N"</formula>
    </cfRule>
    <cfRule type="cellIs" dxfId="2" priority="11" operator="equal">
      <formula>"Y"</formula>
    </cfRule>
  </conditionalFormatting>
  <conditionalFormatting sqref="B157:AQ198">
    <cfRule type="cellIs" dxfId="1" priority="8" operator="equal">
      <formula>"N"</formula>
    </cfRule>
    <cfRule type="cellIs" dxfId="0" priority="9" operator="equal">
      <formula>"Y"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9274-8013-4015-B5F0-C4CEC0293277}">
  <dimension ref="A1:AV67"/>
  <sheetViews>
    <sheetView showGridLines="0" workbookViewId="0">
      <selection activeCell="Y6" sqref="Y6"/>
    </sheetView>
  </sheetViews>
  <sheetFormatPr defaultColWidth="10.7109375" defaultRowHeight="13.5" x14ac:dyDescent="0.25"/>
  <cols>
    <col min="1" max="1" width="3" style="227" bestFit="1" customWidth="1"/>
    <col min="2" max="2" width="15.28515625" style="227" bestFit="1" customWidth="1"/>
    <col min="3" max="3" width="13.28515625" style="227" bestFit="1" customWidth="1"/>
    <col min="4" max="4" width="9.28515625" style="226" customWidth="1"/>
    <col min="5" max="5" width="9.42578125" style="226" customWidth="1"/>
    <col min="6" max="6" width="8.42578125" style="226" customWidth="1"/>
    <col min="7" max="7" width="48.140625" style="226" customWidth="1"/>
    <col min="8" max="8" width="38.7109375" style="227" customWidth="1"/>
    <col min="9" max="9" width="37.7109375" style="227" customWidth="1"/>
    <col min="10" max="10" width="9.42578125" style="226" customWidth="1"/>
    <col min="11" max="11" width="8.42578125" style="227" customWidth="1"/>
    <col min="12" max="12" width="8.5703125" style="227" customWidth="1"/>
    <col min="13" max="13" width="8.140625" style="227" customWidth="1"/>
    <col min="14" max="14" width="8.42578125" style="227" customWidth="1"/>
    <col min="15" max="15" width="8.5703125" style="227" customWidth="1"/>
    <col min="16" max="16" width="8.140625" style="227" customWidth="1"/>
    <col min="17" max="17" width="8.42578125" style="227" customWidth="1"/>
    <col min="18" max="18" width="8.5703125" style="227" customWidth="1"/>
    <col min="19" max="19" width="8.7109375" style="227" customWidth="1"/>
    <col min="20" max="20" width="9.28515625" style="227" customWidth="1"/>
    <col min="21" max="21" width="9.42578125" style="227" customWidth="1"/>
    <col min="22" max="22" width="8.7109375" style="227" customWidth="1"/>
    <col min="23" max="23" width="9.42578125" style="227" customWidth="1"/>
    <col min="24" max="24" width="7.5703125" style="227" customWidth="1"/>
    <col min="25" max="25" width="7.7109375" style="227" customWidth="1"/>
    <col min="26" max="26" width="7" style="227" customWidth="1"/>
    <col min="27" max="27" width="7.5703125" style="227" customWidth="1"/>
    <col min="28" max="28" width="7.7109375" style="227" customWidth="1"/>
    <col min="29" max="29" width="7" style="227" customWidth="1"/>
    <col min="30" max="30" width="7.5703125" style="227" customWidth="1"/>
    <col min="31" max="31" width="7.7109375" style="227" customWidth="1"/>
    <col min="32" max="32" width="7" style="227" customWidth="1"/>
    <col min="33" max="33" width="7.5703125" style="227" customWidth="1"/>
    <col min="34" max="34" width="8.42578125" style="227" customWidth="1"/>
    <col min="35" max="35" width="8.5703125" style="227" customWidth="1"/>
    <col min="36" max="36" width="9.42578125" style="227" customWidth="1"/>
    <col min="37" max="37" width="8.42578125" style="227" customWidth="1"/>
    <col min="38" max="38" width="8.5703125" style="227" customWidth="1"/>
    <col min="39" max="39" width="7.85546875" style="227" customWidth="1"/>
    <col min="40" max="40" width="8.42578125" style="227" customWidth="1"/>
    <col min="41" max="41" width="8.5703125" style="227" customWidth="1"/>
    <col min="42" max="42" width="8.7109375" style="227" customWidth="1"/>
    <col min="43" max="43" width="9.28515625" style="227" customWidth="1"/>
    <col min="44" max="44" width="9.42578125" style="227" customWidth="1"/>
    <col min="45" max="45" width="8.7109375" style="227" customWidth="1"/>
    <col min="46" max="46" width="8.42578125" style="227" customWidth="1"/>
    <col min="47" max="47" width="8.5703125" style="227" customWidth="1"/>
    <col min="48" max="48" width="7.7109375" style="227" customWidth="1"/>
    <col min="49" max="16384" width="10.7109375" style="227"/>
  </cols>
  <sheetData>
    <row r="1" spans="1:48" s="226" customFormat="1" ht="13.5" customHeight="1" thickTop="1" thickBot="1" x14ac:dyDescent="0.3">
      <c r="J1" s="630" t="s">
        <v>847</v>
      </c>
      <c r="K1" s="631"/>
      <c r="L1" s="631"/>
      <c r="M1" s="631"/>
      <c r="N1" s="631"/>
      <c r="O1" s="631"/>
      <c r="P1" s="631"/>
      <c r="Q1" s="631"/>
      <c r="R1" s="631"/>
      <c r="S1" s="631"/>
      <c r="T1" s="631"/>
      <c r="U1" s="631"/>
      <c r="V1" s="632"/>
      <c r="W1" s="634" t="s">
        <v>1150</v>
      </c>
      <c r="X1" s="634"/>
      <c r="Y1" s="634"/>
      <c r="Z1" s="634"/>
      <c r="AA1" s="634"/>
      <c r="AB1" s="634"/>
      <c r="AC1" s="634"/>
      <c r="AD1" s="634"/>
      <c r="AE1" s="634"/>
      <c r="AF1" s="634"/>
      <c r="AG1" s="634"/>
      <c r="AH1" s="634"/>
      <c r="AI1" s="635"/>
      <c r="AJ1" s="638" t="s">
        <v>1152</v>
      </c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9"/>
    </row>
    <row r="2" spans="1:48" s="226" customFormat="1" ht="15" customHeight="1" thickTop="1" thickBot="1" x14ac:dyDescent="0.3">
      <c r="B2" s="622" t="s">
        <v>964</v>
      </c>
      <c r="C2" s="623"/>
      <c r="D2" s="628" t="s">
        <v>327</v>
      </c>
      <c r="E2" s="629"/>
      <c r="F2" s="633"/>
      <c r="G2" s="234" t="s">
        <v>920</v>
      </c>
      <c r="H2" s="628" t="s">
        <v>849</v>
      </c>
      <c r="I2" s="629"/>
      <c r="J2" s="231" t="s">
        <v>204</v>
      </c>
      <c r="K2" s="624" t="s">
        <v>1</v>
      </c>
      <c r="L2" s="625"/>
      <c r="M2" s="626"/>
      <c r="N2" s="624" t="s">
        <v>2</v>
      </c>
      <c r="O2" s="625"/>
      <c r="P2" s="626"/>
      <c r="Q2" s="624" t="s">
        <v>3</v>
      </c>
      <c r="R2" s="625"/>
      <c r="S2" s="626"/>
      <c r="T2" s="624" t="s">
        <v>4</v>
      </c>
      <c r="U2" s="625"/>
      <c r="V2" s="627"/>
      <c r="W2" s="232" t="s">
        <v>204</v>
      </c>
      <c r="X2" s="636" t="s">
        <v>1</v>
      </c>
      <c r="Y2" s="634"/>
      <c r="Z2" s="637"/>
      <c r="AA2" s="634" t="s">
        <v>2</v>
      </c>
      <c r="AB2" s="634"/>
      <c r="AC2" s="637"/>
      <c r="AD2" s="634" t="s">
        <v>3</v>
      </c>
      <c r="AE2" s="634"/>
      <c r="AF2" s="637"/>
      <c r="AG2" s="636" t="s">
        <v>4</v>
      </c>
      <c r="AH2" s="634"/>
      <c r="AI2" s="635"/>
      <c r="AJ2" s="233" t="s">
        <v>926</v>
      </c>
      <c r="AK2" s="640" t="s">
        <v>44</v>
      </c>
      <c r="AL2" s="640"/>
      <c r="AM2" s="641"/>
      <c r="AN2" s="640" t="s">
        <v>45</v>
      </c>
      <c r="AO2" s="640"/>
      <c r="AP2" s="641"/>
      <c r="AQ2" s="640" t="s">
        <v>46</v>
      </c>
      <c r="AR2" s="640"/>
      <c r="AS2" s="641"/>
      <c r="AT2" s="640" t="s">
        <v>47</v>
      </c>
      <c r="AU2" s="640"/>
      <c r="AV2" s="641"/>
    </row>
    <row r="3" spans="1:48" s="229" customFormat="1" ht="15" customHeight="1" thickTop="1" x14ac:dyDescent="0.25">
      <c r="A3" s="230" t="s">
        <v>48</v>
      </c>
      <c r="B3" s="281" t="s">
        <v>846</v>
      </c>
      <c r="C3" s="240" t="s">
        <v>818</v>
      </c>
      <c r="D3" s="240" t="s">
        <v>851</v>
      </c>
      <c r="E3" s="240" t="s">
        <v>852</v>
      </c>
      <c r="F3" s="240" t="s">
        <v>277</v>
      </c>
      <c r="G3" s="241" t="s">
        <v>921</v>
      </c>
      <c r="H3" s="241" t="s">
        <v>844</v>
      </c>
      <c r="I3" s="241" t="s">
        <v>845</v>
      </c>
      <c r="J3" s="240" t="s">
        <v>273</v>
      </c>
      <c r="K3" s="239" t="s">
        <v>853</v>
      </c>
      <c r="L3" s="240" t="s">
        <v>854</v>
      </c>
      <c r="M3" s="240" t="s">
        <v>855</v>
      </c>
      <c r="N3" s="239" t="s">
        <v>856</v>
      </c>
      <c r="O3" s="240" t="s">
        <v>857</v>
      </c>
      <c r="P3" s="242" t="s">
        <v>858</v>
      </c>
      <c r="Q3" s="239" t="s">
        <v>859</v>
      </c>
      <c r="R3" s="240" t="s">
        <v>860</v>
      </c>
      <c r="S3" s="242" t="s">
        <v>861</v>
      </c>
      <c r="T3" s="239" t="s">
        <v>862</v>
      </c>
      <c r="U3" s="240" t="s">
        <v>863</v>
      </c>
      <c r="V3" s="242" t="s">
        <v>864</v>
      </c>
      <c r="W3" s="243" t="s">
        <v>928</v>
      </c>
      <c r="X3" s="239" t="s">
        <v>924</v>
      </c>
      <c r="Y3" s="240" t="s">
        <v>865</v>
      </c>
      <c r="Z3" s="242" t="s">
        <v>866</v>
      </c>
      <c r="AA3" s="239" t="s">
        <v>867</v>
      </c>
      <c r="AB3" s="240" t="s">
        <v>868</v>
      </c>
      <c r="AC3" s="242" t="s">
        <v>869</v>
      </c>
      <c r="AD3" s="239" t="s">
        <v>870</v>
      </c>
      <c r="AE3" s="240" t="s">
        <v>871</v>
      </c>
      <c r="AF3" s="240" t="s">
        <v>872</v>
      </c>
      <c r="AG3" s="239" t="s">
        <v>873</v>
      </c>
      <c r="AH3" s="240" t="s">
        <v>874</v>
      </c>
      <c r="AI3" s="242" t="s">
        <v>875</v>
      </c>
      <c r="AJ3" s="244" t="s">
        <v>927</v>
      </c>
      <c r="AK3" s="240" t="s">
        <v>925</v>
      </c>
      <c r="AL3" s="240" t="s">
        <v>876</v>
      </c>
      <c r="AM3" s="240" t="s">
        <v>877</v>
      </c>
      <c r="AN3" s="239" t="s">
        <v>878</v>
      </c>
      <c r="AO3" s="240" t="s">
        <v>879</v>
      </c>
      <c r="AP3" s="240" t="s">
        <v>880</v>
      </c>
      <c r="AQ3" s="239" t="s">
        <v>881</v>
      </c>
      <c r="AR3" s="240" t="s">
        <v>882</v>
      </c>
      <c r="AS3" s="240" t="s">
        <v>883</v>
      </c>
      <c r="AT3" s="239" t="s">
        <v>884</v>
      </c>
      <c r="AU3" s="240" t="s">
        <v>885</v>
      </c>
      <c r="AV3" s="240" t="s">
        <v>886</v>
      </c>
    </row>
    <row r="4" spans="1:48" hidden="1" x14ac:dyDescent="0.25">
      <c r="A4" s="227">
        <v>1</v>
      </c>
      <c r="B4" s="282" t="s">
        <v>819</v>
      </c>
      <c r="C4" s="245" t="s">
        <v>821</v>
      </c>
      <c r="D4" s="246">
        <v>200</v>
      </c>
      <c r="E4" s="247">
        <v>200</v>
      </c>
      <c r="F4" s="247">
        <v>200</v>
      </c>
      <c r="G4" s="248"/>
      <c r="H4" s="249" t="s">
        <v>941</v>
      </c>
      <c r="I4" s="249" t="s">
        <v>957</v>
      </c>
      <c r="J4" s="250">
        <v>25</v>
      </c>
      <c r="K4" s="251">
        <v>0</v>
      </c>
      <c r="L4" s="252">
        <v>0</v>
      </c>
      <c r="M4" s="252">
        <v>0</v>
      </c>
      <c r="N4" s="251">
        <v>0</v>
      </c>
      <c r="O4" s="252">
        <v>75</v>
      </c>
      <c r="P4" s="252">
        <v>0</v>
      </c>
      <c r="Q4" s="251">
        <v>75</v>
      </c>
      <c r="R4" s="252">
        <v>0</v>
      </c>
      <c r="S4" s="252">
        <v>0</v>
      </c>
      <c r="T4" s="251">
        <v>0</v>
      </c>
      <c r="U4" s="252">
        <v>0</v>
      </c>
      <c r="V4" s="252">
        <v>0</v>
      </c>
      <c r="W4" s="253">
        <v>0</v>
      </c>
      <c r="X4" s="251">
        <v>0</v>
      </c>
      <c r="Y4" s="252">
        <v>0</v>
      </c>
      <c r="Z4" s="252">
        <v>0</v>
      </c>
      <c r="AA4" s="251">
        <v>0</v>
      </c>
      <c r="AB4" s="252">
        <v>0</v>
      </c>
      <c r="AC4" s="252">
        <v>0</v>
      </c>
      <c r="AD4" s="251">
        <v>108</v>
      </c>
      <c r="AE4" s="252">
        <v>0</v>
      </c>
      <c r="AF4" s="252">
        <v>72</v>
      </c>
      <c r="AG4" s="251">
        <v>0</v>
      </c>
      <c r="AH4" s="252">
        <v>0</v>
      </c>
      <c r="AI4" s="252">
        <v>0</v>
      </c>
      <c r="AJ4" s="253">
        <f t="shared" ref="AJ4" si="0">J4+W4</f>
        <v>25</v>
      </c>
      <c r="AK4" s="252">
        <f>K4+X4+(0.2*D4)</f>
        <v>40</v>
      </c>
      <c r="AL4" s="252">
        <f>L4+Y4+(0.2*E4)</f>
        <v>40</v>
      </c>
      <c r="AM4" s="252">
        <f>M4+Z4+(0.2*F4)</f>
        <v>40</v>
      </c>
      <c r="AN4" s="251">
        <f>N4+AA4+(0.2*D4)</f>
        <v>40</v>
      </c>
      <c r="AO4" s="252">
        <f>O4+AB4+(0.2*E4)</f>
        <v>115</v>
      </c>
      <c r="AP4" s="252">
        <f>P4+AC4+(0.2*F4)</f>
        <v>40</v>
      </c>
      <c r="AQ4" s="251">
        <f>Q4+AD4+(0.2*D4)</f>
        <v>223</v>
      </c>
      <c r="AR4" s="252">
        <f>R4+AE4+(0.2*E4)</f>
        <v>40</v>
      </c>
      <c r="AS4" s="252">
        <f>S4+AF4+(0.2*F4)</f>
        <v>112</v>
      </c>
      <c r="AT4" s="251">
        <f>T4+AG4+(0.2*D4)</f>
        <v>40</v>
      </c>
      <c r="AU4" s="252">
        <f>U4+AH4+(0.2*E4)</f>
        <v>40</v>
      </c>
      <c r="AV4" s="252">
        <f>V4+AI4+(0.2*F4)</f>
        <v>40</v>
      </c>
    </row>
    <row r="5" spans="1:48" hidden="1" x14ac:dyDescent="0.25">
      <c r="A5" s="227">
        <v>2</v>
      </c>
      <c r="B5" s="283" t="s">
        <v>819</v>
      </c>
      <c r="C5" s="254" t="s">
        <v>822</v>
      </c>
      <c r="D5" s="255">
        <v>200</v>
      </c>
      <c r="E5" s="256">
        <v>200</v>
      </c>
      <c r="F5" s="256">
        <v>200</v>
      </c>
      <c r="G5" s="257"/>
      <c r="H5" s="254" t="s">
        <v>942</v>
      </c>
      <c r="I5" s="254" t="s">
        <v>956</v>
      </c>
      <c r="J5" s="258">
        <v>0</v>
      </c>
      <c r="K5" s="259">
        <v>53</v>
      </c>
      <c r="L5" s="260">
        <v>0</v>
      </c>
      <c r="M5" s="260">
        <v>0</v>
      </c>
      <c r="N5" s="259">
        <v>0</v>
      </c>
      <c r="O5" s="260">
        <v>0</v>
      </c>
      <c r="P5" s="260">
        <v>0</v>
      </c>
      <c r="Q5" s="259">
        <v>53</v>
      </c>
      <c r="R5" s="260">
        <v>0</v>
      </c>
      <c r="S5" s="260">
        <v>0</v>
      </c>
      <c r="T5" s="259">
        <v>0</v>
      </c>
      <c r="U5" s="260">
        <v>0</v>
      </c>
      <c r="V5" s="260">
        <v>0</v>
      </c>
      <c r="W5" s="261">
        <v>0</v>
      </c>
      <c r="X5" s="259">
        <v>0</v>
      </c>
      <c r="Y5" s="260">
        <v>0</v>
      </c>
      <c r="Z5" s="260">
        <v>72</v>
      </c>
      <c r="AA5" s="259">
        <v>0</v>
      </c>
      <c r="AB5" s="260">
        <v>0</v>
      </c>
      <c r="AC5" s="260">
        <v>0</v>
      </c>
      <c r="AD5" s="259">
        <v>72</v>
      </c>
      <c r="AE5" s="260">
        <v>0</v>
      </c>
      <c r="AF5" s="260">
        <v>0</v>
      </c>
      <c r="AG5" s="259">
        <v>0</v>
      </c>
      <c r="AH5" s="260">
        <v>0</v>
      </c>
      <c r="AI5" s="260">
        <v>0</v>
      </c>
      <c r="AJ5" s="261">
        <f t="shared" ref="AJ5:AJ19" si="1">J5+W5</f>
        <v>0</v>
      </c>
      <c r="AK5" s="260">
        <f t="shared" ref="AK5:AK19" si="2">K5+X5+(0.2*D5)</f>
        <v>93</v>
      </c>
      <c r="AL5" s="260">
        <f t="shared" ref="AL5:AL19" si="3">L5+Y5+(0.2*E5)</f>
        <v>40</v>
      </c>
      <c r="AM5" s="260">
        <f t="shared" ref="AM5:AM19" si="4">M5+Z5+(0.2*F5)</f>
        <v>112</v>
      </c>
      <c r="AN5" s="259">
        <f t="shared" ref="AN5:AN19" si="5">N5+AA5+(0.2*D5)</f>
        <v>40</v>
      </c>
      <c r="AO5" s="260">
        <f t="shared" ref="AO5:AO19" si="6">O5+AB5+(0.2*E5)</f>
        <v>40</v>
      </c>
      <c r="AP5" s="260">
        <f t="shared" ref="AP5:AP19" si="7">P5+AC5+(0.2*F5)</f>
        <v>40</v>
      </c>
      <c r="AQ5" s="259">
        <f t="shared" ref="AQ5:AQ19" si="8">Q5+AD5+(0.2*D5)</f>
        <v>165</v>
      </c>
      <c r="AR5" s="260">
        <f t="shared" ref="AR5:AR19" si="9">R5+AE5+(0.2*E5)</f>
        <v>40</v>
      </c>
      <c r="AS5" s="260">
        <f t="shared" ref="AS5:AS19" si="10">S5+AF5+(0.2*F5)</f>
        <v>40</v>
      </c>
      <c r="AT5" s="259">
        <f t="shared" ref="AT5:AT19" si="11">T5+AG5+(0.2*D5)</f>
        <v>40</v>
      </c>
      <c r="AU5" s="260">
        <f t="shared" ref="AU5:AU19" si="12">U5+AH5+(0.2*E5)</f>
        <v>40</v>
      </c>
      <c r="AV5" s="260">
        <f t="shared" ref="AV5:AV20" si="13">V5+AI5+(0.2*F5)</f>
        <v>40</v>
      </c>
    </row>
    <row r="6" spans="1:48" x14ac:dyDescent="0.25">
      <c r="A6" s="227">
        <v>3</v>
      </c>
      <c r="B6" s="284" t="s">
        <v>819</v>
      </c>
      <c r="C6" s="262" t="s">
        <v>823</v>
      </c>
      <c r="D6" s="263">
        <v>210</v>
      </c>
      <c r="E6" s="264">
        <v>210</v>
      </c>
      <c r="F6" s="264">
        <v>200</v>
      </c>
      <c r="G6" s="265" t="s">
        <v>958</v>
      </c>
      <c r="H6" s="266" t="s">
        <v>943</v>
      </c>
      <c r="I6" s="266" t="s">
        <v>955</v>
      </c>
      <c r="J6" s="267">
        <v>0</v>
      </c>
      <c r="K6" s="268">
        <v>75</v>
      </c>
      <c r="L6" s="269">
        <v>0</v>
      </c>
      <c r="M6" s="269">
        <v>0</v>
      </c>
      <c r="N6" s="268">
        <v>0</v>
      </c>
      <c r="O6" s="269">
        <v>0</v>
      </c>
      <c r="P6" s="269">
        <v>0</v>
      </c>
      <c r="Q6" s="268">
        <v>0</v>
      </c>
      <c r="R6" s="269">
        <v>0</v>
      </c>
      <c r="S6" s="269">
        <v>0</v>
      </c>
      <c r="T6" s="268">
        <v>75</v>
      </c>
      <c r="U6" s="269">
        <v>0</v>
      </c>
      <c r="V6" s="269">
        <v>0</v>
      </c>
      <c r="W6" s="270">
        <v>0</v>
      </c>
      <c r="X6" s="268">
        <v>72</v>
      </c>
      <c r="Y6" s="269">
        <v>0</v>
      </c>
      <c r="Z6" s="269">
        <v>0</v>
      </c>
      <c r="AA6" s="268">
        <v>0</v>
      </c>
      <c r="AB6" s="269">
        <v>0</v>
      </c>
      <c r="AC6" s="269">
        <v>0</v>
      </c>
      <c r="AD6" s="268">
        <v>0</v>
      </c>
      <c r="AE6" s="269">
        <v>0</v>
      </c>
      <c r="AF6" s="269">
        <v>0</v>
      </c>
      <c r="AG6" s="268">
        <v>72</v>
      </c>
      <c r="AH6" s="269">
        <v>0</v>
      </c>
      <c r="AI6" s="269">
        <v>72</v>
      </c>
      <c r="AJ6" s="270">
        <f t="shared" si="1"/>
        <v>0</v>
      </c>
      <c r="AK6" s="269">
        <f t="shared" si="2"/>
        <v>189</v>
      </c>
      <c r="AL6" s="269">
        <f t="shared" si="3"/>
        <v>42</v>
      </c>
      <c r="AM6" s="269">
        <f t="shared" si="4"/>
        <v>40</v>
      </c>
      <c r="AN6" s="268">
        <f t="shared" si="5"/>
        <v>42</v>
      </c>
      <c r="AO6" s="269">
        <f t="shared" si="6"/>
        <v>42</v>
      </c>
      <c r="AP6" s="269">
        <f t="shared" si="7"/>
        <v>40</v>
      </c>
      <c r="AQ6" s="268">
        <f t="shared" si="8"/>
        <v>42</v>
      </c>
      <c r="AR6" s="269">
        <f t="shared" si="9"/>
        <v>42</v>
      </c>
      <c r="AS6" s="269">
        <f t="shared" si="10"/>
        <v>40</v>
      </c>
      <c r="AT6" s="268">
        <f t="shared" si="11"/>
        <v>189</v>
      </c>
      <c r="AU6" s="269">
        <f t="shared" si="12"/>
        <v>42</v>
      </c>
      <c r="AV6" s="269">
        <f t="shared" si="13"/>
        <v>112</v>
      </c>
    </row>
    <row r="7" spans="1:48" hidden="1" x14ac:dyDescent="0.25">
      <c r="A7" s="227">
        <v>4</v>
      </c>
      <c r="B7" s="283" t="s">
        <v>819</v>
      </c>
      <c r="C7" s="271" t="s">
        <v>963</v>
      </c>
      <c r="D7" s="255">
        <v>210</v>
      </c>
      <c r="E7" s="256">
        <v>200</v>
      </c>
      <c r="F7" s="256">
        <v>210</v>
      </c>
      <c r="G7" s="257" t="s">
        <v>936</v>
      </c>
      <c r="H7" s="254" t="s">
        <v>850</v>
      </c>
      <c r="I7" s="254" t="s">
        <v>954</v>
      </c>
      <c r="J7" s="258">
        <v>0</v>
      </c>
      <c r="K7" s="259">
        <v>90</v>
      </c>
      <c r="L7" s="260">
        <v>0</v>
      </c>
      <c r="M7" s="260">
        <v>0</v>
      </c>
      <c r="N7" s="259">
        <v>0</v>
      </c>
      <c r="O7" s="260">
        <v>75</v>
      </c>
      <c r="P7" s="260">
        <v>75</v>
      </c>
      <c r="Q7" s="259">
        <v>0</v>
      </c>
      <c r="R7" s="260">
        <v>0</v>
      </c>
      <c r="S7" s="260">
        <v>0</v>
      </c>
      <c r="T7" s="259">
        <v>0</v>
      </c>
      <c r="U7" s="260">
        <v>0</v>
      </c>
      <c r="V7" s="260">
        <v>0</v>
      </c>
      <c r="W7" s="261">
        <v>0</v>
      </c>
      <c r="X7" s="259">
        <v>90</v>
      </c>
      <c r="Y7" s="260">
        <v>0</v>
      </c>
      <c r="Z7" s="260">
        <v>0</v>
      </c>
      <c r="AA7" s="259">
        <v>0</v>
      </c>
      <c r="AB7" s="260">
        <v>90</v>
      </c>
      <c r="AC7" s="260">
        <v>90</v>
      </c>
      <c r="AD7" s="259">
        <v>0</v>
      </c>
      <c r="AE7" s="260">
        <v>0</v>
      </c>
      <c r="AF7" s="260">
        <v>0</v>
      </c>
      <c r="AG7" s="259">
        <v>0</v>
      </c>
      <c r="AH7" s="260">
        <v>0</v>
      </c>
      <c r="AI7" s="260">
        <v>0</v>
      </c>
      <c r="AJ7" s="261">
        <f t="shared" si="1"/>
        <v>0</v>
      </c>
      <c r="AK7" s="260">
        <f t="shared" si="2"/>
        <v>222</v>
      </c>
      <c r="AL7" s="260">
        <f t="shared" si="3"/>
        <v>40</v>
      </c>
      <c r="AM7" s="260">
        <f t="shared" si="4"/>
        <v>42</v>
      </c>
      <c r="AN7" s="259">
        <f t="shared" si="5"/>
        <v>42</v>
      </c>
      <c r="AO7" s="260">
        <f t="shared" si="6"/>
        <v>205</v>
      </c>
      <c r="AP7" s="260">
        <f t="shared" si="7"/>
        <v>207</v>
      </c>
      <c r="AQ7" s="259">
        <f t="shared" si="8"/>
        <v>42</v>
      </c>
      <c r="AR7" s="260">
        <f t="shared" si="9"/>
        <v>40</v>
      </c>
      <c r="AS7" s="260">
        <f t="shared" si="10"/>
        <v>42</v>
      </c>
      <c r="AT7" s="259">
        <f t="shared" si="11"/>
        <v>42</v>
      </c>
      <c r="AU7" s="260">
        <f t="shared" si="12"/>
        <v>40</v>
      </c>
      <c r="AV7" s="260">
        <f t="shared" si="13"/>
        <v>42</v>
      </c>
    </row>
    <row r="8" spans="1:48" hidden="1" x14ac:dyDescent="0.25">
      <c r="A8" s="227">
        <v>5</v>
      </c>
      <c r="B8" s="284" t="s">
        <v>819</v>
      </c>
      <c r="C8" s="266" t="s">
        <v>825</v>
      </c>
      <c r="D8" s="263">
        <v>210</v>
      </c>
      <c r="E8" s="264">
        <v>200</v>
      </c>
      <c r="F8" s="264">
        <v>200</v>
      </c>
      <c r="G8" s="265" t="s">
        <v>937</v>
      </c>
      <c r="H8" s="266" t="s">
        <v>944</v>
      </c>
      <c r="I8" s="272" t="s">
        <v>953</v>
      </c>
      <c r="J8" s="267">
        <v>0</v>
      </c>
      <c r="K8" s="268">
        <v>0</v>
      </c>
      <c r="L8" s="269">
        <v>75</v>
      </c>
      <c r="M8" s="269">
        <v>65</v>
      </c>
      <c r="N8" s="268">
        <v>0</v>
      </c>
      <c r="O8" s="269">
        <v>0</v>
      </c>
      <c r="P8" s="269">
        <v>0</v>
      </c>
      <c r="Q8" s="268">
        <v>0</v>
      </c>
      <c r="R8" s="269">
        <v>0</v>
      </c>
      <c r="S8" s="269">
        <v>0</v>
      </c>
      <c r="T8" s="268">
        <v>0</v>
      </c>
      <c r="U8" s="269">
        <v>0</v>
      </c>
      <c r="V8" s="269">
        <v>0</v>
      </c>
      <c r="W8" s="270">
        <v>0</v>
      </c>
      <c r="X8" s="268">
        <v>0</v>
      </c>
      <c r="Y8" s="269">
        <v>90</v>
      </c>
      <c r="Z8" s="269">
        <v>0</v>
      </c>
      <c r="AA8" s="268">
        <v>0</v>
      </c>
      <c r="AB8" s="269">
        <v>0</v>
      </c>
      <c r="AC8" s="269">
        <v>0</v>
      </c>
      <c r="AD8" s="268">
        <v>0</v>
      </c>
      <c r="AE8" s="269">
        <v>0</v>
      </c>
      <c r="AF8" s="269">
        <v>0</v>
      </c>
      <c r="AG8" s="268">
        <v>0</v>
      </c>
      <c r="AH8" s="269">
        <v>0</v>
      </c>
      <c r="AI8" s="269">
        <v>0</v>
      </c>
      <c r="AJ8" s="270">
        <f t="shared" si="1"/>
        <v>0</v>
      </c>
      <c r="AK8" s="269">
        <f t="shared" si="2"/>
        <v>42</v>
      </c>
      <c r="AL8" s="269">
        <f t="shared" si="3"/>
        <v>205</v>
      </c>
      <c r="AM8" s="269">
        <f t="shared" si="4"/>
        <v>105</v>
      </c>
      <c r="AN8" s="268">
        <f t="shared" si="5"/>
        <v>42</v>
      </c>
      <c r="AO8" s="269">
        <f t="shared" si="6"/>
        <v>40</v>
      </c>
      <c r="AP8" s="269">
        <f t="shared" si="7"/>
        <v>40</v>
      </c>
      <c r="AQ8" s="268">
        <f t="shared" si="8"/>
        <v>42</v>
      </c>
      <c r="AR8" s="269">
        <f t="shared" si="9"/>
        <v>40</v>
      </c>
      <c r="AS8" s="269">
        <f t="shared" si="10"/>
        <v>40</v>
      </c>
      <c r="AT8" s="268">
        <f t="shared" si="11"/>
        <v>42</v>
      </c>
      <c r="AU8" s="269">
        <f t="shared" si="12"/>
        <v>40</v>
      </c>
      <c r="AV8" s="269">
        <f t="shared" si="13"/>
        <v>40</v>
      </c>
    </row>
    <row r="9" spans="1:48" hidden="1" x14ac:dyDescent="0.25">
      <c r="A9" s="227">
        <v>6</v>
      </c>
      <c r="B9" s="283" t="s">
        <v>819</v>
      </c>
      <c r="C9" s="254" t="s">
        <v>826</v>
      </c>
      <c r="D9" s="255">
        <v>215</v>
      </c>
      <c r="E9" s="256">
        <v>200</v>
      </c>
      <c r="F9" s="256">
        <v>205</v>
      </c>
      <c r="G9" s="257"/>
      <c r="H9" s="273" t="s">
        <v>945</v>
      </c>
      <c r="I9" s="254" t="s">
        <v>952</v>
      </c>
      <c r="J9" s="258">
        <v>0</v>
      </c>
      <c r="K9" s="259">
        <v>0</v>
      </c>
      <c r="L9" s="260">
        <v>0</v>
      </c>
      <c r="M9" s="260">
        <v>0</v>
      </c>
      <c r="N9" s="259">
        <v>0</v>
      </c>
      <c r="O9" s="260">
        <v>0</v>
      </c>
      <c r="P9" s="260">
        <v>0</v>
      </c>
      <c r="Q9" s="259">
        <v>0</v>
      </c>
      <c r="R9" s="260">
        <v>0</v>
      </c>
      <c r="S9" s="260">
        <v>0</v>
      </c>
      <c r="T9" s="259">
        <v>0</v>
      </c>
      <c r="U9" s="260">
        <v>0</v>
      </c>
      <c r="V9" s="260">
        <v>0</v>
      </c>
      <c r="W9" s="261">
        <v>0</v>
      </c>
      <c r="X9" s="259">
        <v>0</v>
      </c>
      <c r="Y9" s="260">
        <v>0</v>
      </c>
      <c r="Z9" s="260">
        <v>0</v>
      </c>
      <c r="AA9" s="259">
        <v>0</v>
      </c>
      <c r="AB9" s="260">
        <v>0</v>
      </c>
      <c r="AC9" s="260">
        <v>0</v>
      </c>
      <c r="AD9" s="259">
        <v>0</v>
      </c>
      <c r="AE9" s="260">
        <v>0</v>
      </c>
      <c r="AF9" s="260">
        <v>0</v>
      </c>
      <c r="AG9" s="259">
        <v>0</v>
      </c>
      <c r="AH9" s="260">
        <v>0</v>
      </c>
      <c r="AI9" s="260">
        <v>0</v>
      </c>
      <c r="AJ9" s="261">
        <f t="shared" si="1"/>
        <v>0</v>
      </c>
      <c r="AK9" s="260">
        <f t="shared" si="2"/>
        <v>43</v>
      </c>
      <c r="AL9" s="260">
        <f t="shared" si="3"/>
        <v>40</v>
      </c>
      <c r="AM9" s="260">
        <f t="shared" si="4"/>
        <v>41</v>
      </c>
      <c r="AN9" s="259">
        <f t="shared" si="5"/>
        <v>43</v>
      </c>
      <c r="AO9" s="260">
        <f t="shared" si="6"/>
        <v>40</v>
      </c>
      <c r="AP9" s="260">
        <f t="shared" si="7"/>
        <v>41</v>
      </c>
      <c r="AQ9" s="259">
        <f t="shared" si="8"/>
        <v>43</v>
      </c>
      <c r="AR9" s="260">
        <f t="shared" si="9"/>
        <v>40</v>
      </c>
      <c r="AS9" s="260">
        <f t="shared" si="10"/>
        <v>41</v>
      </c>
      <c r="AT9" s="259">
        <f t="shared" si="11"/>
        <v>43</v>
      </c>
      <c r="AU9" s="260">
        <f t="shared" si="12"/>
        <v>40</v>
      </c>
      <c r="AV9" s="260">
        <f t="shared" si="13"/>
        <v>41</v>
      </c>
    </row>
    <row r="10" spans="1:48" hidden="1" x14ac:dyDescent="0.25">
      <c r="A10" s="227">
        <v>7</v>
      </c>
      <c r="B10" s="284" t="s">
        <v>829</v>
      </c>
      <c r="C10" s="262" t="s">
        <v>827</v>
      </c>
      <c r="D10" s="263">
        <v>200</v>
      </c>
      <c r="E10" s="264">
        <v>240</v>
      </c>
      <c r="F10" s="264">
        <v>200</v>
      </c>
      <c r="G10" s="265"/>
      <c r="H10" s="266" t="s">
        <v>946</v>
      </c>
      <c r="I10" s="266" t="s">
        <v>935</v>
      </c>
      <c r="J10" s="267">
        <v>0</v>
      </c>
      <c r="K10" s="268">
        <v>0</v>
      </c>
      <c r="L10" s="269">
        <v>0</v>
      </c>
      <c r="M10" s="269">
        <v>0</v>
      </c>
      <c r="N10" s="268">
        <v>0</v>
      </c>
      <c r="O10" s="269">
        <v>0</v>
      </c>
      <c r="P10" s="269">
        <v>0</v>
      </c>
      <c r="Q10" s="268">
        <v>0</v>
      </c>
      <c r="R10" s="269">
        <v>0</v>
      </c>
      <c r="S10" s="269">
        <v>0</v>
      </c>
      <c r="T10" s="268">
        <v>0</v>
      </c>
      <c r="U10" s="269">
        <v>0</v>
      </c>
      <c r="V10" s="269">
        <v>0</v>
      </c>
      <c r="W10" s="270">
        <v>0</v>
      </c>
      <c r="X10" s="268">
        <v>0</v>
      </c>
      <c r="Y10" s="269">
        <v>0</v>
      </c>
      <c r="Z10" s="269">
        <v>0</v>
      </c>
      <c r="AA10" s="268">
        <v>198</v>
      </c>
      <c r="AB10" s="269">
        <v>0</v>
      </c>
      <c r="AC10" s="269">
        <v>90</v>
      </c>
      <c r="AD10" s="268">
        <v>0</v>
      </c>
      <c r="AE10" s="269">
        <v>0</v>
      </c>
      <c r="AF10" s="269">
        <v>0</v>
      </c>
      <c r="AG10" s="268">
        <v>0</v>
      </c>
      <c r="AH10" s="269">
        <v>0</v>
      </c>
      <c r="AI10" s="269">
        <v>0</v>
      </c>
      <c r="AJ10" s="270">
        <f t="shared" si="1"/>
        <v>0</v>
      </c>
      <c r="AK10" s="269">
        <f t="shared" si="2"/>
        <v>40</v>
      </c>
      <c r="AL10" s="269">
        <f t="shared" si="3"/>
        <v>48</v>
      </c>
      <c r="AM10" s="269">
        <f t="shared" si="4"/>
        <v>40</v>
      </c>
      <c r="AN10" s="268">
        <f t="shared" si="5"/>
        <v>238</v>
      </c>
      <c r="AO10" s="269">
        <f t="shared" si="6"/>
        <v>48</v>
      </c>
      <c r="AP10" s="269">
        <f t="shared" si="7"/>
        <v>130</v>
      </c>
      <c r="AQ10" s="268">
        <f t="shared" si="8"/>
        <v>40</v>
      </c>
      <c r="AR10" s="269">
        <f t="shared" si="9"/>
        <v>48</v>
      </c>
      <c r="AS10" s="269">
        <f t="shared" si="10"/>
        <v>40</v>
      </c>
      <c r="AT10" s="268">
        <f t="shared" si="11"/>
        <v>40</v>
      </c>
      <c r="AU10" s="269">
        <f t="shared" si="12"/>
        <v>48</v>
      </c>
      <c r="AV10" s="269">
        <f t="shared" si="13"/>
        <v>40</v>
      </c>
    </row>
    <row r="11" spans="1:48" hidden="1" x14ac:dyDescent="0.25">
      <c r="A11" s="227">
        <v>8</v>
      </c>
      <c r="B11" s="283" t="s">
        <v>830</v>
      </c>
      <c r="C11" s="262" t="s">
        <v>828</v>
      </c>
      <c r="D11" s="255">
        <v>215</v>
      </c>
      <c r="E11" s="256">
        <v>215</v>
      </c>
      <c r="F11" s="256">
        <v>185</v>
      </c>
      <c r="G11" s="257" t="s">
        <v>938</v>
      </c>
      <c r="H11" s="273" t="s">
        <v>947</v>
      </c>
      <c r="I11" s="254" t="s">
        <v>951</v>
      </c>
      <c r="J11" s="258">
        <v>0</v>
      </c>
      <c r="K11" s="259">
        <v>0</v>
      </c>
      <c r="L11" s="260">
        <v>0</v>
      </c>
      <c r="M11" s="260">
        <v>0</v>
      </c>
      <c r="N11" s="259">
        <v>0</v>
      </c>
      <c r="O11" s="260">
        <v>0</v>
      </c>
      <c r="P11" s="260">
        <v>0</v>
      </c>
      <c r="Q11" s="259">
        <v>0</v>
      </c>
      <c r="R11" s="260">
        <v>0</v>
      </c>
      <c r="S11" s="260">
        <v>0</v>
      </c>
      <c r="T11" s="259">
        <v>0</v>
      </c>
      <c r="U11" s="260">
        <v>0</v>
      </c>
      <c r="V11" s="260">
        <v>0</v>
      </c>
      <c r="W11" s="261">
        <v>0</v>
      </c>
      <c r="X11" s="259">
        <v>0</v>
      </c>
      <c r="Y11" s="260">
        <v>0</v>
      </c>
      <c r="Z11" s="260">
        <v>0</v>
      </c>
      <c r="AA11" s="259">
        <v>0</v>
      </c>
      <c r="AB11" s="260">
        <v>0</v>
      </c>
      <c r="AC11" s="260">
        <v>0</v>
      </c>
      <c r="AD11" s="259">
        <v>0</v>
      </c>
      <c r="AE11" s="260">
        <v>0</v>
      </c>
      <c r="AF11" s="260">
        <v>0</v>
      </c>
      <c r="AG11" s="259">
        <v>90</v>
      </c>
      <c r="AH11" s="260">
        <v>90</v>
      </c>
      <c r="AI11" s="260">
        <v>0</v>
      </c>
      <c r="AJ11" s="261">
        <f t="shared" si="1"/>
        <v>0</v>
      </c>
      <c r="AK11" s="260">
        <f t="shared" si="2"/>
        <v>43</v>
      </c>
      <c r="AL11" s="260">
        <f t="shared" si="3"/>
        <v>43</v>
      </c>
      <c r="AM11" s="260">
        <f t="shared" si="4"/>
        <v>37</v>
      </c>
      <c r="AN11" s="259">
        <f t="shared" si="5"/>
        <v>43</v>
      </c>
      <c r="AO11" s="260">
        <f t="shared" si="6"/>
        <v>43</v>
      </c>
      <c r="AP11" s="260">
        <f t="shared" si="7"/>
        <v>37</v>
      </c>
      <c r="AQ11" s="259">
        <f t="shared" si="8"/>
        <v>43</v>
      </c>
      <c r="AR11" s="260">
        <f t="shared" si="9"/>
        <v>43</v>
      </c>
      <c r="AS11" s="260">
        <f t="shared" si="10"/>
        <v>37</v>
      </c>
      <c r="AT11" s="259">
        <f t="shared" si="11"/>
        <v>133</v>
      </c>
      <c r="AU11" s="260">
        <f t="shared" si="12"/>
        <v>133</v>
      </c>
      <c r="AV11" s="260">
        <f t="shared" si="13"/>
        <v>37</v>
      </c>
    </row>
    <row r="12" spans="1:48" hidden="1" x14ac:dyDescent="0.25">
      <c r="A12" s="227">
        <v>9</v>
      </c>
      <c r="B12" s="284" t="s">
        <v>831</v>
      </c>
      <c r="C12" s="266" t="s">
        <v>832</v>
      </c>
      <c r="D12" s="263">
        <v>240</v>
      </c>
      <c r="E12" s="264">
        <v>240</v>
      </c>
      <c r="F12" s="264">
        <v>180</v>
      </c>
      <c r="G12" s="265"/>
      <c r="H12" s="266" t="s">
        <v>940</v>
      </c>
      <c r="I12" s="266" t="s">
        <v>950</v>
      </c>
      <c r="J12" s="267">
        <v>0</v>
      </c>
      <c r="K12" s="268">
        <v>75</v>
      </c>
      <c r="L12" s="269">
        <v>0</v>
      </c>
      <c r="M12" s="269">
        <v>0</v>
      </c>
      <c r="N12" s="268">
        <v>0</v>
      </c>
      <c r="O12" s="269">
        <v>0</v>
      </c>
      <c r="P12" s="269">
        <v>0</v>
      </c>
      <c r="Q12" s="268">
        <v>75</v>
      </c>
      <c r="R12" s="269">
        <v>0</v>
      </c>
      <c r="S12" s="269">
        <v>0</v>
      </c>
      <c r="T12" s="268">
        <v>0</v>
      </c>
      <c r="U12" s="269">
        <v>0</v>
      </c>
      <c r="V12" s="269">
        <v>0</v>
      </c>
      <c r="W12" s="270">
        <v>0</v>
      </c>
      <c r="X12" s="268">
        <v>162</v>
      </c>
      <c r="Y12" s="269">
        <v>0</v>
      </c>
      <c r="Z12" s="269">
        <v>90</v>
      </c>
      <c r="AA12" s="268">
        <v>0</v>
      </c>
      <c r="AB12" s="269">
        <v>0</v>
      </c>
      <c r="AC12" s="269">
        <v>0</v>
      </c>
      <c r="AD12" s="268">
        <v>72</v>
      </c>
      <c r="AE12" s="269">
        <v>0</v>
      </c>
      <c r="AF12" s="269">
        <v>0</v>
      </c>
      <c r="AG12" s="268">
        <v>0</v>
      </c>
      <c r="AH12" s="269">
        <v>0</v>
      </c>
      <c r="AI12" s="269">
        <v>0</v>
      </c>
      <c r="AJ12" s="270">
        <f t="shared" si="1"/>
        <v>0</v>
      </c>
      <c r="AK12" s="269">
        <f t="shared" si="2"/>
        <v>285</v>
      </c>
      <c r="AL12" s="269">
        <f t="shared" si="3"/>
        <v>48</v>
      </c>
      <c r="AM12" s="269">
        <f t="shared" si="4"/>
        <v>126</v>
      </c>
      <c r="AN12" s="268">
        <f t="shared" si="5"/>
        <v>48</v>
      </c>
      <c r="AO12" s="269">
        <f t="shared" si="6"/>
        <v>48</v>
      </c>
      <c r="AP12" s="269">
        <f t="shared" si="7"/>
        <v>36</v>
      </c>
      <c r="AQ12" s="268">
        <f t="shared" si="8"/>
        <v>195</v>
      </c>
      <c r="AR12" s="269">
        <f t="shared" si="9"/>
        <v>48</v>
      </c>
      <c r="AS12" s="269">
        <f t="shared" si="10"/>
        <v>36</v>
      </c>
      <c r="AT12" s="268">
        <f t="shared" si="11"/>
        <v>48</v>
      </c>
      <c r="AU12" s="269">
        <f t="shared" si="12"/>
        <v>48</v>
      </c>
      <c r="AV12" s="269">
        <f t="shared" si="13"/>
        <v>36</v>
      </c>
    </row>
    <row r="13" spans="1:48" hidden="1" x14ac:dyDescent="0.25">
      <c r="A13" s="227">
        <v>10</v>
      </c>
      <c r="B13" s="283" t="s">
        <v>834</v>
      </c>
      <c r="C13" s="254" t="s">
        <v>833</v>
      </c>
      <c r="D13" s="255">
        <v>218</v>
      </c>
      <c r="E13" s="256">
        <v>202</v>
      </c>
      <c r="F13" s="256">
        <v>218</v>
      </c>
      <c r="G13" s="257"/>
      <c r="H13" s="254" t="s">
        <v>922</v>
      </c>
      <c r="I13" s="254" t="s">
        <v>923</v>
      </c>
      <c r="J13" s="258">
        <v>0</v>
      </c>
      <c r="K13" s="259">
        <v>0</v>
      </c>
      <c r="L13" s="260">
        <v>0</v>
      </c>
      <c r="M13" s="260">
        <v>0</v>
      </c>
      <c r="N13" s="259">
        <v>0</v>
      </c>
      <c r="O13" s="260">
        <v>0</v>
      </c>
      <c r="P13" s="260">
        <v>0</v>
      </c>
      <c r="Q13" s="259">
        <v>75</v>
      </c>
      <c r="R13" s="260">
        <v>0</v>
      </c>
      <c r="S13" s="260">
        <v>0</v>
      </c>
      <c r="T13" s="259">
        <v>0</v>
      </c>
      <c r="U13" s="260">
        <v>0</v>
      </c>
      <c r="V13" s="260">
        <v>0</v>
      </c>
      <c r="W13" s="261">
        <v>0</v>
      </c>
      <c r="X13" s="259">
        <v>0</v>
      </c>
      <c r="Y13" s="260">
        <v>0</v>
      </c>
      <c r="Z13" s="260">
        <v>0</v>
      </c>
      <c r="AA13" s="259">
        <v>0</v>
      </c>
      <c r="AB13" s="260">
        <v>0</v>
      </c>
      <c r="AC13" s="260">
        <v>0</v>
      </c>
      <c r="AD13" s="259">
        <v>162</v>
      </c>
      <c r="AE13" s="260">
        <v>90</v>
      </c>
      <c r="AF13" s="260">
        <v>0</v>
      </c>
      <c r="AG13" s="259">
        <v>0</v>
      </c>
      <c r="AH13" s="260">
        <v>0</v>
      </c>
      <c r="AI13" s="260">
        <v>0</v>
      </c>
      <c r="AJ13" s="261">
        <f t="shared" si="1"/>
        <v>0</v>
      </c>
      <c r="AK13" s="260">
        <f t="shared" si="2"/>
        <v>43.6</v>
      </c>
      <c r="AL13" s="260">
        <f t="shared" si="3"/>
        <v>40.400000000000006</v>
      </c>
      <c r="AM13" s="260">
        <f t="shared" si="4"/>
        <v>43.6</v>
      </c>
      <c r="AN13" s="259">
        <f t="shared" si="5"/>
        <v>43.6</v>
      </c>
      <c r="AO13" s="260">
        <f t="shared" si="6"/>
        <v>40.400000000000006</v>
      </c>
      <c r="AP13" s="260">
        <f t="shared" si="7"/>
        <v>43.6</v>
      </c>
      <c r="AQ13" s="259">
        <f t="shared" si="8"/>
        <v>280.60000000000002</v>
      </c>
      <c r="AR13" s="260">
        <f t="shared" si="9"/>
        <v>130.4</v>
      </c>
      <c r="AS13" s="260">
        <f t="shared" si="10"/>
        <v>43.6</v>
      </c>
      <c r="AT13" s="259">
        <f t="shared" si="11"/>
        <v>43.6</v>
      </c>
      <c r="AU13" s="260">
        <f t="shared" si="12"/>
        <v>40.400000000000006</v>
      </c>
      <c r="AV13" s="260">
        <f t="shared" si="13"/>
        <v>43.6</v>
      </c>
    </row>
    <row r="14" spans="1:48" hidden="1" x14ac:dyDescent="0.25">
      <c r="A14" s="227">
        <v>11</v>
      </c>
      <c r="B14" s="284" t="s">
        <v>839</v>
      </c>
      <c r="C14" s="266" t="s">
        <v>835</v>
      </c>
      <c r="D14" s="263">
        <v>210</v>
      </c>
      <c r="E14" s="264">
        <v>215</v>
      </c>
      <c r="F14" s="264">
        <v>215</v>
      </c>
      <c r="G14" s="265"/>
      <c r="H14" s="266" t="s">
        <v>959</v>
      </c>
      <c r="I14" s="266" t="s">
        <v>960</v>
      </c>
      <c r="J14" s="267">
        <v>0</v>
      </c>
      <c r="K14" s="268">
        <v>0</v>
      </c>
      <c r="L14" s="269">
        <v>0</v>
      </c>
      <c r="M14" s="269">
        <v>0</v>
      </c>
      <c r="N14" s="268">
        <v>75</v>
      </c>
      <c r="O14" s="269">
        <v>0</v>
      </c>
      <c r="P14" s="269">
        <v>75</v>
      </c>
      <c r="Q14" s="268">
        <v>0</v>
      </c>
      <c r="R14" s="269">
        <v>0</v>
      </c>
      <c r="S14" s="269">
        <v>0</v>
      </c>
      <c r="T14" s="268">
        <v>0</v>
      </c>
      <c r="U14" s="269">
        <v>0</v>
      </c>
      <c r="V14" s="269">
        <v>0</v>
      </c>
      <c r="W14" s="270">
        <v>47</v>
      </c>
      <c r="X14" s="268">
        <v>0</v>
      </c>
      <c r="Y14" s="269">
        <v>0</v>
      </c>
      <c r="Z14" s="269">
        <v>0</v>
      </c>
      <c r="AA14" s="268">
        <v>144</v>
      </c>
      <c r="AB14" s="269">
        <v>90</v>
      </c>
      <c r="AC14" s="269">
        <v>90</v>
      </c>
      <c r="AD14" s="268">
        <v>0</v>
      </c>
      <c r="AE14" s="269">
        <v>0</v>
      </c>
      <c r="AF14" s="269">
        <v>0</v>
      </c>
      <c r="AG14" s="268">
        <v>0</v>
      </c>
      <c r="AH14" s="269">
        <v>0</v>
      </c>
      <c r="AI14" s="269">
        <v>0</v>
      </c>
      <c r="AJ14" s="270">
        <f t="shared" si="1"/>
        <v>47</v>
      </c>
      <c r="AK14" s="269">
        <f t="shared" si="2"/>
        <v>42</v>
      </c>
      <c r="AL14" s="269">
        <f t="shared" si="3"/>
        <v>43</v>
      </c>
      <c r="AM14" s="269">
        <f t="shared" si="4"/>
        <v>43</v>
      </c>
      <c r="AN14" s="268">
        <f t="shared" si="5"/>
        <v>261</v>
      </c>
      <c r="AO14" s="269">
        <f t="shared" si="6"/>
        <v>133</v>
      </c>
      <c r="AP14" s="269">
        <f t="shared" si="7"/>
        <v>208</v>
      </c>
      <c r="AQ14" s="268">
        <f t="shared" si="8"/>
        <v>42</v>
      </c>
      <c r="AR14" s="269">
        <f t="shared" si="9"/>
        <v>43</v>
      </c>
      <c r="AS14" s="269">
        <f t="shared" si="10"/>
        <v>43</v>
      </c>
      <c r="AT14" s="268">
        <f t="shared" si="11"/>
        <v>42</v>
      </c>
      <c r="AU14" s="269">
        <f t="shared" si="12"/>
        <v>43</v>
      </c>
      <c r="AV14" s="269">
        <f t="shared" si="13"/>
        <v>43</v>
      </c>
    </row>
    <row r="15" spans="1:48" hidden="1" x14ac:dyDescent="0.25">
      <c r="A15" s="227">
        <v>12</v>
      </c>
      <c r="B15" s="283" t="s">
        <v>838</v>
      </c>
      <c r="C15" s="254" t="s">
        <v>836</v>
      </c>
      <c r="D15" s="255">
        <v>230</v>
      </c>
      <c r="E15" s="256">
        <v>200</v>
      </c>
      <c r="F15" s="256">
        <v>210</v>
      </c>
      <c r="G15" s="257"/>
      <c r="H15" s="254" t="s">
        <v>939</v>
      </c>
      <c r="I15" s="254" t="s">
        <v>929</v>
      </c>
      <c r="J15" s="258">
        <v>0</v>
      </c>
      <c r="K15" s="259">
        <v>0</v>
      </c>
      <c r="L15" s="260">
        <v>0</v>
      </c>
      <c r="M15" s="260">
        <v>0</v>
      </c>
      <c r="N15" s="259">
        <v>0</v>
      </c>
      <c r="O15" s="260">
        <v>0</v>
      </c>
      <c r="P15" s="260">
        <v>0</v>
      </c>
      <c r="Q15" s="259">
        <v>0</v>
      </c>
      <c r="R15" s="260">
        <v>0</v>
      </c>
      <c r="S15" s="260">
        <v>65</v>
      </c>
      <c r="T15" s="259">
        <v>75</v>
      </c>
      <c r="U15" s="260">
        <v>0</v>
      </c>
      <c r="V15" s="260">
        <v>65</v>
      </c>
      <c r="W15" s="261">
        <v>0</v>
      </c>
      <c r="X15" s="259">
        <v>0</v>
      </c>
      <c r="Y15" s="260">
        <v>0</v>
      </c>
      <c r="Z15" s="260">
        <v>108</v>
      </c>
      <c r="AA15" s="259">
        <v>0</v>
      </c>
      <c r="AB15" s="260">
        <v>0</v>
      </c>
      <c r="AC15" s="260">
        <v>0</v>
      </c>
      <c r="AD15" s="259">
        <v>0</v>
      </c>
      <c r="AE15" s="260">
        <v>0</v>
      </c>
      <c r="AF15" s="260">
        <v>0</v>
      </c>
      <c r="AG15" s="259">
        <v>162</v>
      </c>
      <c r="AH15" s="260">
        <v>0</v>
      </c>
      <c r="AI15" s="260">
        <v>90</v>
      </c>
      <c r="AJ15" s="261">
        <f t="shared" si="1"/>
        <v>0</v>
      </c>
      <c r="AK15" s="260">
        <f t="shared" si="2"/>
        <v>46</v>
      </c>
      <c r="AL15" s="260">
        <f t="shared" si="3"/>
        <v>40</v>
      </c>
      <c r="AM15" s="260">
        <f t="shared" si="4"/>
        <v>150</v>
      </c>
      <c r="AN15" s="259">
        <f t="shared" si="5"/>
        <v>46</v>
      </c>
      <c r="AO15" s="260">
        <f t="shared" si="6"/>
        <v>40</v>
      </c>
      <c r="AP15" s="260">
        <f t="shared" si="7"/>
        <v>42</v>
      </c>
      <c r="AQ15" s="259">
        <f t="shared" si="8"/>
        <v>46</v>
      </c>
      <c r="AR15" s="260">
        <f t="shared" si="9"/>
        <v>40</v>
      </c>
      <c r="AS15" s="260">
        <f t="shared" si="10"/>
        <v>107</v>
      </c>
      <c r="AT15" s="259">
        <f t="shared" si="11"/>
        <v>283</v>
      </c>
      <c r="AU15" s="260">
        <f t="shared" si="12"/>
        <v>40</v>
      </c>
      <c r="AV15" s="260">
        <f t="shared" si="13"/>
        <v>197</v>
      </c>
    </row>
    <row r="16" spans="1:48" hidden="1" x14ac:dyDescent="0.25">
      <c r="A16" s="227">
        <v>13</v>
      </c>
      <c r="B16" s="284" t="s">
        <v>838</v>
      </c>
      <c r="C16" s="266" t="s">
        <v>837</v>
      </c>
      <c r="D16" s="263">
        <v>210</v>
      </c>
      <c r="E16" s="264">
        <v>210</v>
      </c>
      <c r="F16" s="264">
        <v>195</v>
      </c>
      <c r="G16" s="265"/>
      <c r="H16" s="266" t="s">
        <v>961</v>
      </c>
      <c r="I16" s="266" t="s">
        <v>930</v>
      </c>
      <c r="J16" s="267">
        <v>0</v>
      </c>
      <c r="K16" s="268">
        <v>75</v>
      </c>
      <c r="L16" s="269">
        <v>0</v>
      </c>
      <c r="M16" s="269">
        <v>0</v>
      </c>
      <c r="N16" s="268">
        <v>0</v>
      </c>
      <c r="O16" s="269">
        <v>0</v>
      </c>
      <c r="P16" s="269">
        <v>0</v>
      </c>
      <c r="Q16" s="268">
        <v>0</v>
      </c>
      <c r="R16" s="269">
        <v>0</v>
      </c>
      <c r="S16" s="269">
        <v>0</v>
      </c>
      <c r="T16" s="268">
        <v>0</v>
      </c>
      <c r="U16" s="269">
        <v>0</v>
      </c>
      <c r="V16" s="269">
        <v>0</v>
      </c>
      <c r="W16" s="270">
        <v>0</v>
      </c>
      <c r="X16" s="268">
        <v>162</v>
      </c>
      <c r="Y16" s="269">
        <v>90</v>
      </c>
      <c r="Z16" s="269">
        <v>0</v>
      </c>
      <c r="AA16" s="268">
        <v>0</v>
      </c>
      <c r="AB16" s="269">
        <v>0</v>
      </c>
      <c r="AC16" s="269">
        <v>0</v>
      </c>
      <c r="AD16" s="268">
        <v>0</v>
      </c>
      <c r="AE16" s="269">
        <v>0</v>
      </c>
      <c r="AF16" s="269">
        <v>0</v>
      </c>
      <c r="AG16" s="268">
        <v>72</v>
      </c>
      <c r="AH16" s="269">
        <v>0</v>
      </c>
      <c r="AI16" s="269">
        <v>0</v>
      </c>
      <c r="AJ16" s="270">
        <f t="shared" si="1"/>
        <v>0</v>
      </c>
      <c r="AK16" s="269">
        <f t="shared" si="2"/>
        <v>279</v>
      </c>
      <c r="AL16" s="269">
        <f t="shared" si="3"/>
        <v>132</v>
      </c>
      <c r="AM16" s="269">
        <f t="shared" si="4"/>
        <v>39</v>
      </c>
      <c r="AN16" s="268">
        <f t="shared" si="5"/>
        <v>42</v>
      </c>
      <c r="AO16" s="269">
        <f t="shared" si="6"/>
        <v>42</v>
      </c>
      <c r="AP16" s="269">
        <f t="shared" si="7"/>
        <v>39</v>
      </c>
      <c r="AQ16" s="268">
        <f t="shared" si="8"/>
        <v>42</v>
      </c>
      <c r="AR16" s="269">
        <f t="shared" si="9"/>
        <v>42</v>
      </c>
      <c r="AS16" s="269">
        <f t="shared" si="10"/>
        <v>39</v>
      </c>
      <c r="AT16" s="268">
        <f t="shared" si="11"/>
        <v>114</v>
      </c>
      <c r="AU16" s="269">
        <f t="shared" si="12"/>
        <v>42</v>
      </c>
      <c r="AV16" s="269">
        <f t="shared" si="13"/>
        <v>39</v>
      </c>
    </row>
    <row r="17" spans="1:48" hidden="1" x14ac:dyDescent="0.25">
      <c r="A17" s="227">
        <v>14</v>
      </c>
      <c r="B17" s="283" t="s">
        <v>838</v>
      </c>
      <c r="C17" s="254" t="s">
        <v>840</v>
      </c>
      <c r="D17" s="255">
        <v>190</v>
      </c>
      <c r="E17" s="256">
        <v>240</v>
      </c>
      <c r="F17" s="256">
        <v>240</v>
      </c>
      <c r="G17" s="257"/>
      <c r="H17" s="254" t="s">
        <v>948</v>
      </c>
      <c r="I17" s="254" t="s">
        <v>949</v>
      </c>
      <c r="J17" s="258">
        <v>0</v>
      </c>
      <c r="K17" s="259">
        <v>0</v>
      </c>
      <c r="L17" s="260">
        <v>0</v>
      </c>
      <c r="M17" s="260">
        <v>0</v>
      </c>
      <c r="N17" s="259">
        <v>0</v>
      </c>
      <c r="O17" s="260">
        <v>0</v>
      </c>
      <c r="P17" s="260">
        <v>0</v>
      </c>
      <c r="Q17" s="259">
        <v>0</v>
      </c>
      <c r="R17" s="260">
        <v>0</v>
      </c>
      <c r="S17" s="260">
        <v>0</v>
      </c>
      <c r="T17" s="259">
        <v>0</v>
      </c>
      <c r="U17" s="260">
        <v>0</v>
      </c>
      <c r="V17" s="260">
        <v>0</v>
      </c>
      <c r="W17" s="261">
        <v>0</v>
      </c>
      <c r="X17" s="259">
        <v>0</v>
      </c>
      <c r="Y17" s="260">
        <v>83</v>
      </c>
      <c r="Z17" s="260">
        <v>0</v>
      </c>
      <c r="AA17" s="259">
        <v>0</v>
      </c>
      <c r="AB17" s="260">
        <v>83</v>
      </c>
      <c r="AC17" s="260">
        <v>0</v>
      </c>
      <c r="AD17" s="259">
        <v>0</v>
      </c>
      <c r="AE17" s="260">
        <v>83</v>
      </c>
      <c r="AF17" s="260">
        <v>0</v>
      </c>
      <c r="AG17" s="259">
        <v>83</v>
      </c>
      <c r="AH17" s="260">
        <v>83</v>
      </c>
      <c r="AI17" s="260">
        <v>0</v>
      </c>
      <c r="AJ17" s="261">
        <f t="shared" si="1"/>
        <v>0</v>
      </c>
      <c r="AK17" s="260">
        <f t="shared" si="2"/>
        <v>38</v>
      </c>
      <c r="AL17" s="260">
        <f t="shared" si="3"/>
        <v>131</v>
      </c>
      <c r="AM17" s="260">
        <f t="shared" si="4"/>
        <v>48</v>
      </c>
      <c r="AN17" s="259">
        <f t="shared" si="5"/>
        <v>38</v>
      </c>
      <c r="AO17" s="260">
        <f t="shared" si="6"/>
        <v>131</v>
      </c>
      <c r="AP17" s="260">
        <f t="shared" si="7"/>
        <v>48</v>
      </c>
      <c r="AQ17" s="259">
        <f t="shared" si="8"/>
        <v>38</v>
      </c>
      <c r="AR17" s="260">
        <f t="shared" si="9"/>
        <v>131</v>
      </c>
      <c r="AS17" s="260">
        <f t="shared" si="10"/>
        <v>48</v>
      </c>
      <c r="AT17" s="259">
        <f t="shared" si="11"/>
        <v>121</v>
      </c>
      <c r="AU17" s="260">
        <f t="shared" si="12"/>
        <v>131</v>
      </c>
      <c r="AV17" s="260">
        <f t="shared" si="13"/>
        <v>48</v>
      </c>
    </row>
    <row r="18" spans="1:48" hidden="1" x14ac:dyDescent="0.25">
      <c r="A18" s="227">
        <v>15</v>
      </c>
      <c r="B18" s="284" t="s">
        <v>820</v>
      </c>
      <c r="C18" s="266" t="s">
        <v>841</v>
      </c>
      <c r="D18" s="263">
        <v>314</v>
      </c>
      <c r="E18" s="264">
        <v>285</v>
      </c>
      <c r="F18" s="264">
        <v>314</v>
      </c>
      <c r="G18" s="265"/>
      <c r="H18" s="266" t="s">
        <v>931</v>
      </c>
      <c r="I18" s="266" t="s">
        <v>932</v>
      </c>
      <c r="J18" s="267">
        <v>40</v>
      </c>
      <c r="K18" s="268">
        <v>0</v>
      </c>
      <c r="L18" s="269">
        <v>0</v>
      </c>
      <c r="M18" s="269">
        <v>0</v>
      </c>
      <c r="N18" s="268">
        <v>0</v>
      </c>
      <c r="O18" s="269">
        <v>0</v>
      </c>
      <c r="P18" s="269">
        <v>0</v>
      </c>
      <c r="Q18" s="268">
        <v>115</v>
      </c>
      <c r="R18" s="269">
        <v>0</v>
      </c>
      <c r="S18" s="269">
        <v>0</v>
      </c>
      <c r="T18" s="268">
        <v>0</v>
      </c>
      <c r="U18" s="269">
        <v>0</v>
      </c>
      <c r="V18" s="269">
        <v>0</v>
      </c>
      <c r="W18" s="270">
        <v>0</v>
      </c>
      <c r="X18" s="268">
        <v>0</v>
      </c>
      <c r="Y18" s="269">
        <v>0</v>
      </c>
      <c r="Z18" s="269">
        <v>0</v>
      </c>
      <c r="AA18" s="268">
        <v>0</v>
      </c>
      <c r="AB18" s="269">
        <v>0</v>
      </c>
      <c r="AC18" s="269">
        <v>86</v>
      </c>
      <c r="AD18" s="268">
        <v>208</v>
      </c>
      <c r="AE18" s="269">
        <v>122</v>
      </c>
      <c r="AF18" s="269">
        <v>0</v>
      </c>
      <c r="AG18" s="268">
        <v>0</v>
      </c>
      <c r="AH18" s="269">
        <v>0</v>
      </c>
      <c r="AI18" s="269">
        <v>0</v>
      </c>
      <c r="AJ18" s="270">
        <f t="shared" si="1"/>
        <v>40</v>
      </c>
      <c r="AK18" s="269">
        <f t="shared" si="2"/>
        <v>62.800000000000004</v>
      </c>
      <c r="AL18" s="269">
        <f t="shared" si="3"/>
        <v>57</v>
      </c>
      <c r="AM18" s="269">
        <f t="shared" si="4"/>
        <v>62.800000000000004</v>
      </c>
      <c r="AN18" s="268">
        <f t="shared" si="5"/>
        <v>62.800000000000004</v>
      </c>
      <c r="AO18" s="269">
        <f t="shared" si="6"/>
        <v>57</v>
      </c>
      <c r="AP18" s="269">
        <f t="shared" si="7"/>
        <v>148.80000000000001</v>
      </c>
      <c r="AQ18" s="268">
        <f t="shared" si="8"/>
        <v>385.8</v>
      </c>
      <c r="AR18" s="269">
        <f t="shared" si="9"/>
        <v>179</v>
      </c>
      <c r="AS18" s="269">
        <f t="shared" si="10"/>
        <v>62.800000000000004</v>
      </c>
      <c r="AT18" s="268">
        <f t="shared" si="11"/>
        <v>62.800000000000004</v>
      </c>
      <c r="AU18" s="269">
        <f t="shared" si="12"/>
        <v>57</v>
      </c>
      <c r="AV18" s="269">
        <f t="shared" si="13"/>
        <v>62.800000000000004</v>
      </c>
    </row>
    <row r="19" spans="1:48" hidden="1" x14ac:dyDescent="0.25">
      <c r="A19" s="227">
        <v>16</v>
      </c>
      <c r="B19" s="283" t="s">
        <v>820</v>
      </c>
      <c r="C19" s="254" t="s">
        <v>842</v>
      </c>
      <c r="D19" s="255">
        <v>311</v>
      </c>
      <c r="E19" s="256">
        <v>311</v>
      </c>
      <c r="F19" s="256">
        <v>300</v>
      </c>
      <c r="G19" s="257"/>
      <c r="H19" s="254" t="s">
        <v>933</v>
      </c>
      <c r="I19" s="254" t="s">
        <v>934</v>
      </c>
      <c r="J19" s="258">
        <v>0</v>
      </c>
      <c r="K19" s="259">
        <v>0</v>
      </c>
      <c r="L19" s="260">
        <v>0</v>
      </c>
      <c r="M19" s="260">
        <v>0</v>
      </c>
      <c r="N19" s="259">
        <v>95</v>
      </c>
      <c r="O19" s="260">
        <v>95</v>
      </c>
      <c r="P19" s="260">
        <v>95</v>
      </c>
      <c r="Q19" s="259">
        <v>0</v>
      </c>
      <c r="R19" s="260">
        <v>0</v>
      </c>
      <c r="S19" s="260">
        <v>0</v>
      </c>
      <c r="T19" s="259">
        <v>0</v>
      </c>
      <c r="U19" s="260">
        <v>0</v>
      </c>
      <c r="V19" s="260">
        <v>0</v>
      </c>
      <c r="W19" s="261">
        <v>55</v>
      </c>
      <c r="X19" s="259">
        <v>0</v>
      </c>
      <c r="Y19" s="260">
        <v>0</v>
      </c>
      <c r="Z19" s="260">
        <v>0</v>
      </c>
      <c r="AA19" s="259">
        <v>225</v>
      </c>
      <c r="AB19" s="260">
        <v>0</v>
      </c>
      <c r="AC19" s="260">
        <v>123</v>
      </c>
      <c r="AD19" s="259">
        <v>0</v>
      </c>
      <c r="AE19" s="260">
        <v>0</v>
      </c>
      <c r="AF19" s="260">
        <v>0</v>
      </c>
      <c r="AG19" s="259">
        <v>0</v>
      </c>
      <c r="AH19" s="260">
        <v>0</v>
      </c>
      <c r="AI19" s="260">
        <v>0</v>
      </c>
      <c r="AJ19" s="261">
        <f t="shared" si="1"/>
        <v>55</v>
      </c>
      <c r="AK19" s="260">
        <f t="shared" si="2"/>
        <v>62.2</v>
      </c>
      <c r="AL19" s="260">
        <f t="shared" si="3"/>
        <v>62.2</v>
      </c>
      <c r="AM19" s="260">
        <f t="shared" si="4"/>
        <v>60</v>
      </c>
      <c r="AN19" s="259">
        <f t="shared" si="5"/>
        <v>382.2</v>
      </c>
      <c r="AO19" s="260">
        <f t="shared" si="6"/>
        <v>157.19999999999999</v>
      </c>
      <c r="AP19" s="260">
        <f t="shared" si="7"/>
        <v>278</v>
      </c>
      <c r="AQ19" s="259">
        <f t="shared" si="8"/>
        <v>62.2</v>
      </c>
      <c r="AR19" s="260">
        <f t="shared" si="9"/>
        <v>62.2</v>
      </c>
      <c r="AS19" s="260">
        <f t="shared" si="10"/>
        <v>60</v>
      </c>
      <c r="AT19" s="259">
        <f t="shared" si="11"/>
        <v>62.2</v>
      </c>
      <c r="AU19" s="260">
        <f t="shared" si="12"/>
        <v>62.2</v>
      </c>
      <c r="AV19" s="260">
        <f t="shared" si="13"/>
        <v>60</v>
      </c>
    </row>
    <row r="20" spans="1:48" hidden="1" x14ac:dyDescent="0.25">
      <c r="A20" s="227">
        <v>17</v>
      </c>
      <c r="B20" s="283" t="s">
        <v>966</v>
      </c>
      <c r="C20" s="254" t="s">
        <v>966</v>
      </c>
      <c r="D20" s="255"/>
      <c r="E20" s="256"/>
      <c r="F20" s="256"/>
      <c r="G20" s="257"/>
      <c r="H20" s="254"/>
      <c r="I20" s="254"/>
      <c r="J20" s="258">
        <v>0</v>
      </c>
      <c r="K20" s="259">
        <v>0</v>
      </c>
      <c r="L20" s="260">
        <v>0</v>
      </c>
      <c r="M20" s="260">
        <v>0</v>
      </c>
      <c r="N20" s="259">
        <v>0</v>
      </c>
      <c r="O20" s="260">
        <v>0</v>
      </c>
      <c r="P20" s="260">
        <v>0</v>
      </c>
      <c r="Q20" s="259">
        <v>0</v>
      </c>
      <c r="R20" s="260">
        <v>0</v>
      </c>
      <c r="S20" s="260">
        <v>0</v>
      </c>
      <c r="T20" s="259">
        <v>0</v>
      </c>
      <c r="U20" s="260">
        <v>0</v>
      </c>
      <c r="V20" s="260">
        <v>0</v>
      </c>
      <c r="W20" s="261">
        <v>0</v>
      </c>
      <c r="X20" s="259">
        <v>0</v>
      </c>
      <c r="Y20" s="260">
        <v>0</v>
      </c>
      <c r="Z20" s="260">
        <v>0</v>
      </c>
      <c r="AA20" s="259">
        <v>0</v>
      </c>
      <c r="AB20" s="260">
        <v>0</v>
      </c>
      <c r="AC20" s="260">
        <v>0</v>
      </c>
      <c r="AD20" s="259">
        <v>0</v>
      </c>
      <c r="AE20" s="260">
        <v>0</v>
      </c>
      <c r="AF20" s="260">
        <v>0</v>
      </c>
      <c r="AG20" s="259">
        <v>0</v>
      </c>
      <c r="AH20" s="260">
        <v>0</v>
      </c>
      <c r="AI20" s="260">
        <v>0</v>
      </c>
      <c r="AJ20" s="261">
        <f>J20+W20</f>
        <v>0</v>
      </c>
      <c r="AK20" s="260">
        <f t="shared" ref="AK20:AM21" si="14">K20+X20+(0.2*D20)</f>
        <v>0</v>
      </c>
      <c r="AL20" s="260">
        <f t="shared" si="14"/>
        <v>0</v>
      </c>
      <c r="AM20" s="260">
        <f t="shared" si="14"/>
        <v>0</v>
      </c>
      <c r="AN20" s="259">
        <f t="shared" ref="AN20:AP21" si="15">N20+AA20+(0.2*D20)</f>
        <v>0</v>
      </c>
      <c r="AO20" s="260">
        <f t="shared" si="15"/>
        <v>0</v>
      </c>
      <c r="AP20" s="260">
        <f t="shared" si="15"/>
        <v>0</v>
      </c>
      <c r="AQ20" s="259">
        <f t="shared" ref="AQ20:AS21" si="16">Q20+AD20+(0.2*D20)</f>
        <v>0</v>
      </c>
      <c r="AR20" s="260">
        <f t="shared" si="16"/>
        <v>0</v>
      </c>
      <c r="AS20" s="260">
        <f t="shared" si="16"/>
        <v>0</v>
      </c>
      <c r="AT20" s="259">
        <f>T20+AG20+(0.2*D20)</f>
        <v>0</v>
      </c>
      <c r="AU20" s="260">
        <f>U20+AH20+(0.2*E20)</f>
        <v>0</v>
      </c>
      <c r="AV20" s="260">
        <f t="shared" si="13"/>
        <v>0</v>
      </c>
    </row>
    <row r="21" spans="1:48" hidden="1" x14ac:dyDescent="0.25">
      <c r="A21" s="227">
        <v>18</v>
      </c>
      <c r="B21" s="283"/>
      <c r="C21" s="254"/>
      <c r="D21" s="255"/>
      <c r="E21" s="256"/>
      <c r="F21" s="256"/>
      <c r="G21" s="257"/>
      <c r="H21" s="254"/>
      <c r="I21" s="254"/>
      <c r="J21" s="258"/>
      <c r="K21" s="259"/>
      <c r="L21" s="260"/>
      <c r="M21" s="260"/>
      <c r="N21" s="259"/>
      <c r="O21" s="260"/>
      <c r="P21" s="260"/>
      <c r="Q21" s="259"/>
      <c r="R21" s="260"/>
      <c r="S21" s="260"/>
      <c r="T21" s="259"/>
      <c r="U21" s="260"/>
      <c r="V21" s="260"/>
      <c r="W21" s="261"/>
      <c r="X21" s="259"/>
      <c r="Y21" s="260"/>
      <c r="Z21" s="260"/>
      <c r="AA21" s="259"/>
      <c r="AB21" s="260"/>
      <c r="AC21" s="260"/>
      <c r="AD21" s="259"/>
      <c r="AE21" s="260"/>
      <c r="AF21" s="260"/>
      <c r="AG21" s="259"/>
      <c r="AH21" s="260"/>
      <c r="AI21" s="260"/>
      <c r="AJ21" s="261">
        <f>J21+W21</f>
        <v>0</v>
      </c>
      <c r="AK21" s="260">
        <f t="shared" si="14"/>
        <v>0</v>
      </c>
      <c r="AL21" s="260">
        <f t="shared" si="14"/>
        <v>0</v>
      </c>
      <c r="AM21" s="260">
        <f t="shared" si="14"/>
        <v>0</v>
      </c>
      <c r="AN21" s="259">
        <f t="shared" si="15"/>
        <v>0</v>
      </c>
      <c r="AO21" s="260">
        <f t="shared" si="15"/>
        <v>0</v>
      </c>
      <c r="AP21" s="260">
        <f t="shared" si="15"/>
        <v>0</v>
      </c>
      <c r="AQ21" s="259">
        <f t="shared" si="16"/>
        <v>0</v>
      </c>
      <c r="AR21" s="260">
        <f t="shared" si="16"/>
        <v>0</v>
      </c>
      <c r="AS21" s="260">
        <f t="shared" si="16"/>
        <v>0</v>
      </c>
      <c r="AT21" s="259">
        <f>T21+AG21+(0.2*D21)</f>
        <v>0</v>
      </c>
      <c r="AU21" s="260">
        <f>U21+AH21+(0.2*E21)</f>
        <v>0</v>
      </c>
      <c r="AV21" s="260">
        <f>V21+AI21+(0.2*F21)</f>
        <v>0</v>
      </c>
    </row>
    <row r="22" spans="1:48" x14ac:dyDescent="0.25">
      <c r="J22" s="280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  <c r="AU22" s="228"/>
      <c r="AV22" s="228"/>
    </row>
    <row r="23" spans="1:48" ht="14.25" thickBot="1" x14ac:dyDescent="0.3"/>
    <row r="24" spans="1:48" s="226" customFormat="1" ht="15.75" customHeight="1" thickTop="1" thickBot="1" x14ac:dyDescent="0.3">
      <c r="J24" s="624" t="s">
        <v>847</v>
      </c>
      <c r="K24" s="625"/>
      <c r="L24" s="625"/>
      <c r="M24" s="625"/>
      <c r="N24" s="625"/>
      <c r="O24" s="625"/>
      <c r="P24" s="625"/>
      <c r="Q24" s="625"/>
      <c r="R24" s="625"/>
      <c r="S24" s="625"/>
      <c r="T24" s="625"/>
      <c r="U24" s="625"/>
      <c r="V24" s="627"/>
      <c r="W24" s="634" t="s">
        <v>1150</v>
      </c>
      <c r="X24" s="634"/>
      <c r="Y24" s="634"/>
      <c r="Z24" s="634"/>
      <c r="AA24" s="634"/>
      <c r="AB24" s="634"/>
      <c r="AC24" s="634"/>
      <c r="AD24" s="634"/>
      <c r="AE24" s="634"/>
      <c r="AF24" s="634"/>
      <c r="AG24" s="634"/>
      <c r="AH24" s="634"/>
      <c r="AI24" s="635"/>
      <c r="AJ24" s="638" t="s">
        <v>1152</v>
      </c>
      <c r="AK24" s="638"/>
      <c r="AL24" s="638"/>
      <c r="AM24" s="638"/>
      <c r="AN24" s="638"/>
      <c r="AO24" s="638"/>
      <c r="AP24" s="638"/>
      <c r="AQ24" s="638"/>
      <c r="AR24" s="638"/>
      <c r="AS24" s="638"/>
      <c r="AT24" s="638"/>
      <c r="AU24" s="638"/>
      <c r="AV24" s="639"/>
    </row>
    <row r="25" spans="1:48" s="226" customFormat="1" ht="15.75" customHeight="1" thickTop="1" thickBot="1" x14ac:dyDescent="0.3">
      <c r="B25" s="622" t="s">
        <v>962</v>
      </c>
      <c r="C25" s="623"/>
      <c r="D25" s="628" t="s">
        <v>327</v>
      </c>
      <c r="E25" s="629"/>
      <c r="F25" s="633"/>
      <c r="G25" s="234" t="s">
        <v>920</v>
      </c>
      <c r="H25" s="628" t="s">
        <v>849</v>
      </c>
      <c r="I25" s="629"/>
      <c r="J25" s="235" t="s">
        <v>204</v>
      </c>
      <c r="K25" s="624" t="s">
        <v>1</v>
      </c>
      <c r="L25" s="625"/>
      <c r="M25" s="626"/>
      <c r="N25" s="624" t="s">
        <v>2</v>
      </c>
      <c r="O25" s="625"/>
      <c r="P25" s="626"/>
      <c r="Q25" s="625" t="s">
        <v>3</v>
      </c>
      <c r="R25" s="625"/>
      <c r="S25" s="625"/>
      <c r="T25" s="624" t="s">
        <v>4</v>
      </c>
      <c r="U25" s="625"/>
      <c r="V25" s="627"/>
      <c r="W25" s="238" t="s">
        <v>204</v>
      </c>
      <c r="X25" s="636" t="s">
        <v>1</v>
      </c>
      <c r="Y25" s="634"/>
      <c r="Z25" s="637"/>
      <c r="AA25" s="643" t="s">
        <v>2</v>
      </c>
      <c r="AB25" s="643"/>
      <c r="AC25" s="644"/>
      <c r="AD25" s="643" t="s">
        <v>3</v>
      </c>
      <c r="AE25" s="643"/>
      <c r="AF25" s="643"/>
      <c r="AG25" s="645" t="s">
        <v>4</v>
      </c>
      <c r="AH25" s="646"/>
      <c r="AI25" s="647"/>
      <c r="AJ25" s="233" t="s">
        <v>926</v>
      </c>
      <c r="AK25" s="642" t="s">
        <v>44</v>
      </c>
      <c r="AL25" s="640"/>
      <c r="AM25" s="641"/>
      <c r="AN25" s="642" t="s">
        <v>45</v>
      </c>
      <c r="AO25" s="640"/>
      <c r="AP25" s="641"/>
      <c r="AQ25" s="640" t="s">
        <v>46</v>
      </c>
      <c r="AR25" s="640"/>
      <c r="AS25" s="641"/>
      <c r="AT25" s="642" t="s">
        <v>47</v>
      </c>
      <c r="AU25" s="640"/>
      <c r="AV25" s="641"/>
    </row>
    <row r="26" spans="1:48" s="229" customFormat="1" ht="15" customHeight="1" thickTop="1" x14ac:dyDescent="0.25">
      <c r="A26" s="230" t="s">
        <v>48</v>
      </c>
      <c r="B26" s="230" t="s">
        <v>846</v>
      </c>
      <c r="C26" s="285" t="s">
        <v>818</v>
      </c>
      <c r="D26" s="285" t="s">
        <v>851</v>
      </c>
      <c r="E26" s="285" t="s">
        <v>852</v>
      </c>
      <c r="F26" s="285" t="s">
        <v>277</v>
      </c>
      <c r="G26" s="285" t="s">
        <v>921</v>
      </c>
      <c r="H26" s="285" t="s">
        <v>844</v>
      </c>
      <c r="I26" s="285" t="s">
        <v>845</v>
      </c>
      <c r="J26" s="236" t="s">
        <v>273</v>
      </c>
      <c r="K26" s="236" t="s">
        <v>853</v>
      </c>
      <c r="L26" s="286" t="s">
        <v>854</v>
      </c>
      <c r="M26" s="286" t="s">
        <v>855</v>
      </c>
      <c r="N26" s="236" t="s">
        <v>856</v>
      </c>
      <c r="O26" s="286" t="s">
        <v>857</v>
      </c>
      <c r="P26" s="286" t="s">
        <v>858</v>
      </c>
      <c r="Q26" s="236" t="s">
        <v>859</v>
      </c>
      <c r="R26" s="286" t="s">
        <v>860</v>
      </c>
      <c r="S26" s="286" t="s">
        <v>861</v>
      </c>
      <c r="T26" s="236" t="s">
        <v>862</v>
      </c>
      <c r="U26" s="286" t="s">
        <v>863</v>
      </c>
      <c r="V26" s="286" t="s">
        <v>864</v>
      </c>
      <c r="W26" s="287" t="s">
        <v>928</v>
      </c>
      <c r="X26" s="236" t="s">
        <v>924</v>
      </c>
      <c r="Y26" s="286" t="s">
        <v>865</v>
      </c>
      <c r="Z26" s="286" t="s">
        <v>866</v>
      </c>
      <c r="AA26" s="236" t="s">
        <v>867</v>
      </c>
      <c r="AB26" s="286" t="s">
        <v>868</v>
      </c>
      <c r="AC26" s="286" t="s">
        <v>869</v>
      </c>
      <c r="AD26" s="236" t="s">
        <v>870</v>
      </c>
      <c r="AE26" s="286" t="s">
        <v>871</v>
      </c>
      <c r="AF26" s="286" t="s">
        <v>872</v>
      </c>
      <c r="AG26" s="236" t="s">
        <v>873</v>
      </c>
      <c r="AH26" s="286" t="s">
        <v>874</v>
      </c>
      <c r="AI26" s="286" t="s">
        <v>875</v>
      </c>
      <c r="AJ26" s="287" t="s">
        <v>927</v>
      </c>
      <c r="AK26" s="236" t="s">
        <v>925</v>
      </c>
      <c r="AL26" s="286" t="s">
        <v>876</v>
      </c>
      <c r="AM26" s="286" t="s">
        <v>877</v>
      </c>
      <c r="AN26" s="236" t="s">
        <v>878</v>
      </c>
      <c r="AO26" s="286" t="s">
        <v>879</v>
      </c>
      <c r="AP26" s="286" t="s">
        <v>880</v>
      </c>
      <c r="AQ26" s="236" t="s">
        <v>881</v>
      </c>
      <c r="AR26" s="286" t="s">
        <v>882</v>
      </c>
      <c r="AS26" s="286" t="s">
        <v>883</v>
      </c>
      <c r="AT26" s="236" t="s">
        <v>884</v>
      </c>
      <c r="AU26" s="286" t="s">
        <v>885</v>
      </c>
      <c r="AV26" s="286" t="s">
        <v>886</v>
      </c>
    </row>
    <row r="27" spans="1:48" hidden="1" x14ac:dyDescent="0.25">
      <c r="A27" s="227">
        <v>1</v>
      </c>
      <c r="B27" s="282" t="s">
        <v>819</v>
      </c>
      <c r="C27" s="245" t="s">
        <v>821</v>
      </c>
      <c r="D27" s="246">
        <v>200</v>
      </c>
      <c r="E27" s="247">
        <v>200</v>
      </c>
      <c r="F27" s="247">
        <v>200</v>
      </c>
      <c r="G27" s="248"/>
      <c r="H27" s="249" t="s">
        <v>941</v>
      </c>
      <c r="I27" s="249" t="s">
        <v>957</v>
      </c>
      <c r="J27" s="274">
        <v>0</v>
      </c>
      <c r="K27" s="251">
        <v>0</v>
      </c>
      <c r="L27" s="252">
        <v>0</v>
      </c>
      <c r="M27" s="252">
        <v>0</v>
      </c>
      <c r="N27" s="251">
        <v>0</v>
      </c>
      <c r="O27" s="252">
        <v>0</v>
      </c>
      <c r="P27" s="252">
        <v>0</v>
      </c>
      <c r="Q27" s="251">
        <v>0</v>
      </c>
      <c r="R27" s="252">
        <v>0</v>
      </c>
      <c r="S27" s="252">
        <v>0</v>
      </c>
      <c r="T27" s="251">
        <v>0</v>
      </c>
      <c r="U27" s="252">
        <v>0</v>
      </c>
      <c r="V27" s="252">
        <v>0</v>
      </c>
      <c r="W27" s="275">
        <v>0</v>
      </c>
      <c r="X27" s="251">
        <v>0</v>
      </c>
      <c r="Y27" s="252">
        <v>0</v>
      </c>
      <c r="Z27" s="252">
        <v>0</v>
      </c>
      <c r="AA27" s="251">
        <v>0</v>
      </c>
      <c r="AB27" s="252">
        <v>0</v>
      </c>
      <c r="AC27" s="252">
        <v>0</v>
      </c>
      <c r="AD27" s="251">
        <v>72</v>
      </c>
      <c r="AE27" s="252">
        <v>0</v>
      </c>
      <c r="AF27" s="252">
        <v>72</v>
      </c>
      <c r="AG27" s="251">
        <v>0</v>
      </c>
      <c r="AH27" s="252">
        <v>0</v>
      </c>
      <c r="AI27" s="252">
        <v>0</v>
      </c>
      <c r="AJ27" s="275">
        <v>0</v>
      </c>
      <c r="AK27" s="251">
        <f>K27+X27+(0.2*D27)</f>
        <v>40</v>
      </c>
      <c r="AL27" s="252">
        <f>L27+Y27+(0.2*E27)</f>
        <v>40</v>
      </c>
      <c r="AM27" s="252">
        <f>M27+Z27+(0.2*F27)</f>
        <v>40</v>
      </c>
      <c r="AN27" s="251">
        <f>N27+AA27+(0.2*D27)</f>
        <v>40</v>
      </c>
      <c r="AO27" s="252">
        <f>O27+AB27+(0.2*E27)</f>
        <v>40</v>
      </c>
      <c r="AP27" s="252">
        <f>P27+AC27+(0.2*F27)</f>
        <v>40</v>
      </c>
      <c r="AQ27" s="251">
        <f>Q27+AD27+(0.2*D27)</f>
        <v>112</v>
      </c>
      <c r="AR27" s="252">
        <f>R27+AE27+(0.2*E27)</f>
        <v>40</v>
      </c>
      <c r="AS27" s="252">
        <f>S27+AF27+(0.2*F27)</f>
        <v>112</v>
      </c>
      <c r="AT27" s="251">
        <f>T27+AG27+(0.2*D27)</f>
        <v>40</v>
      </c>
      <c r="AU27" s="252">
        <f>U27+AH27+(0.2*E27)</f>
        <v>40</v>
      </c>
      <c r="AV27" s="252">
        <f>V27+AI27+(0.2*F27)</f>
        <v>40</v>
      </c>
    </row>
    <row r="28" spans="1:48" hidden="1" x14ac:dyDescent="0.25">
      <c r="A28" s="227">
        <v>2</v>
      </c>
      <c r="B28" s="283" t="s">
        <v>819</v>
      </c>
      <c r="C28" s="254" t="s">
        <v>822</v>
      </c>
      <c r="D28" s="255">
        <v>200</v>
      </c>
      <c r="E28" s="256">
        <v>200</v>
      </c>
      <c r="F28" s="256">
        <v>200</v>
      </c>
      <c r="G28" s="257"/>
      <c r="H28" s="254" t="s">
        <v>942</v>
      </c>
      <c r="I28" s="254" t="s">
        <v>956</v>
      </c>
      <c r="J28" s="276">
        <v>0</v>
      </c>
      <c r="K28" s="259">
        <v>53</v>
      </c>
      <c r="L28" s="260">
        <v>0</v>
      </c>
      <c r="M28" s="260">
        <v>0</v>
      </c>
      <c r="N28" s="259">
        <v>0</v>
      </c>
      <c r="O28" s="260">
        <v>0</v>
      </c>
      <c r="P28" s="260">
        <v>0</v>
      </c>
      <c r="Q28" s="259">
        <v>53</v>
      </c>
      <c r="R28" s="260">
        <v>0</v>
      </c>
      <c r="S28" s="260">
        <v>0</v>
      </c>
      <c r="T28" s="259">
        <v>0</v>
      </c>
      <c r="U28" s="260">
        <v>0</v>
      </c>
      <c r="V28" s="260">
        <v>0</v>
      </c>
      <c r="W28" s="277">
        <v>0</v>
      </c>
      <c r="X28" s="259">
        <v>90</v>
      </c>
      <c r="Y28" s="260">
        <v>0</v>
      </c>
      <c r="Z28" s="260">
        <v>72</v>
      </c>
      <c r="AA28" s="259">
        <v>0</v>
      </c>
      <c r="AB28" s="260">
        <v>0</v>
      </c>
      <c r="AC28" s="260">
        <v>0</v>
      </c>
      <c r="AD28" s="259">
        <v>162</v>
      </c>
      <c r="AE28" s="260">
        <v>0</v>
      </c>
      <c r="AF28" s="260">
        <v>0</v>
      </c>
      <c r="AG28" s="259">
        <v>0</v>
      </c>
      <c r="AH28" s="260">
        <v>0</v>
      </c>
      <c r="AI28" s="260">
        <v>0</v>
      </c>
      <c r="AJ28" s="277">
        <v>0</v>
      </c>
      <c r="AK28" s="259">
        <f t="shared" ref="AK28:AK42" si="17">K28+X28+(0.2*D28)</f>
        <v>183</v>
      </c>
      <c r="AL28" s="260">
        <f t="shared" ref="AL28:AL42" si="18">L28+Y28+(0.2*E28)</f>
        <v>40</v>
      </c>
      <c r="AM28" s="260">
        <f t="shared" ref="AM28:AM42" si="19">M28+Z28+(0.2*F28)</f>
        <v>112</v>
      </c>
      <c r="AN28" s="259">
        <f t="shared" ref="AN28:AN42" si="20">N28+AA28+(0.2*D28)</f>
        <v>40</v>
      </c>
      <c r="AO28" s="260">
        <f t="shared" ref="AO28:AO42" si="21">O28+AB28+(0.2*E28)</f>
        <v>40</v>
      </c>
      <c r="AP28" s="260">
        <f t="shared" ref="AP28:AP42" si="22">P28+AC28+(0.2*F28)</f>
        <v>40</v>
      </c>
      <c r="AQ28" s="259">
        <f t="shared" ref="AQ28:AQ42" si="23">Q28+AD28+(0.2*D28)</f>
        <v>255</v>
      </c>
      <c r="AR28" s="260">
        <f t="shared" ref="AR28:AR42" si="24">R28+AE28+(0.2*E28)</f>
        <v>40</v>
      </c>
      <c r="AS28" s="260">
        <f t="shared" ref="AS28:AS42" si="25">S28+AF28+(0.2*F28)</f>
        <v>40</v>
      </c>
      <c r="AT28" s="259">
        <f t="shared" ref="AT28:AT42" si="26">T28+AG28+(0.2*D28)</f>
        <v>40</v>
      </c>
      <c r="AU28" s="260">
        <f t="shared" ref="AU28:AU42" si="27">U28+AH28+(0.2*E28)</f>
        <v>40</v>
      </c>
      <c r="AV28" s="260">
        <f t="shared" ref="AV28:AV42" si="28">V28+AI28+(0.2*F28)</f>
        <v>40</v>
      </c>
    </row>
    <row r="29" spans="1:48" x14ac:dyDescent="0.25">
      <c r="A29" s="227">
        <v>3</v>
      </c>
      <c r="B29" s="284" t="s">
        <v>819</v>
      </c>
      <c r="C29" s="262" t="s">
        <v>823</v>
      </c>
      <c r="D29" s="263">
        <v>210</v>
      </c>
      <c r="E29" s="264">
        <v>210</v>
      </c>
      <c r="F29" s="264">
        <v>200</v>
      </c>
      <c r="G29" s="265" t="s">
        <v>958</v>
      </c>
      <c r="H29" s="266" t="s">
        <v>943</v>
      </c>
      <c r="I29" s="266" t="s">
        <v>955</v>
      </c>
      <c r="J29" s="278">
        <v>0</v>
      </c>
      <c r="K29" s="268">
        <v>0</v>
      </c>
      <c r="L29" s="269">
        <v>0</v>
      </c>
      <c r="M29" s="269">
        <v>0</v>
      </c>
      <c r="N29" s="268">
        <v>0</v>
      </c>
      <c r="O29" s="269">
        <v>0</v>
      </c>
      <c r="P29" s="269">
        <v>0</v>
      </c>
      <c r="Q29" s="268">
        <v>0</v>
      </c>
      <c r="R29" s="269">
        <v>0</v>
      </c>
      <c r="S29" s="269">
        <v>0</v>
      </c>
      <c r="T29" s="268">
        <v>0</v>
      </c>
      <c r="U29" s="269">
        <v>0</v>
      </c>
      <c r="V29" s="269">
        <v>0</v>
      </c>
      <c r="W29" s="279">
        <v>0</v>
      </c>
      <c r="X29" s="268">
        <v>0</v>
      </c>
      <c r="Y29" s="269">
        <v>0</v>
      </c>
      <c r="Z29" s="269">
        <v>0</v>
      </c>
      <c r="AA29" s="268">
        <v>0</v>
      </c>
      <c r="AB29" s="269">
        <v>0</v>
      </c>
      <c r="AC29" s="269">
        <v>0</v>
      </c>
      <c r="AD29" s="268">
        <v>0</v>
      </c>
      <c r="AE29" s="269">
        <v>0</v>
      </c>
      <c r="AF29" s="269">
        <v>0</v>
      </c>
      <c r="AG29" s="268">
        <v>72</v>
      </c>
      <c r="AH29" s="269">
        <v>0</v>
      </c>
      <c r="AI29" s="269">
        <v>72</v>
      </c>
      <c r="AJ29" s="279">
        <v>0</v>
      </c>
      <c r="AK29" s="268">
        <f t="shared" si="17"/>
        <v>42</v>
      </c>
      <c r="AL29" s="269">
        <f t="shared" si="18"/>
        <v>42</v>
      </c>
      <c r="AM29" s="269">
        <f t="shared" si="19"/>
        <v>40</v>
      </c>
      <c r="AN29" s="268">
        <f t="shared" si="20"/>
        <v>42</v>
      </c>
      <c r="AO29" s="269">
        <f t="shared" si="21"/>
        <v>42</v>
      </c>
      <c r="AP29" s="269">
        <f t="shared" si="22"/>
        <v>40</v>
      </c>
      <c r="AQ29" s="268">
        <f t="shared" si="23"/>
        <v>42</v>
      </c>
      <c r="AR29" s="269">
        <f t="shared" si="24"/>
        <v>42</v>
      </c>
      <c r="AS29" s="269">
        <f t="shared" si="25"/>
        <v>40</v>
      </c>
      <c r="AT29" s="268">
        <f t="shared" si="26"/>
        <v>114</v>
      </c>
      <c r="AU29" s="269">
        <f t="shared" si="27"/>
        <v>42</v>
      </c>
      <c r="AV29" s="269">
        <f t="shared" si="28"/>
        <v>112</v>
      </c>
    </row>
    <row r="30" spans="1:48" hidden="1" x14ac:dyDescent="0.25">
      <c r="A30" s="227">
        <v>4</v>
      </c>
      <c r="B30" s="283" t="s">
        <v>819</v>
      </c>
      <c r="C30" s="254" t="s">
        <v>824</v>
      </c>
      <c r="D30" s="255">
        <v>210</v>
      </c>
      <c r="E30" s="256">
        <v>200</v>
      </c>
      <c r="F30" s="256">
        <v>210</v>
      </c>
      <c r="G30" s="257" t="s">
        <v>936</v>
      </c>
      <c r="H30" s="254" t="s">
        <v>850</v>
      </c>
      <c r="I30" s="273" t="s">
        <v>954</v>
      </c>
      <c r="J30" s="276">
        <v>0</v>
      </c>
      <c r="K30" s="259">
        <v>0</v>
      </c>
      <c r="L30" s="260">
        <v>0</v>
      </c>
      <c r="M30" s="260">
        <v>0</v>
      </c>
      <c r="N30" s="259">
        <v>0</v>
      </c>
      <c r="O30" s="260">
        <v>75</v>
      </c>
      <c r="P30" s="260">
        <v>75</v>
      </c>
      <c r="Q30" s="259">
        <v>0</v>
      </c>
      <c r="R30" s="260">
        <v>0</v>
      </c>
      <c r="S30" s="260">
        <v>0</v>
      </c>
      <c r="T30" s="259">
        <v>0</v>
      </c>
      <c r="U30" s="260">
        <v>0</v>
      </c>
      <c r="V30" s="260">
        <v>0</v>
      </c>
      <c r="W30" s="277">
        <v>0</v>
      </c>
      <c r="X30" s="259">
        <v>0</v>
      </c>
      <c r="Y30" s="260">
        <v>0</v>
      </c>
      <c r="Z30" s="260">
        <v>0</v>
      </c>
      <c r="AA30" s="259">
        <v>0</v>
      </c>
      <c r="AB30" s="260">
        <v>90</v>
      </c>
      <c r="AC30" s="260">
        <v>90</v>
      </c>
      <c r="AD30" s="259">
        <v>0</v>
      </c>
      <c r="AE30" s="260">
        <v>0</v>
      </c>
      <c r="AF30" s="260">
        <v>0</v>
      </c>
      <c r="AG30" s="259">
        <v>0</v>
      </c>
      <c r="AH30" s="260">
        <v>0</v>
      </c>
      <c r="AI30" s="260">
        <v>0</v>
      </c>
      <c r="AJ30" s="277">
        <v>0</v>
      </c>
      <c r="AK30" s="259">
        <f t="shared" si="17"/>
        <v>42</v>
      </c>
      <c r="AL30" s="260">
        <f t="shared" si="18"/>
        <v>40</v>
      </c>
      <c r="AM30" s="260">
        <f t="shared" si="19"/>
        <v>42</v>
      </c>
      <c r="AN30" s="259">
        <f t="shared" si="20"/>
        <v>42</v>
      </c>
      <c r="AO30" s="260">
        <f t="shared" si="21"/>
        <v>205</v>
      </c>
      <c r="AP30" s="260">
        <f t="shared" si="22"/>
        <v>207</v>
      </c>
      <c r="AQ30" s="259">
        <f t="shared" si="23"/>
        <v>42</v>
      </c>
      <c r="AR30" s="260">
        <f t="shared" si="24"/>
        <v>40</v>
      </c>
      <c r="AS30" s="260">
        <f t="shared" si="25"/>
        <v>42</v>
      </c>
      <c r="AT30" s="259">
        <f t="shared" si="26"/>
        <v>42</v>
      </c>
      <c r="AU30" s="260">
        <f t="shared" si="27"/>
        <v>40</v>
      </c>
      <c r="AV30" s="260">
        <f t="shared" si="28"/>
        <v>42</v>
      </c>
    </row>
    <row r="31" spans="1:48" hidden="1" x14ac:dyDescent="0.25">
      <c r="A31" s="227">
        <v>5</v>
      </c>
      <c r="B31" s="284" t="s">
        <v>819</v>
      </c>
      <c r="C31" s="266" t="s">
        <v>825</v>
      </c>
      <c r="D31" s="263">
        <v>210</v>
      </c>
      <c r="E31" s="264">
        <v>200</v>
      </c>
      <c r="F31" s="264">
        <v>200</v>
      </c>
      <c r="G31" s="265" t="s">
        <v>937</v>
      </c>
      <c r="H31" s="272" t="s">
        <v>944</v>
      </c>
      <c r="I31" s="266" t="s">
        <v>953</v>
      </c>
      <c r="J31" s="278">
        <v>0</v>
      </c>
      <c r="K31" s="268">
        <v>0</v>
      </c>
      <c r="L31" s="269">
        <v>0</v>
      </c>
      <c r="M31" s="269">
        <v>0</v>
      </c>
      <c r="N31" s="268">
        <v>0</v>
      </c>
      <c r="O31" s="269">
        <v>0</v>
      </c>
      <c r="P31" s="269">
        <v>0</v>
      </c>
      <c r="Q31" s="268">
        <v>0</v>
      </c>
      <c r="R31" s="269">
        <v>0</v>
      </c>
      <c r="S31" s="269">
        <v>0</v>
      </c>
      <c r="T31" s="268">
        <v>0</v>
      </c>
      <c r="U31" s="269">
        <v>0</v>
      </c>
      <c r="V31" s="269">
        <v>0</v>
      </c>
      <c r="W31" s="279">
        <v>0</v>
      </c>
      <c r="X31" s="268">
        <v>0</v>
      </c>
      <c r="Y31" s="269">
        <v>90</v>
      </c>
      <c r="Z31" s="269">
        <v>0</v>
      </c>
      <c r="AA31" s="268">
        <v>0</v>
      </c>
      <c r="AB31" s="269">
        <v>0</v>
      </c>
      <c r="AC31" s="269">
        <v>0</v>
      </c>
      <c r="AD31" s="268">
        <v>0</v>
      </c>
      <c r="AE31" s="269">
        <v>0</v>
      </c>
      <c r="AF31" s="269">
        <v>0</v>
      </c>
      <c r="AG31" s="268">
        <v>0</v>
      </c>
      <c r="AH31" s="269">
        <v>0</v>
      </c>
      <c r="AI31" s="269">
        <v>0</v>
      </c>
      <c r="AJ31" s="279">
        <v>0</v>
      </c>
      <c r="AK31" s="268">
        <f t="shared" si="17"/>
        <v>42</v>
      </c>
      <c r="AL31" s="269">
        <f t="shared" si="18"/>
        <v>130</v>
      </c>
      <c r="AM31" s="269">
        <f t="shared" si="19"/>
        <v>40</v>
      </c>
      <c r="AN31" s="268">
        <f t="shared" si="20"/>
        <v>42</v>
      </c>
      <c r="AO31" s="269">
        <f t="shared" si="21"/>
        <v>40</v>
      </c>
      <c r="AP31" s="269">
        <f t="shared" si="22"/>
        <v>40</v>
      </c>
      <c r="AQ31" s="268">
        <f t="shared" si="23"/>
        <v>42</v>
      </c>
      <c r="AR31" s="269">
        <f t="shared" si="24"/>
        <v>40</v>
      </c>
      <c r="AS31" s="269">
        <f t="shared" si="25"/>
        <v>40</v>
      </c>
      <c r="AT31" s="268">
        <f t="shared" si="26"/>
        <v>42</v>
      </c>
      <c r="AU31" s="269">
        <f t="shared" si="27"/>
        <v>40</v>
      </c>
      <c r="AV31" s="269">
        <f t="shared" si="28"/>
        <v>40</v>
      </c>
    </row>
    <row r="32" spans="1:48" hidden="1" x14ac:dyDescent="0.25">
      <c r="A32" s="227">
        <v>6</v>
      </c>
      <c r="B32" s="283" t="s">
        <v>819</v>
      </c>
      <c r="C32" s="254" t="s">
        <v>826</v>
      </c>
      <c r="D32" s="255">
        <v>215</v>
      </c>
      <c r="E32" s="256">
        <v>200</v>
      </c>
      <c r="F32" s="256">
        <v>205</v>
      </c>
      <c r="G32" s="257"/>
      <c r="H32" s="254" t="s">
        <v>945</v>
      </c>
      <c r="I32" s="254" t="s">
        <v>952</v>
      </c>
      <c r="J32" s="276">
        <v>0</v>
      </c>
      <c r="K32" s="259">
        <v>0</v>
      </c>
      <c r="L32" s="260">
        <v>0</v>
      </c>
      <c r="M32" s="260">
        <v>0</v>
      </c>
      <c r="N32" s="259">
        <v>0</v>
      </c>
      <c r="O32" s="260">
        <v>75</v>
      </c>
      <c r="P32" s="260">
        <v>0</v>
      </c>
      <c r="Q32" s="259">
        <v>75</v>
      </c>
      <c r="R32" s="260">
        <v>0</v>
      </c>
      <c r="S32" s="260">
        <v>0</v>
      </c>
      <c r="T32" s="259">
        <v>0</v>
      </c>
      <c r="U32" s="260">
        <v>0</v>
      </c>
      <c r="V32" s="260">
        <v>0</v>
      </c>
      <c r="W32" s="277">
        <v>0</v>
      </c>
      <c r="X32" s="259">
        <v>0</v>
      </c>
      <c r="Y32" s="260">
        <v>0</v>
      </c>
      <c r="Z32" s="260">
        <v>0</v>
      </c>
      <c r="AA32" s="259">
        <v>102</v>
      </c>
      <c r="AB32" s="260">
        <v>0</v>
      </c>
      <c r="AC32" s="260">
        <v>90</v>
      </c>
      <c r="AD32" s="259">
        <v>102</v>
      </c>
      <c r="AE32" s="260">
        <v>0</v>
      </c>
      <c r="AF32" s="260">
        <v>0</v>
      </c>
      <c r="AG32" s="259">
        <v>0</v>
      </c>
      <c r="AH32" s="260">
        <v>0</v>
      </c>
      <c r="AI32" s="260">
        <v>0</v>
      </c>
      <c r="AJ32" s="277">
        <v>0</v>
      </c>
      <c r="AK32" s="259">
        <f t="shared" si="17"/>
        <v>43</v>
      </c>
      <c r="AL32" s="260">
        <f t="shared" si="18"/>
        <v>40</v>
      </c>
      <c r="AM32" s="260">
        <f t="shared" si="19"/>
        <v>41</v>
      </c>
      <c r="AN32" s="259">
        <f t="shared" si="20"/>
        <v>145</v>
      </c>
      <c r="AO32" s="260">
        <f t="shared" si="21"/>
        <v>115</v>
      </c>
      <c r="AP32" s="260">
        <f t="shared" si="22"/>
        <v>131</v>
      </c>
      <c r="AQ32" s="259">
        <f t="shared" si="23"/>
        <v>220</v>
      </c>
      <c r="AR32" s="260">
        <f t="shared" si="24"/>
        <v>40</v>
      </c>
      <c r="AS32" s="260">
        <f t="shared" si="25"/>
        <v>41</v>
      </c>
      <c r="AT32" s="259">
        <f t="shared" si="26"/>
        <v>43</v>
      </c>
      <c r="AU32" s="260">
        <f t="shared" si="27"/>
        <v>40</v>
      </c>
      <c r="AV32" s="260">
        <f t="shared" si="28"/>
        <v>41</v>
      </c>
    </row>
    <row r="33" spans="1:48" hidden="1" x14ac:dyDescent="0.25">
      <c r="A33" s="227">
        <v>7</v>
      </c>
      <c r="B33" s="284" t="s">
        <v>829</v>
      </c>
      <c r="C33" s="262" t="s">
        <v>827</v>
      </c>
      <c r="D33" s="263">
        <v>200</v>
      </c>
      <c r="E33" s="264">
        <v>240</v>
      </c>
      <c r="F33" s="264">
        <v>200</v>
      </c>
      <c r="G33" s="265"/>
      <c r="H33" s="266" t="s">
        <v>946</v>
      </c>
      <c r="I33" s="266" t="s">
        <v>935</v>
      </c>
      <c r="J33" s="278">
        <v>0</v>
      </c>
      <c r="K33" s="268">
        <v>0</v>
      </c>
      <c r="L33" s="269">
        <v>0</v>
      </c>
      <c r="M33" s="269">
        <v>0</v>
      </c>
      <c r="N33" s="268">
        <v>0</v>
      </c>
      <c r="O33" s="269">
        <v>0</v>
      </c>
      <c r="P33" s="269">
        <v>0</v>
      </c>
      <c r="Q33" s="268">
        <v>0</v>
      </c>
      <c r="R33" s="269">
        <v>0</v>
      </c>
      <c r="S33" s="269">
        <v>0</v>
      </c>
      <c r="T33" s="268">
        <v>0</v>
      </c>
      <c r="U33" s="269">
        <v>0</v>
      </c>
      <c r="V33" s="269">
        <v>0</v>
      </c>
      <c r="W33" s="279">
        <v>0</v>
      </c>
      <c r="X33" s="268">
        <v>0</v>
      </c>
      <c r="Y33" s="269">
        <v>0</v>
      </c>
      <c r="Z33" s="269">
        <v>0</v>
      </c>
      <c r="AA33" s="268">
        <v>90</v>
      </c>
      <c r="AB33" s="269">
        <v>0</v>
      </c>
      <c r="AC33" s="269">
        <v>90</v>
      </c>
      <c r="AD33" s="268">
        <v>0</v>
      </c>
      <c r="AE33" s="269">
        <v>0</v>
      </c>
      <c r="AF33" s="269">
        <v>0</v>
      </c>
      <c r="AG33" s="268">
        <v>0</v>
      </c>
      <c r="AH33" s="269">
        <v>0</v>
      </c>
      <c r="AI33" s="269">
        <v>0</v>
      </c>
      <c r="AJ33" s="279">
        <v>0</v>
      </c>
      <c r="AK33" s="268">
        <f t="shared" si="17"/>
        <v>40</v>
      </c>
      <c r="AL33" s="269">
        <f t="shared" si="18"/>
        <v>48</v>
      </c>
      <c r="AM33" s="269">
        <f t="shared" si="19"/>
        <v>40</v>
      </c>
      <c r="AN33" s="268">
        <f t="shared" si="20"/>
        <v>130</v>
      </c>
      <c r="AO33" s="269">
        <f t="shared" si="21"/>
        <v>48</v>
      </c>
      <c r="AP33" s="269">
        <f t="shared" si="22"/>
        <v>130</v>
      </c>
      <c r="AQ33" s="268">
        <f t="shared" si="23"/>
        <v>40</v>
      </c>
      <c r="AR33" s="269">
        <f t="shared" si="24"/>
        <v>48</v>
      </c>
      <c r="AS33" s="269">
        <f t="shared" si="25"/>
        <v>40</v>
      </c>
      <c r="AT33" s="268">
        <f t="shared" si="26"/>
        <v>40</v>
      </c>
      <c r="AU33" s="269">
        <f t="shared" si="27"/>
        <v>48</v>
      </c>
      <c r="AV33" s="269">
        <f t="shared" si="28"/>
        <v>40</v>
      </c>
    </row>
    <row r="34" spans="1:48" hidden="1" x14ac:dyDescent="0.25">
      <c r="A34" s="227">
        <v>8</v>
      </c>
      <c r="B34" s="283" t="s">
        <v>830</v>
      </c>
      <c r="C34" s="262" t="s">
        <v>828</v>
      </c>
      <c r="D34" s="255">
        <v>215</v>
      </c>
      <c r="E34" s="256">
        <v>215</v>
      </c>
      <c r="F34" s="256">
        <v>185</v>
      </c>
      <c r="G34" s="257" t="s">
        <v>938</v>
      </c>
      <c r="H34" s="254" t="s">
        <v>947</v>
      </c>
      <c r="I34" s="254" t="s">
        <v>951</v>
      </c>
      <c r="J34" s="276">
        <v>0</v>
      </c>
      <c r="K34" s="259">
        <v>0</v>
      </c>
      <c r="L34" s="260">
        <v>0</v>
      </c>
      <c r="M34" s="260">
        <v>0</v>
      </c>
      <c r="N34" s="259">
        <v>0</v>
      </c>
      <c r="O34" s="260">
        <v>90</v>
      </c>
      <c r="P34" s="260">
        <v>0</v>
      </c>
      <c r="Q34" s="259">
        <v>0</v>
      </c>
      <c r="R34" s="260">
        <v>0</v>
      </c>
      <c r="S34" s="260">
        <v>0</v>
      </c>
      <c r="T34" s="259">
        <v>90</v>
      </c>
      <c r="U34" s="260">
        <v>0</v>
      </c>
      <c r="V34" s="260">
        <v>0</v>
      </c>
      <c r="W34" s="277">
        <v>0</v>
      </c>
      <c r="X34" s="259">
        <v>0</v>
      </c>
      <c r="Y34" s="260">
        <v>0</v>
      </c>
      <c r="Z34" s="260">
        <v>0</v>
      </c>
      <c r="AA34" s="259">
        <v>0</v>
      </c>
      <c r="AB34" s="260">
        <v>0</v>
      </c>
      <c r="AC34" s="260">
        <v>108</v>
      </c>
      <c r="AD34" s="259">
        <v>0</v>
      </c>
      <c r="AE34" s="260">
        <v>0</v>
      </c>
      <c r="AF34" s="260">
        <v>0</v>
      </c>
      <c r="AG34" s="259">
        <v>234</v>
      </c>
      <c r="AH34" s="260">
        <v>90</v>
      </c>
      <c r="AI34" s="260">
        <v>0</v>
      </c>
      <c r="AJ34" s="277">
        <v>0</v>
      </c>
      <c r="AK34" s="259">
        <f t="shared" si="17"/>
        <v>43</v>
      </c>
      <c r="AL34" s="260">
        <f t="shared" si="18"/>
        <v>43</v>
      </c>
      <c r="AM34" s="260">
        <f t="shared" si="19"/>
        <v>37</v>
      </c>
      <c r="AN34" s="259">
        <f t="shared" si="20"/>
        <v>43</v>
      </c>
      <c r="AO34" s="260">
        <f t="shared" si="21"/>
        <v>133</v>
      </c>
      <c r="AP34" s="260">
        <f t="shared" si="22"/>
        <v>145</v>
      </c>
      <c r="AQ34" s="259">
        <f t="shared" si="23"/>
        <v>43</v>
      </c>
      <c r="AR34" s="260">
        <f t="shared" si="24"/>
        <v>43</v>
      </c>
      <c r="AS34" s="260">
        <f t="shared" si="25"/>
        <v>37</v>
      </c>
      <c r="AT34" s="259">
        <f t="shared" si="26"/>
        <v>367</v>
      </c>
      <c r="AU34" s="260">
        <f t="shared" si="27"/>
        <v>133</v>
      </c>
      <c r="AV34" s="260">
        <f t="shared" si="28"/>
        <v>37</v>
      </c>
    </row>
    <row r="35" spans="1:48" hidden="1" x14ac:dyDescent="0.25">
      <c r="A35" s="227">
        <v>9</v>
      </c>
      <c r="B35" s="284" t="s">
        <v>831</v>
      </c>
      <c r="C35" s="266" t="s">
        <v>832</v>
      </c>
      <c r="D35" s="263">
        <v>240</v>
      </c>
      <c r="E35" s="264">
        <v>240</v>
      </c>
      <c r="F35" s="264">
        <v>180</v>
      </c>
      <c r="G35" s="265"/>
      <c r="H35" s="272" t="s">
        <v>940</v>
      </c>
      <c r="I35" s="272" t="s">
        <v>950</v>
      </c>
      <c r="J35" s="278">
        <v>0</v>
      </c>
      <c r="K35" s="268">
        <v>75</v>
      </c>
      <c r="L35" s="269">
        <v>0</v>
      </c>
      <c r="M35" s="269">
        <v>0</v>
      </c>
      <c r="N35" s="268">
        <v>0</v>
      </c>
      <c r="O35" s="269">
        <v>0</v>
      </c>
      <c r="P35" s="269">
        <v>0</v>
      </c>
      <c r="Q35" s="268">
        <v>75</v>
      </c>
      <c r="R35" s="269">
        <v>0</v>
      </c>
      <c r="S35" s="269">
        <v>0</v>
      </c>
      <c r="T35" s="268">
        <v>0</v>
      </c>
      <c r="U35" s="269">
        <v>0</v>
      </c>
      <c r="V35" s="269">
        <v>0</v>
      </c>
      <c r="W35" s="279">
        <v>0</v>
      </c>
      <c r="X35" s="268">
        <v>162</v>
      </c>
      <c r="Y35" s="269">
        <v>0</v>
      </c>
      <c r="Z35" s="269">
        <v>90</v>
      </c>
      <c r="AA35" s="268">
        <v>0</v>
      </c>
      <c r="AB35" s="269">
        <v>0</v>
      </c>
      <c r="AC35" s="269">
        <v>0</v>
      </c>
      <c r="AD35" s="268">
        <v>72</v>
      </c>
      <c r="AE35" s="269">
        <v>0</v>
      </c>
      <c r="AF35" s="269">
        <v>0</v>
      </c>
      <c r="AG35" s="268">
        <v>0</v>
      </c>
      <c r="AH35" s="269">
        <v>0</v>
      </c>
      <c r="AI35" s="269">
        <v>0</v>
      </c>
      <c r="AJ35" s="279">
        <v>0</v>
      </c>
      <c r="AK35" s="268">
        <f t="shared" si="17"/>
        <v>285</v>
      </c>
      <c r="AL35" s="269">
        <f t="shared" si="18"/>
        <v>48</v>
      </c>
      <c r="AM35" s="269">
        <f t="shared" si="19"/>
        <v>126</v>
      </c>
      <c r="AN35" s="268">
        <f t="shared" si="20"/>
        <v>48</v>
      </c>
      <c r="AO35" s="269">
        <f t="shared" si="21"/>
        <v>48</v>
      </c>
      <c r="AP35" s="269">
        <f t="shared" si="22"/>
        <v>36</v>
      </c>
      <c r="AQ35" s="268">
        <f t="shared" si="23"/>
        <v>195</v>
      </c>
      <c r="AR35" s="269">
        <f t="shared" si="24"/>
        <v>48</v>
      </c>
      <c r="AS35" s="269">
        <f t="shared" si="25"/>
        <v>36</v>
      </c>
      <c r="AT35" s="268">
        <f t="shared" si="26"/>
        <v>48</v>
      </c>
      <c r="AU35" s="269">
        <f t="shared" si="27"/>
        <v>48</v>
      </c>
      <c r="AV35" s="269">
        <f t="shared" si="28"/>
        <v>36</v>
      </c>
    </row>
    <row r="36" spans="1:48" hidden="1" x14ac:dyDescent="0.25">
      <c r="A36" s="227">
        <v>10</v>
      </c>
      <c r="B36" s="283" t="s">
        <v>834</v>
      </c>
      <c r="C36" s="254" t="s">
        <v>833</v>
      </c>
      <c r="D36" s="255">
        <v>218</v>
      </c>
      <c r="E36" s="256">
        <v>202</v>
      </c>
      <c r="F36" s="256">
        <v>218</v>
      </c>
      <c r="G36" s="257"/>
      <c r="H36" s="254" t="s">
        <v>922</v>
      </c>
      <c r="I36" s="254" t="s">
        <v>923</v>
      </c>
      <c r="J36" s="276">
        <v>0</v>
      </c>
      <c r="K36" s="259">
        <v>0</v>
      </c>
      <c r="L36" s="260">
        <v>0</v>
      </c>
      <c r="M36" s="260">
        <v>0</v>
      </c>
      <c r="N36" s="259">
        <v>0</v>
      </c>
      <c r="O36" s="260">
        <v>0</v>
      </c>
      <c r="P36" s="260">
        <v>0</v>
      </c>
      <c r="Q36" s="259">
        <v>75</v>
      </c>
      <c r="R36" s="260">
        <v>0</v>
      </c>
      <c r="S36" s="260">
        <v>0</v>
      </c>
      <c r="T36" s="259">
        <v>0</v>
      </c>
      <c r="U36" s="260">
        <v>0</v>
      </c>
      <c r="V36" s="260">
        <v>0</v>
      </c>
      <c r="W36" s="277">
        <v>0</v>
      </c>
      <c r="X36" s="259">
        <v>0</v>
      </c>
      <c r="Y36" s="260">
        <v>0</v>
      </c>
      <c r="Z36" s="260">
        <v>0</v>
      </c>
      <c r="AA36" s="259">
        <v>0</v>
      </c>
      <c r="AB36" s="260">
        <v>0</v>
      </c>
      <c r="AC36" s="260">
        <v>0</v>
      </c>
      <c r="AD36" s="259">
        <v>162</v>
      </c>
      <c r="AE36" s="260">
        <v>90</v>
      </c>
      <c r="AF36" s="260">
        <v>0</v>
      </c>
      <c r="AG36" s="259">
        <v>0</v>
      </c>
      <c r="AH36" s="260">
        <v>0</v>
      </c>
      <c r="AI36" s="260">
        <v>0</v>
      </c>
      <c r="AJ36" s="277">
        <v>0</v>
      </c>
      <c r="AK36" s="259">
        <f t="shared" si="17"/>
        <v>43.6</v>
      </c>
      <c r="AL36" s="260">
        <f t="shared" si="18"/>
        <v>40.400000000000006</v>
      </c>
      <c r="AM36" s="260">
        <f t="shared" si="19"/>
        <v>43.6</v>
      </c>
      <c r="AN36" s="259">
        <f t="shared" si="20"/>
        <v>43.6</v>
      </c>
      <c r="AO36" s="260">
        <f t="shared" si="21"/>
        <v>40.400000000000006</v>
      </c>
      <c r="AP36" s="260">
        <f t="shared" si="22"/>
        <v>43.6</v>
      </c>
      <c r="AQ36" s="259">
        <f t="shared" si="23"/>
        <v>280.60000000000002</v>
      </c>
      <c r="AR36" s="260">
        <f t="shared" si="24"/>
        <v>130.4</v>
      </c>
      <c r="AS36" s="260">
        <f t="shared" si="25"/>
        <v>43.6</v>
      </c>
      <c r="AT36" s="259">
        <f t="shared" si="26"/>
        <v>43.6</v>
      </c>
      <c r="AU36" s="260">
        <f t="shared" si="27"/>
        <v>40.400000000000006</v>
      </c>
      <c r="AV36" s="260">
        <f t="shared" si="28"/>
        <v>43.6</v>
      </c>
    </row>
    <row r="37" spans="1:48" hidden="1" x14ac:dyDescent="0.25">
      <c r="A37" s="227">
        <v>11</v>
      </c>
      <c r="B37" s="284" t="s">
        <v>839</v>
      </c>
      <c r="C37" s="266" t="s">
        <v>835</v>
      </c>
      <c r="D37" s="263">
        <v>210</v>
      </c>
      <c r="E37" s="264">
        <v>215</v>
      </c>
      <c r="F37" s="264">
        <v>215</v>
      </c>
      <c r="G37" s="265"/>
      <c r="H37" s="272" t="s">
        <v>959</v>
      </c>
      <c r="I37" s="266" t="s">
        <v>960</v>
      </c>
      <c r="J37" s="278">
        <v>0</v>
      </c>
      <c r="K37" s="268">
        <v>0</v>
      </c>
      <c r="L37" s="269">
        <v>0</v>
      </c>
      <c r="M37" s="269">
        <v>0</v>
      </c>
      <c r="N37" s="268">
        <v>0</v>
      </c>
      <c r="O37" s="269">
        <v>0</v>
      </c>
      <c r="P37" s="269">
        <v>0</v>
      </c>
      <c r="Q37" s="268">
        <v>0</v>
      </c>
      <c r="R37" s="269">
        <v>0</v>
      </c>
      <c r="S37" s="269">
        <v>0</v>
      </c>
      <c r="T37" s="268">
        <v>0</v>
      </c>
      <c r="U37" s="269">
        <v>0</v>
      </c>
      <c r="V37" s="269">
        <v>0</v>
      </c>
      <c r="W37" s="279">
        <v>0</v>
      </c>
      <c r="X37" s="268">
        <v>0</v>
      </c>
      <c r="Y37" s="269">
        <v>0</v>
      </c>
      <c r="Z37" s="269">
        <v>0</v>
      </c>
      <c r="AA37" s="268">
        <v>0</v>
      </c>
      <c r="AB37" s="269">
        <v>90</v>
      </c>
      <c r="AC37" s="269">
        <v>90</v>
      </c>
      <c r="AD37" s="268">
        <v>0</v>
      </c>
      <c r="AE37" s="269">
        <v>0</v>
      </c>
      <c r="AF37" s="269">
        <v>0</v>
      </c>
      <c r="AG37" s="268">
        <v>0</v>
      </c>
      <c r="AH37" s="269">
        <v>0</v>
      </c>
      <c r="AI37" s="269">
        <v>0</v>
      </c>
      <c r="AJ37" s="279">
        <v>0</v>
      </c>
      <c r="AK37" s="268">
        <f t="shared" si="17"/>
        <v>42</v>
      </c>
      <c r="AL37" s="269">
        <f t="shared" si="18"/>
        <v>43</v>
      </c>
      <c r="AM37" s="269">
        <f t="shared" si="19"/>
        <v>43</v>
      </c>
      <c r="AN37" s="268">
        <f t="shared" si="20"/>
        <v>42</v>
      </c>
      <c r="AO37" s="269">
        <f t="shared" si="21"/>
        <v>133</v>
      </c>
      <c r="AP37" s="269">
        <f t="shared" si="22"/>
        <v>133</v>
      </c>
      <c r="AQ37" s="268">
        <f t="shared" si="23"/>
        <v>42</v>
      </c>
      <c r="AR37" s="269">
        <f t="shared" si="24"/>
        <v>43</v>
      </c>
      <c r="AS37" s="269">
        <f t="shared" si="25"/>
        <v>43</v>
      </c>
      <c r="AT37" s="268">
        <f t="shared" si="26"/>
        <v>42</v>
      </c>
      <c r="AU37" s="269">
        <f t="shared" si="27"/>
        <v>43</v>
      </c>
      <c r="AV37" s="269">
        <f t="shared" si="28"/>
        <v>43</v>
      </c>
    </row>
    <row r="38" spans="1:48" hidden="1" x14ac:dyDescent="0.25">
      <c r="A38" s="227">
        <v>12</v>
      </c>
      <c r="B38" s="283" t="s">
        <v>838</v>
      </c>
      <c r="C38" s="254" t="s">
        <v>836</v>
      </c>
      <c r="D38" s="255">
        <v>230</v>
      </c>
      <c r="E38" s="256">
        <v>200</v>
      </c>
      <c r="F38" s="256">
        <v>210</v>
      </c>
      <c r="G38" s="257"/>
      <c r="H38" s="254" t="s">
        <v>939</v>
      </c>
      <c r="I38" s="273" t="s">
        <v>929</v>
      </c>
      <c r="J38" s="276">
        <v>0</v>
      </c>
      <c r="K38" s="259">
        <v>0</v>
      </c>
      <c r="L38" s="260">
        <v>0</v>
      </c>
      <c r="M38" s="260">
        <v>0</v>
      </c>
      <c r="N38" s="259">
        <v>0</v>
      </c>
      <c r="O38" s="260">
        <v>0</v>
      </c>
      <c r="P38" s="260">
        <v>0</v>
      </c>
      <c r="Q38" s="259">
        <v>0</v>
      </c>
      <c r="R38" s="260">
        <v>0</v>
      </c>
      <c r="S38" s="260">
        <v>65</v>
      </c>
      <c r="T38" s="259">
        <v>75</v>
      </c>
      <c r="U38" s="260">
        <v>0</v>
      </c>
      <c r="V38" s="260">
        <v>65</v>
      </c>
      <c r="W38" s="277">
        <v>0</v>
      </c>
      <c r="X38" s="259">
        <v>0</v>
      </c>
      <c r="Y38" s="260">
        <v>0</v>
      </c>
      <c r="Z38" s="260">
        <v>108</v>
      </c>
      <c r="AA38" s="259">
        <v>0</v>
      </c>
      <c r="AB38" s="260">
        <v>0</v>
      </c>
      <c r="AC38" s="260">
        <v>0</v>
      </c>
      <c r="AD38" s="259">
        <v>0</v>
      </c>
      <c r="AE38" s="260">
        <v>0</v>
      </c>
      <c r="AF38" s="260">
        <v>0</v>
      </c>
      <c r="AG38" s="259">
        <v>162</v>
      </c>
      <c r="AH38" s="260">
        <v>0</v>
      </c>
      <c r="AI38" s="260">
        <v>90</v>
      </c>
      <c r="AJ38" s="277">
        <v>0</v>
      </c>
      <c r="AK38" s="259">
        <f t="shared" si="17"/>
        <v>46</v>
      </c>
      <c r="AL38" s="260">
        <f t="shared" si="18"/>
        <v>40</v>
      </c>
      <c r="AM38" s="260">
        <f t="shared" si="19"/>
        <v>150</v>
      </c>
      <c r="AN38" s="259">
        <f t="shared" si="20"/>
        <v>46</v>
      </c>
      <c r="AO38" s="260">
        <f t="shared" si="21"/>
        <v>40</v>
      </c>
      <c r="AP38" s="260">
        <f t="shared" si="22"/>
        <v>42</v>
      </c>
      <c r="AQ38" s="259">
        <f t="shared" si="23"/>
        <v>46</v>
      </c>
      <c r="AR38" s="260">
        <f t="shared" si="24"/>
        <v>40</v>
      </c>
      <c r="AS38" s="260">
        <f t="shared" si="25"/>
        <v>107</v>
      </c>
      <c r="AT38" s="259">
        <f t="shared" si="26"/>
        <v>283</v>
      </c>
      <c r="AU38" s="260">
        <f t="shared" si="27"/>
        <v>40</v>
      </c>
      <c r="AV38" s="260">
        <f t="shared" si="28"/>
        <v>197</v>
      </c>
    </row>
    <row r="39" spans="1:48" hidden="1" x14ac:dyDescent="0.25">
      <c r="A39" s="227">
        <v>13</v>
      </c>
      <c r="B39" s="284" t="s">
        <v>838</v>
      </c>
      <c r="C39" s="266" t="s">
        <v>837</v>
      </c>
      <c r="D39" s="263">
        <v>210</v>
      </c>
      <c r="E39" s="264">
        <v>210</v>
      </c>
      <c r="F39" s="264">
        <v>195</v>
      </c>
      <c r="G39" s="265"/>
      <c r="H39" s="266" t="s">
        <v>961</v>
      </c>
      <c r="I39" s="266" t="s">
        <v>930</v>
      </c>
      <c r="J39" s="278">
        <v>0</v>
      </c>
      <c r="K39" s="268">
        <v>0</v>
      </c>
      <c r="L39" s="269">
        <v>0</v>
      </c>
      <c r="M39" s="269">
        <v>0</v>
      </c>
      <c r="N39" s="268">
        <v>0</v>
      </c>
      <c r="O39" s="269">
        <v>0</v>
      </c>
      <c r="P39" s="269">
        <v>0</v>
      </c>
      <c r="Q39" s="268">
        <v>0</v>
      </c>
      <c r="R39" s="269">
        <v>0</v>
      </c>
      <c r="S39" s="269">
        <v>0</v>
      </c>
      <c r="T39" s="268">
        <v>0</v>
      </c>
      <c r="U39" s="269">
        <v>0</v>
      </c>
      <c r="V39" s="269">
        <v>0</v>
      </c>
      <c r="W39" s="279">
        <v>0</v>
      </c>
      <c r="X39" s="268">
        <v>162</v>
      </c>
      <c r="Y39" s="269">
        <v>90</v>
      </c>
      <c r="Z39" s="269">
        <v>0</v>
      </c>
      <c r="AA39" s="268">
        <v>0</v>
      </c>
      <c r="AB39" s="269">
        <v>0</v>
      </c>
      <c r="AC39" s="269">
        <v>0</v>
      </c>
      <c r="AD39" s="268">
        <v>0</v>
      </c>
      <c r="AE39" s="269">
        <v>0</v>
      </c>
      <c r="AF39" s="269">
        <v>0</v>
      </c>
      <c r="AG39" s="268">
        <v>72</v>
      </c>
      <c r="AH39" s="269">
        <v>0</v>
      </c>
      <c r="AI39" s="269">
        <v>0</v>
      </c>
      <c r="AJ39" s="279">
        <v>0</v>
      </c>
      <c r="AK39" s="268">
        <f t="shared" si="17"/>
        <v>204</v>
      </c>
      <c r="AL39" s="269">
        <f t="shared" si="18"/>
        <v>132</v>
      </c>
      <c r="AM39" s="269">
        <f t="shared" si="19"/>
        <v>39</v>
      </c>
      <c r="AN39" s="268">
        <f t="shared" si="20"/>
        <v>42</v>
      </c>
      <c r="AO39" s="269">
        <f t="shared" si="21"/>
        <v>42</v>
      </c>
      <c r="AP39" s="269">
        <f t="shared" si="22"/>
        <v>39</v>
      </c>
      <c r="AQ39" s="268">
        <f t="shared" si="23"/>
        <v>42</v>
      </c>
      <c r="AR39" s="269">
        <f t="shared" si="24"/>
        <v>42</v>
      </c>
      <c r="AS39" s="269">
        <f t="shared" si="25"/>
        <v>39</v>
      </c>
      <c r="AT39" s="268">
        <f t="shared" si="26"/>
        <v>114</v>
      </c>
      <c r="AU39" s="269">
        <f t="shared" si="27"/>
        <v>42</v>
      </c>
      <c r="AV39" s="269">
        <f t="shared" si="28"/>
        <v>39</v>
      </c>
    </row>
    <row r="40" spans="1:48" hidden="1" x14ac:dyDescent="0.25">
      <c r="A40" s="227">
        <v>14</v>
      </c>
      <c r="B40" s="283" t="s">
        <v>838</v>
      </c>
      <c r="C40" s="254" t="s">
        <v>840</v>
      </c>
      <c r="D40" s="255">
        <v>190</v>
      </c>
      <c r="E40" s="256">
        <v>240</v>
      </c>
      <c r="F40" s="256">
        <v>240</v>
      </c>
      <c r="G40" s="257"/>
      <c r="H40" s="254" t="s">
        <v>948</v>
      </c>
      <c r="I40" s="254" t="s">
        <v>949</v>
      </c>
      <c r="J40" s="276">
        <v>0</v>
      </c>
      <c r="K40" s="259">
        <v>0</v>
      </c>
      <c r="L40" s="260">
        <v>75</v>
      </c>
      <c r="M40" s="260">
        <v>75</v>
      </c>
      <c r="N40" s="259">
        <v>0</v>
      </c>
      <c r="O40" s="260">
        <v>75</v>
      </c>
      <c r="P40" s="260">
        <v>75</v>
      </c>
      <c r="Q40" s="259">
        <v>75</v>
      </c>
      <c r="R40" s="260">
        <v>75</v>
      </c>
      <c r="S40" s="260">
        <v>75</v>
      </c>
      <c r="T40" s="259">
        <v>75</v>
      </c>
      <c r="U40" s="260">
        <v>75</v>
      </c>
      <c r="V40" s="260">
        <v>75</v>
      </c>
      <c r="W40" s="277">
        <v>0</v>
      </c>
      <c r="X40" s="259">
        <v>0</v>
      </c>
      <c r="Y40" s="260">
        <v>83</v>
      </c>
      <c r="Z40" s="260">
        <v>83</v>
      </c>
      <c r="AA40" s="259">
        <v>0</v>
      </c>
      <c r="AB40" s="260">
        <v>83</v>
      </c>
      <c r="AC40" s="260">
        <v>83</v>
      </c>
      <c r="AD40" s="259">
        <v>83</v>
      </c>
      <c r="AE40" s="260">
        <v>83</v>
      </c>
      <c r="AF40" s="260">
        <v>83</v>
      </c>
      <c r="AG40" s="259">
        <v>83</v>
      </c>
      <c r="AH40" s="260">
        <v>83</v>
      </c>
      <c r="AI40" s="260">
        <v>83</v>
      </c>
      <c r="AJ40" s="277">
        <v>0</v>
      </c>
      <c r="AK40" s="259">
        <f t="shared" si="17"/>
        <v>38</v>
      </c>
      <c r="AL40" s="260">
        <f t="shared" si="18"/>
        <v>206</v>
      </c>
      <c r="AM40" s="260">
        <f t="shared" si="19"/>
        <v>206</v>
      </c>
      <c r="AN40" s="259">
        <f t="shared" si="20"/>
        <v>38</v>
      </c>
      <c r="AO40" s="260">
        <f t="shared" si="21"/>
        <v>206</v>
      </c>
      <c r="AP40" s="260">
        <f t="shared" si="22"/>
        <v>206</v>
      </c>
      <c r="AQ40" s="259">
        <f t="shared" si="23"/>
        <v>196</v>
      </c>
      <c r="AR40" s="260">
        <f t="shared" si="24"/>
        <v>206</v>
      </c>
      <c r="AS40" s="260">
        <f t="shared" si="25"/>
        <v>206</v>
      </c>
      <c r="AT40" s="259">
        <f t="shared" si="26"/>
        <v>196</v>
      </c>
      <c r="AU40" s="260">
        <f t="shared" si="27"/>
        <v>206</v>
      </c>
      <c r="AV40" s="260">
        <f t="shared" si="28"/>
        <v>206</v>
      </c>
    </row>
    <row r="41" spans="1:48" hidden="1" x14ac:dyDescent="0.25">
      <c r="A41" s="227">
        <v>15</v>
      </c>
      <c r="B41" s="284" t="s">
        <v>820</v>
      </c>
      <c r="C41" s="266" t="s">
        <v>841</v>
      </c>
      <c r="D41" s="263">
        <v>314</v>
      </c>
      <c r="E41" s="264">
        <v>285</v>
      </c>
      <c r="F41" s="264">
        <v>314</v>
      </c>
      <c r="G41" s="265"/>
      <c r="H41" s="266" t="s">
        <v>931</v>
      </c>
      <c r="I41" s="266" t="s">
        <v>932</v>
      </c>
      <c r="J41" s="278">
        <v>0</v>
      </c>
      <c r="K41" s="268">
        <v>0</v>
      </c>
      <c r="L41" s="269">
        <v>0</v>
      </c>
      <c r="M41" s="269">
        <v>0</v>
      </c>
      <c r="N41" s="268">
        <v>0</v>
      </c>
      <c r="O41" s="269">
        <v>0</v>
      </c>
      <c r="P41" s="269">
        <v>0</v>
      </c>
      <c r="Q41" s="268">
        <v>0</v>
      </c>
      <c r="R41" s="269">
        <v>0</v>
      </c>
      <c r="S41" s="269">
        <v>0</v>
      </c>
      <c r="T41" s="268">
        <v>0</v>
      </c>
      <c r="U41" s="269">
        <v>0</v>
      </c>
      <c r="V41" s="269">
        <v>0</v>
      </c>
      <c r="W41" s="279">
        <v>0</v>
      </c>
      <c r="X41" s="268">
        <v>0</v>
      </c>
      <c r="Y41" s="269">
        <v>0</v>
      </c>
      <c r="Z41" s="269">
        <v>0</v>
      </c>
      <c r="AA41" s="268">
        <v>0</v>
      </c>
      <c r="AB41" s="269">
        <v>0</v>
      </c>
      <c r="AC41" s="269">
        <v>86</v>
      </c>
      <c r="AD41" s="268">
        <v>208</v>
      </c>
      <c r="AE41" s="269">
        <v>122</v>
      </c>
      <c r="AF41" s="269">
        <v>0</v>
      </c>
      <c r="AG41" s="268">
        <v>0</v>
      </c>
      <c r="AH41" s="269">
        <v>0</v>
      </c>
      <c r="AI41" s="269">
        <v>0</v>
      </c>
      <c r="AJ41" s="279">
        <v>0</v>
      </c>
      <c r="AK41" s="268">
        <f t="shared" si="17"/>
        <v>62.800000000000004</v>
      </c>
      <c r="AL41" s="269">
        <f t="shared" si="18"/>
        <v>57</v>
      </c>
      <c r="AM41" s="269">
        <f t="shared" si="19"/>
        <v>62.800000000000004</v>
      </c>
      <c r="AN41" s="268">
        <f t="shared" si="20"/>
        <v>62.800000000000004</v>
      </c>
      <c r="AO41" s="269">
        <f t="shared" si="21"/>
        <v>57</v>
      </c>
      <c r="AP41" s="269">
        <f t="shared" si="22"/>
        <v>148.80000000000001</v>
      </c>
      <c r="AQ41" s="268">
        <f t="shared" si="23"/>
        <v>270.8</v>
      </c>
      <c r="AR41" s="269">
        <f t="shared" si="24"/>
        <v>179</v>
      </c>
      <c r="AS41" s="269">
        <f t="shared" si="25"/>
        <v>62.800000000000004</v>
      </c>
      <c r="AT41" s="268">
        <f t="shared" si="26"/>
        <v>62.800000000000004</v>
      </c>
      <c r="AU41" s="269">
        <f t="shared" si="27"/>
        <v>57</v>
      </c>
      <c r="AV41" s="269">
        <f t="shared" si="28"/>
        <v>62.800000000000004</v>
      </c>
    </row>
    <row r="42" spans="1:48" hidden="1" x14ac:dyDescent="0.25">
      <c r="A42" s="227">
        <v>16</v>
      </c>
      <c r="B42" s="283" t="s">
        <v>820</v>
      </c>
      <c r="C42" s="254" t="s">
        <v>842</v>
      </c>
      <c r="D42" s="255">
        <v>311</v>
      </c>
      <c r="E42" s="256">
        <v>311</v>
      </c>
      <c r="F42" s="256">
        <v>300</v>
      </c>
      <c r="G42" s="257"/>
      <c r="H42" s="273" t="s">
        <v>933</v>
      </c>
      <c r="I42" s="254" t="s">
        <v>934</v>
      </c>
      <c r="J42" s="276">
        <v>0</v>
      </c>
      <c r="K42" s="259">
        <v>0</v>
      </c>
      <c r="L42" s="260">
        <v>0</v>
      </c>
      <c r="M42" s="260">
        <v>0</v>
      </c>
      <c r="N42" s="259">
        <v>95</v>
      </c>
      <c r="O42" s="260">
        <v>95</v>
      </c>
      <c r="P42" s="260">
        <v>95</v>
      </c>
      <c r="Q42" s="259">
        <v>0</v>
      </c>
      <c r="R42" s="260">
        <v>0</v>
      </c>
      <c r="S42" s="260">
        <v>0</v>
      </c>
      <c r="T42" s="259">
        <v>0</v>
      </c>
      <c r="U42" s="260">
        <v>0</v>
      </c>
      <c r="V42" s="260">
        <v>0</v>
      </c>
      <c r="W42" s="277">
        <v>0</v>
      </c>
      <c r="X42" s="259">
        <v>0</v>
      </c>
      <c r="Y42" s="260">
        <v>0</v>
      </c>
      <c r="Z42" s="260">
        <v>0</v>
      </c>
      <c r="AA42" s="259">
        <v>67</v>
      </c>
      <c r="AB42" s="260">
        <v>0</v>
      </c>
      <c r="AC42" s="260">
        <v>0</v>
      </c>
      <c r="AD42" s="259">
        <v>0</v>
      </c>
      <c r="AE42" s="260">
        <v>0</v>
      </c>
      <c r="AF42" s="260">
        <v>0</v>
      </c>
      <c r="AG42" s="259">
        <v>0</v>
      </c>
      <c r="AH42" s="260">
        <v>0</v>
      </c>
      <c r="AI42" s="260">
        <v>0</v>
      </c>
      <c r="AJ42" s="277">
        <v>0</v>
      </c>
      <c r="AK42" s="259">
        <f t="shared" si="17"/>
        <v>62.2</v>
      </c>
      <c r="AL42" s="260">
        <f t="shared" si="18"/>
        <v>62.2</v>
      </c>
      <c r="AM42" s="260">
        <f t="shared" si="19"/>
        <v>60</v>
      </c>
      <c r="AN42" s="259">
        <f t="shared" si="20"/>
        <v>224.2</v>
      </c>
      <c r="AO42" s="260">
        <f t="shared" si="21"/>
        <v>157.19999999999999</v>
      </c>
      <c r="AP42" s="260">
        <f t="shared" si="22"/>
        <v>155</v>
      </c>
      <c r="AQ42" s="259">
        <f t="shared" si="23"/>
        <v>62.2</v>
      </c>
      <c r="AR42" s="260">
        <f t="shared" si="24"/>
        <v>62.2</v>
      </c>
      <c r="AS42" s="260">
        <f t="shared" si="25"/>
        <v>60</v>
      </c>
      <c r="AT42" s="259">
        <f t="shared" si="26"/>
        <v>62.2</v>
      </c>
      <c r="AU42" s="260">
        <f t="shared" si="27"/>
        <v>62.2</v>
      </c>
      <c r="AV42" s="260">
        <f t="shared" si="28"/>
        <v>60</v>
      </c>
    </row>
    <row r="43" spans="1:48" hidden="1" x14ac:dyDescent="0.25">
      <c r="A43" s="227">
        <v>17</v>
      </c>
      <c r="B43" s="283" t="s">
        <v>966</v>
      </c>
      <c r="C43" s="254" t="s">
        <v>966</v>
      </c>
      <c r="D43" s="255"/>
      <c r="E43" s="256"/>
      <c r="F43" s="256"/>
      <c r="G43" s="257"/>
      <c r="J43" s="276"/>
      <c r="K43" s="259"/>
      <c r="L43" s="260"/>
      <c r="M43" s="260"/>
      <c r="N43" s="259"/>
      <c r="O43" s="260"/>
      <c r="P43" s="260"/>
      <c r="Q43" s="259"/>
      <c r="R43" s="260"/>
      <c r="S43" s="260"/>
      <c r="T43" s="259"/>
      <c r="U43" s="260"/>
      <c r="V43" s="260"/>
      <c r="W43" s="277"/>
      <c r="X43" s="259"/>
      <c r="Y43" s="260"/>
      <c r="Z43" s="260"/>
      <c r="AA43" s="259"/>
      <c r="AB43" s="260"/>
      <c r="AC43" s="260"/>
      <c r="AD43" s="259"/>
      <c r="AE43" s="260"/>
      <c r="AF43" s="260"/>
      <c r="AG43" s="259"/>
      <c r="AH43" s="260"/>
      <c r="AI43" s="260"/>
      <c r="AJ43" s="277"/>
      <c r="AK43" s="259">
        <f t="shared" ref="AK43:AK44" si="29">K43+X43+(0.2*D43)</f>
        <v>0</v>
      </c>
      <c r="AL43" s="260">
        <f t="shared" ref="AL43:AL44" si="30">L43+Y43+(0.2*E43)</f>
        <v>0</v>
      </c>
      <c r="AM43" s="260">
        <f t="shared" ref="AM43:AM44" si="31">M43+Z43+(0.2*F43)</f>
        <v>0</v>
      </c>
      <c r="AN43" s="259">
        <f t="shared" ref="AN43:AN44" si="32">N43+AA43+(0.2*D43)</f>
        <v>0</v>
      </c>
      <c r="AO43" s="260">
        <f t="shared" ref="AO43:AO44" si="33">O43+AB43+(0.2*E43)</f>
        <v>0</v>
      </c>
      <c r="AP43" s="260">
        <f t="shared" ref="AP43:AP44" si="34">P43+AC43+(0.2*F43)</f>
        <v>0</v>
      </c>
      <c r="AQ43" s="259">
        <f t="shared" ref="AQ43:AQ44" si="35">Q43+AD43+(0.2*D43)</f>
        <v>0</v>
      </c>
      <c r="AR43" s="260">
        <f t="shared" ref="AR43:AR44" si="36">R43+AE43+(0.2*E43)</f>
        <v>0</v>
      </c>
      <c r="AS43" s="260">
        <f t="shared" ref="AS43:AS44" si="37">S43+AF43+(0.2*F43)</f>
        <v>0</v>
      </c>
      <c r="AT43" s="259">
        <f t="shared" ref="AT43:AT44" si="38">T43+AG43+(0.2*D43)</f>
        <v>0</v>
      </c>
      <c r="AU43" s="260">
        <f t="shared" ref="AU43:AU44" si="39">U43+AH43+(0.2*E43)</f>
        <v>0</v>
      </c>
      <c r="AV43" s="260">
        <f t="shared" ref="AV43:AV44" si="40">V43+AI43+(0.2*F43)</f>
        <v>0</v>
      </c>
    </row>
    <row r="44" spans="1:48" hidden="1" x14ac:dyDescent="0.25">
      <c r="A44" s="227">
        <v>18</v>
      </c>
      <c r="C44" s="288"/>
      <c r="D44" s="289"/>
      <c r="E44" s="290"/>
      <c r="F44" s="290"/>
      <c r="G44" s="291"/>
      <c r="J44" s="292"/>
      <c r="K44" s="237"/>
      <c r="L44" s="293"/>
      <c r="M44" s="293"/>
      <c r="N44" s="237"/>
      <c r="O44" s="293"/>
      <c r="P44" s="293"/>
      <c r="Q44" s="237"/>
      <c r="R44" s="293"/>
      <c r="S44" s="293"/>
      <c r="T44" s="237"/>
      <c r="U44" s="293"/>
      <c r="V44" s="293"/>
      <c r="W44" s="294"/>
      <c r="X44" s="237"/>
      <c r="Y44" s="293"/>
      <c r="Z44" s="293"/>
      <c r="AA44" s="237"/>
      <c r="AB44" s="293"/>
      <c r="AC44" s="293"/>
      <c r="AD44" s="237"/>
      <c r="AE44" s="293"/>
      <c r="AF44" s="293"/>
      <c r="AG44" s="237"/>
      <c r="AH44" s="293"/>
      <c r="AI44" s="293"/>
      <c r="AJ44" s="294"/>
      <c r="AK44" s="237">
        <f t="shared" si="29"/>
        <v>0</v>
      </c>
      <c r="AL44" s="293">
        <f t="shared" si="30"/>
        <v>0</v>
      </c>
      <c r="AM44" s="293">
        <f t="shared" si="31"/>
        <v>0</v>
      </c>
      <c r="AN44" s="237">
        <f t="shared" si="32"/>
        <v>0</v>
      </c>
      <c r="AO44" s="293">
        <f t="shared" si="33"/>
        <v>0</v>
      </c>
      <c r="AP44" s="293">
        <f t="shared" si="34"/>
        <v>0</v>
      </c>
      <c r="AQ44" s="237">
        <f t="shared" si="35"/>
        <v>0</v>
      </c>
      <c r="AR44" s="293">
        <f t="shared" si="36"/>
        <v>0</v>
      </c>
      <c r="AS44" s="293">
        <f t="shared" si="37"/>
        <v>0</v>
      </c>
      <c r="AT44" s="237">
        <f t="shared" si="38"/>
        <v>0</v>
      </c>
      <c r="AU44" s="293">
        <f t="shared" si="39"/>
        <v>0</v>
      </c>
      <c r="AV44" s="293">
        <f t="shared" si="40"/>
        <v>0</v>
      </c>
    </row>
    <row r="45" spans="1:48" x14ac:dyDescent="0.25">
      <c r="J45" s="280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</row>
    <row r="46" spans="1:48" ht="14.25" thickBot="1" x14ac:dyDescent="0.3"/>
    <row r="47" spans="1:48" ht="15" customHeight="1" thickTop="1" thickBot="1" x14ac:dyDescent="0.3">
      <c r="J47" s="648" t="s">
        <v>848</v>
      </c>
      <c r="K47" s="649"/>
      <c r="L47" s="649"/>
      <c r="M47" s="649"/>
      <c r="N47" s="649"/>
      <c r="O47" s="649"/>
      <c r="P47" s="649"/>
      <c r="Q47" s="649"/>
      <c r="R47" s="649"/>
      <c r="S47" s="649"/>
      <c r="T47" s="649"/>
      <c r="U47" s="650"/>
      <c r="V47" s="651" t="s">
        <v>1151</v>
      </c>
      <c r="W47" s="651"/>
      <c r="X47" s="651"/>
      <c r="Y47" s="651"/>
      <c r="Z47" s="651"/>
      <c r="AA47" s="651"/>
      <c r="AB47" s="651"/>
      <c r="AC47" s="651"/>
      <c r="AD47" s="651"/>
      <c r="AE47" s="651"/>
      <c r="AF47" s="651"/>
      <c r="AG47" s="652"/>
      <c r="AH47" s="638" t="s">
        <v>1152</v>
      </c>
      <c r="AI47" s="638"/>
      <c r="AJ47" s="638"/>
      <c r="AK47" s="638"/>
      <c r="AL47" s="638"/>
      <c r="AM47" s="638"/>
      <c r="AN47" s="638"/>
      <c r="AO47" s="638"/>
      <c r="AP47" s="638"/>
      <c r="AQ47" s="638"/>
      <c r="AR47" s="638"/>
      <c r="AS47" s="639"/>
    </row>
    <row r="48" spans="1:48" ht="15" customHeight="1" thickTop="1" thickBot="1" x14ac:dyDescent="0.3">
      <c r="A48" s="226"/>
      <c r="B48" s="622" t="s">
        <v>843</v>
      </c>
      <c r="C48" s="623"/>
      <c r="D48" s="628" t="s">
        <v>327</v>
      </c>
      <c r="E48" s="629"/>
      <c r="F48" s="633"/>
      <c r="G48" s="234" t="s">
        <v>920</v>
      </c>
      <c r="H48" s="628" t="s">
        <v>849</v>
      </c>
      <c r="I48" s="633"/>
      <c r="J48" s="653" t="s">
        <v>1</v>
      </c>
      <c r="K48" s="654"/>
      <c r="L48" s="655"/>
      <c r="M48" s="653" t="s">
        <v>2</v>
      </c>
      <c r="N48" s="654"/>
      <c r="O48" s="655"/>
      <c r="P48" s="648" t="s">
        <v>3</v>
      </c>
      <c r="Q48" s="649"/>
      <c r="R48" s="656"/>
      <c r="S48" s="657" t="s">
        <v>4</v>
      </c>
      <c r="T48" s="657"/>
      <c r="U48" s="658"/>
      <c r="V48" s="651" t="s">
        <v>1</v>
      </c>
      <c r="W48" s="651"/>
      <c r="X48" s="659"/>
      <c r="Y48" s="660" t="s">
        <v>2</v>
      </c>
      <c r="Z48" s="651"/>
      <c r="AA48" s="659"/>
      <c r="AB48" s="651" t="s">
        <v>3</v>
      </c>
      <c r="AC48" s="651"/>
      <c r="AD48" s="659"/>
      <c r="AE48" s="651" t="s">
        <v>4</v>
      </c>
      <c r="AF48" s="651"/>
      <c r="AG48" s="652"/>
      <c r="AH48" s="638" t="s">
        <v>44</v>
      </c>
      <c r="AI48" s="638"/>
      <c r="AJ48" s="639"/>
      <c r="AK48" s="638" t="s">
        <v>45</v>
      </c>
      <c r="AL48" s="638"/>
      <c r="AM48" s="639"/>
      <c r="AN48" s="638" t="s">
        <v>46</v>
      </c>
      <c r="AO48" s="638"/>
      <c r="AP48" s="639"/>
      <c r="AQ48" s="638" t="s">
        <v>47</v>
      </c>
      <c r="AR48" s="638"/>
      <c r="AS48" s="639"/>
    </row>
    <row r="49" spans="1:45" ht="14.25" thickTop="1" x14ac:dyDescent="0.25">
      <c r="A49" s="230" t="s">
        <v>48</v>
      </c>
      <c r="B49" s="281" t="s">
        <v>846</v>
      </c>
      <c r="C49" s="241" t="s">
        <v>818</v>
      </c>
      <c r="D49" s="241" t="s">
        <v>851</v>
      </c>
      <c r="E49" s="241" t="s">
        <v>852</v>
      </c>
      <c r="F49" s="241" t="s">
        <v>277</v>
      </c>
      <c r="G49" s="241" t="s">
        <v>921</v>
      </c>
      <c r="H49" s="241" t="s">
        <v>844</v>
      </c>
      <c r="I49" s="241" t="s">
        <v>845</v>
      </c>
      <c r="J49" s="239" t="s">
        <v>887</v>
      </c>
      <c r="K49" s="240" t="s">
        <v>888</v>
      </c>
      <c r="L49" s="240" t="s">
        <v>889</v>
      </c>
      <c r="M49" s="239" t="s">
        <v>890</v>
      </c>
      <c r="N49" s="240" t="s">
        <v>891</v>
      </c>
      <c r="O49" s="240" t="s">
        <v>892</v>
      </c>
      <c r="P49" s="239" t="s">
        <v>893</v>
      </c>
      <c r="Q49" s="240" t="s">
        <v>894</v>
      </c>
      <c r="R49" s="240" t="s">
        <v>895</v>
      </c>
      <c r="S49" s="239" t="s">
        <v>896</v>
      </c>
      <c r="T49" s="240" t="s">
        <v>897</v>
      </c>
      <c r="U49" s="240" t="s">
        <v>898</v>
      </c>
      <c r="V49" s="244" t="s">
        <v>270</v>
      </c>
      <c r="W49" s="240" t="s">
        <v>271</v>
      </c>
      <c r="X49" s="242" t="s">
        <v>272</v>
      </c>
      <c r="Y49" s="239" t="s">
        <v>899</v>
      </c>
      <c r="Z49" s="240" t="s">
        <v>900</v>
      </c>
      <c r="AA49" s="242" t="s">
        <v>901</v>
      </c>
      <c r="AB49" s="239" t="s">
        <v>902</v>
      </c>
      <c r="AC49" s="240" t="s">
        <v>903</v>
      </c>
      <c r="AD49" s="242" t="s">
        <v>904</v>
      </c>
      <c r="AE49" s="239" t="s">
        <v>905</v>
      </c>
      <c r="AF49" s="240" t="s">
        <v>906</v>
      </c>
      <c r="AG49" s="242" t="s">
        <v>907</v>
      </c>
      <c r="AH49" s="244" t="s">
        <v>908</v>
      </c>
      <c r="AI49" s="240" t="s">
        <v>909</v>
      </c>
      <c r="AJ49" s="242" t="s">
        <v>910</v>
      </c>
      <c r="AK49" s="239" t="s">
        <v>911</v>
      </c>
      <c r="AL49" s="240" t="s">
        <v>912</v>
      </c>
      <c r="AM49" s="242" t="s">
        <v>913</v>
      </c>
      <c r="AN49" s="239" t="s">
        <v>914</v>
      </c>
      <c r="AO49" s="240" t="s">
        <v>915</v>
      </c>
      <c r="AP49" s="242" t="s">
        <v>916</v>
      </c>
      <c r="AQ49" s="239" t="s">
        <v>917</v>
      </c>
      <c r="AR49" s="240" t="s">
        <v>918</v>
      </c>
      <c r="AS49" s="242" t="s">
        <v>919</v>
      </c>
    </row>
    <row r="50" spans="1:45" hidden="1" x14ac:dyDescent="0.25">
      <c r="A50" s="227">
        <v>1</v>
      </c>
      <c r="B50" s="282" t="s">
        <v>819</v>
      </c>
      <c r="C50" s="245" t="s">
        <v>821</v>
      </c>
      <c r="D50" s="246">
        <v>200</v>
      </c>
      <c r="E50" s="247">
        <v>200</v>
      </c>
      <c r="F50" s="247">
        <v>200</v>
      </c>
      <c r="G50" s="248"/>
      <c r="H50" s="249" t="s">
        <v>941</v>
      </c>
      <c r="I50" s="249" t="s">
        <v>957</v>
      </c>
      <c r="J50" s="251">
        <v>0</v>
      </c>
      <c r="K50" s="252">
        <v>0</v>
      </c>
      <c r="L50" s="252">
        <v>0</v>
      </c>
      <c r="M50" s="251">
        <v>0</v>
      </c>
      <c r="N50" s="252">
        <v>0</v>
      </c>
      <c r="O50" s="252">
        <v>0</v>
      </c>
      <c r="P50" s="251">
        <v>0</v>
      </c>
      <c r="Q50" s="252">
        <v>0</v>
      </c>
      <c r="R50" s="252">
        <v>0</v>
      </c>
      <c r="S50" s="251">
        <v>0</v>
      </c>
      <c r="T50" s="252">
        <v>0</v>
      </c>
      <c r="U50" s="252">
        <v>0</v>
      </c>
      <c r="V50" s="253">
        <v>0</v>
      </c>
      <c r="W50" s="252">
        <v>0</v>
      </c>
      <c r="X50" s="252">
        <v>0</v>
      </c>
      <c r="Y50" s="251">
        <v>0</v>
      </c>
      <c r="Z50" s="252">
        <v>0</v>
      </c>
      <c r="AA50" s="252">
        <v>0</v>
      </c>
      <c r="AB50" s="251">
        <v>0</v>
      </c>
      <c r="AC50" s="252">
        <v>0</v>
      </c>
      <c r="AD50" s="252">
        <v>0</v>
      </c>
      <c r="AE50" s="251">
        <v>0</v>
      </c>
      <c r="AF50" s="252">
        <v>0</v>
      </c>
      <c r="AG50" s="252">
        <v>0</v>
      </c>
      <c r="AH50" s="253">
        <f t="shared" ref="AH50:AS50" si="41">J50+V50</f>
        <v>0</v>
      </c>
      <c r="AI50" s="252">
        <f t="shared" si="41"/>
        <v>0</v>
      </c>
      <c r="AJ50" s="252">
        <f t="shared" si="41"/>
        <v>0</v>
      </c>
      <c r="AK50" s="251">
        <f t="shared" si="41"/>
        <v>0</v>
      </c>
      <c r="AL50" s="252">
        <f t="shared" si="41"/>
        <v>0</v>
      </c>
      <c r="AM50" s="252">
        <f t="shared" si="41"/>
        <v>0</v>
      </c>
      <c r="AN50" s="251">
        <f t="shared" si="41"/>
        <v>0</v>
      </c>
      <c r="AO50" s="252">
        <f t="shared" si="41"/>
        <v>0</v>
      </c>
      <c r="AP50" s="252">
        <f t="shared" si="41"/>
        <v>0</v>
      </c>
      <c r="AQ50" s="251">
        <f t="shared" si="41"/>
        <v>0</v>
      </c>
      <c r="AR50" s="252">
        <f t="shared" si="41"/>
        <v>0</v>
      </c>
      <c r="AS50" s="252">
        <f t="shared" si="41"/>
        <v>0</v>
      </c>
    </row>
    <row r="51" spans="1:45" hidden="1" x14ac:dyDescent="0.25">
      <c r="A51" s="227">
        <v>2</v>
      </c>
      <c r="B51" s="283" t="s">
        <v>819</v>
      </c>
      <c r="C51" s="254" t="s">
        <v>822</v>
      </c>
      <c r="D51" s="255">
        <v>200</v>
      </c>
      <c r="E51" s="256">
        <v>200</v>
      </c>
      <c r="F51" s="256">
        <v>200</v>
      </c>
      <c r="G51" s="257"/>
      <c r="H51" s="254" t="s">
        <v>942</v>
      </c>
      <c r="I51" s="254" t="s">
        <v>956</v>
      </c>
      <c r="J51" s="259">
        <v>0</v>
      </c>
      <c r="K51" s="260">
        <v>0</v>
      </c>
      <c r="L51" s="260">
        <v>0</v>
      </c>
      <c r="M51" s="259">
        <v>0</v>
      </c>
      <c r="N51" s="260">
        <v>0</v>
      </c>
      <c r="O51" s="260">
        <v>0</v>
      </c>
      <c r="P51" s="259">
        <v>0</v>
      </c>
      <c r="Q51" s="260">
        <v>0</v>
      </c>
      <c r="R51" s="260">
        <v>0</v>
      </c>
      <c r="S51" s="259">
        <v>0</v>
      </c>
      <c r="T51" s="260">
        <v>0</v>
      </c>
      <c r="U51" s="260">
        <v>0</v>
      </c>
      <c r="V51" s="261">
        <v>0</v>
      </c>
      <c r="W51" s="260">
        <v>0</v>
      </c>
      <c r="X51" s="260">
        <v>0</v>
      </c>
      <c r="Y51" s="259">
        <v>0</v>
      </c>
      <c r="Z51" s="260">
        <v>0</v>
      </c>
      <c r="AA51" s="260">
        <v>0</v>
      </c>
      <c r="AB51" s="259">
        <v>0</v>
      </c>
      <c r="AC51" s="260">
        <v>0</v>
      </c>
      <c r="AD51" s="260">
        <v>0</v>
      </c>
      <c r="AE51" s="259">
        <v>0</v>
      </c>
      <c r="AF51" s="260">
        <v>0</v>
      </c>
      <c r="AG51" s="260">
        <v>0</v>
      </c>
      <c r="AH51" s="261">
        <f t="shared" ref="AH51:AH65" si="42">J51+V51</f>
        <v>0</v>
      </c>
      <c r="AI51" s="260">
        <f t="shared" ref="AI51:AI65" si="43">K51+W51</f>
        <v>0</v>
      </c>
      <c r="AJ51" s="260">
        <f t="shared" ref="AJ51:AJ65" si="44">L51+X51</f>
        <v>0</v>
      </c>
      <c r="AK51" s="259">
        <f t="shared" ref="AK51:AK65" si="45">M51+Y51</f>
        <v>0</v>
      </c>
      <c r="AL51" s="260">
        <f t="shared" ref="AL51:AL65" si="46">N51+Z51</f>
        <v>0</v>
      </c>
      <c r="AM51" s="260">
        <f t="shared" ref="AM51:AM65" si="47">O51+AA51</f>
        <v>0</v>
      </c>
      <c r="AN51" s="259">
        <f t="shared" ref="AN51:AN65" si="48">P51+AB51</f>
        <v>0</v>
      </c>
      <c r="AO51" s="260">
        <f t="shared" ref="AO51:AO65" si="49">Q51+AC51</f>
        <v>0</v>
      </c>
      <c r="AP51" s="260">
        <f t="shared" ref="AP51:AP65" si="50">R51+AD51</f>
        <v>0</v>
      </c>
      <c r="AQ51" s="259">
        <f t="shared" ref="AQ51:AQ65" si="51">S51+AE51</f>
        <v>0</v>
      </c>
      <c r="AR51" s="260">
        <f t="shared" ref="AR51:AR65" si="52">T51+AF51</f>
        <v>0</v>
      </c>
      <c r="AS51" s="260">
        <f t="shared" ref="AS51:AS65" si="53">U51+AG51</f>
        <v>0</v>
      </c>
    </row>
    <row r="52" spans="1:45" x14ac:dyDescent="0.25">
      <c r="A52" s="227">
        <v>3</v>
      </c>
      <c r="B52" s="284" t="s">
        <v>819</v>
      </c>
      <c r="C52" s="262" t="s">
        <v>823</v>
      </c>
      <c r="D52" s="263">
        <v>210</v>
      </c>
      <c r="E52" s="264">
        <v>210</v>
      </c>
      <c r="F52" s="264">
        <v>200</v>
      </c>
      <c r="G52" s="265" t="s">
        <v>958</v>
      </c>
      <c r="H52" s="266" t="s">
        <v>943</v>
      </c>
      <c r="I52" s="266" t="s">
        <v>955</v>
      </c>
      <c r="J52" s="268">
        <v>0</v>
      </c>
      <c r="K52" s="269">
        <v>0</v>
      </c>
      <c r="L52" s="269">
        <v>0</v>
      </c>
      <c r="M52" s="268">
        <v>0</v>
      </c>
      <c r="N52" s="269">
        <v>0</v>
      </c>
      <c r="O52" s="269">
        <v>0</v>
      </c>
      <c r="P52" s="268">
        <v>0</v>
      </c>
      <c r="Q52" s="269">
        <v>0</v>
      </c>
      <c r="R52" s="269">
        <v>0</v>
      </c>
      <c r="S52" s="268">
        <v>0</v>
      </c>
      <c r="T52" s="269">
        <v>0</v>
      </c>
      <c r="U52" s="269">
        <v>0</v>
      </c>
      <c r="V52" s="270">
        <v>0</v>
      </c>
      <c r="W52" s="269">
        <v>0</v>
      </c>
      <c r="X52" s="269">
        <v>0</v>
      </c>
      <c r="Y52" s="268">
        <v>0</v>
      </c>
      <c r="Z52" s="269">
        <v>0</v>
      </c>
      <c r="AA52" s="269">
        <v>0</v>
      </c>
      <c r="AB52" s="268">
        <v>0</v>
      </c>
      <c r="AC52" s="269">
        <v>0</v>
      </c>
      <c r="AD52" s="269">
        <v>0</v>
      </c>
      <c r="AE52" s="268">
        <v>0</v>
      </c>
      <c r="AF52" s="269">
        <v>0</v>
      </c>
      <c r="AG52" s="269">
        <v>0</v>
      </c>
      <c r="AH52" s="270">
        <f t="shared" si="42"/>
        <v>0</v>
      </c>
      <c r="AI52" s="269">
        <f t="shared" si="43"/>
        <v>0</v>
      </c>
      <c r="AJ52" s="269">
        <f t="shared" si="44"/>
        <v>0</v>
      </c>
      <c r="AK52" s="268">
        <f t="shared" si="45"/>
        <v>0</v>
      </c>
      <c r="AL52" s="269">
        <f t="shared" si="46"/>
        <v>0</v>
      </c>
      <c r="AM52" s="269">
        <f t="shared" si="47"/>
        <v>0</v>
      </c>
      <c r="AN52" s="268">
        <f t="shared" si="48"/>
        <v>0</v>
      </c>
      <c r="AO52" s="269">
        <f t="shared" si="49"/>
        <v>0</v>
      </c>
      <c r="AP52" s="269">
        <f t="shared" si="50"/>
        <v>0</v>
      </c>
      <c r="AQ52" s="268">
        <f t="shared" si="51"/>
        <v>0</v>
      </c>
      <c r="AR52" s="269">
        <f t="shared" si="52"/>
        <v>0</v>
      </c>
      <c r="AS52" s="269">
        <f t="shared" si="53"/>
        <v>0</v>
      </c>
    </row>
    <row r="53" spans="1:45" hidden="1" x14ac:dyDescent="0.25">
      <c r="A53" s="227">
        <v>4</v>
      </c>
      <c r="B53" s="283" t="s">
        <v>819</v>
      </c>
      <c r="C53" s="254" t="s">
        <v>824</v>
      </c>
      <c r="D53" s="255">
        <v>210</v>
      </c>
      <c r="E53" s="256">
        <v>200</v>
      </c>
      <c r="F53" s="256">
        <v>210</v>
      </c>
      <c r="G53" s="257" t="s">
        <v>936</v>
      </c>
      <c r="H53" s="254" t="s">
        <v>850</v>
      </c>
      <c r="I53" s="273" t="s">
        <v>954</v>
      </c>
      <c r="J53" s="259">
        <v>0</v>
      </c>
      <c r="K53" s="260">
        <v>0</v>
      </c>
      <c r="L53" s="260">
        <v>0</v>
      </c>
      <c r="M53" s="259">
        <v>0</v>
      </c>
      <c r="N53" s="260">
        <v>0</v>
      </c>
      <c r="O53" s="260">
        <v>0</v>
      </c>
      <c r="P53" s="259">
        <v>0</v>
      </c>
      <c r="Q53" s="260">
        <v>0</v>
      </c>
      <c r="R53" s="260">
        <v>0</v>
      </c>
      <c r="S53" s="259">
        <v>0</v>
      </c>
      <c r="T53" s="260">
        <v>0</v>
      </c>
      <c r="U53" s="260">
        <v>0</v>
      </c>
      <c r="V53" s="261">
        <v>0</v>
      </c>
      <c r="W53" s="260">
        <v>0</v>
      </c>
      <c r="X53" s="260">
        <v>0</v>
      </c>
      <c r="Y53" s="259">
        <v>0</v>
      </c>
      <c r="Z53" s="260">
        <v>0</v>
      </c>
      <c r="AA53" s="260">
        <v>0</v>
      </c>
      <c r="AB53" s="259">
        <v>0</v>
      </c>
      <c r="AC53" s="260">
        <v>0</v>
      </c>
      <c r="AD53" s="260">
        <v>0</v>
      </c>
      <c r="AE53" s="259">
        <v>0</v>
      </c>
      <c r="AF53" s="260">
        <v>0</v>
      </c>
      <c r="AG53" s="260">
        <v>0</v>
      </c>
      <c r="AH53" s="261">
        <f t="shared" si="42"/>
        <v>0</v>
      </c>
      <c r="AI53" s="260">
        <f t="shared" si="43"/>
        <v>0</v>
      </c>
      <c r="AJ53" s="260">
        <f t="shared" si="44"/>
        <v>0</v>
      </c>
      <c r="AK53" s="259">
        <f t="shared" si="45"/>
        <v>0</v>
      </c>
      <c r="AL53" s="260">
        <f t="shared" si="46"/>
        <v>0</v>
      </c>
      <c r="AM53" s="260">
        <f t="shared" si="47"/>
        <v>0</v>
      </c>
      <c r="AN53" s="259">
        <f t="shared" si="48"/>
        <v>0</v>
      </c>
      <c r="AO53" s="260">
        <f t="shared" si="49"/>
        <v>0</v>
      </c>
      <c r="AP53" s="260">
        <f t="shared" si="50"/>
        <v>0</v>
      </c>
      <c r="AQ53" s="259">
        <f t="shared" si="51"/>
        <v>0</v>
      </c>
      <c r="AR53" s="260">
        <f t="shared" si="52"/>
        <v>0</v>
      </c>
      <c r="AS53" s="260">
        <f t="shared" si="53"/>
        <v>0</v>
      </c>
    </row>
    <row r="54" spans="1:45" hidden="1" x14ac:dyDescent="0.25">
      <c r="A54" s="227">
        <v>5</v>
      </c>
      <c r="B54" s="284" t="s">
        <v>819</v>
      </c>
      <c r="C54" s="266" t="s">
        <v>825</v>
      </c>
      <c r="D54" s="263">
        <v>210</v>
      </c>
      <c r="E54" s="264">
        <v>200</v>
      </c>
      <c r="F54" s="264">
        <v>200</v>
      </c>
      <c r="G54" s="265" t="s">
        <v>937</v>
      </c>
      <c r="H54" s="272" t="s">
        <v>944</v>
      </c>
      <c r="I54" s="266" t="s">
        <v>953</v>
      </c>
      <c r="J54" s="268">
        <v>0</v>
      </c>
      <c r="K54" s="269">
        <v>0</v>
      </c>
      <c r="L54" s="269">
        <v>0</v>
      </c>
      <c r="M54" s="268">
        <v>0</v>
      </c>
      <c r="N54" s="269">
        <v>0</v>
      </c>
      <c r="O54" s="269">
        <v>0</v>
      </c>
      <c r="P54" s="268">
        <v>0</v>
      </c>
      <c r="Q54" s="269">
        <v>0</v>
      </c>
      <c r="R54" s="269">
        <v>0</v>
      </c>
      <c r="S54" s="268">
        <v>0</v>
      </c>
      <c r="T54" s="269">
        <v>0</v>
      </c>
      <c r="U54" s="269">
        <v>30</v>
      </c>
      <c r="V54" s="270">
        <v>0</v>
      </c>
      <c r="W54" s="269">
        <v>61</v>
      </c>
      <c r="X54" s="269">
        <v>0</v>
      </c>
      <c r="Y54" s="268">
        <v>0</v>
      </c>
      <c r="Z54" s="269">
        <v>61</v>
      </c>
      <c r="AA54" s="269">
        <v>0</v>
      </c>
      <c r="AB54" s="268">
        <v>0</v>
      </c>
      <c r="AC54" s="269">
        <v>0</v>
      </c>
      <c r="AD54" s="269">
        <v>0</v>
      </c>
      <c r="AE54" s="268">
        <v>0</v>
      </c>
      <c r="AF54" s="269">
        <v>48</v>
      </c>
      <c r="AG54" s="269">
        <v>0</v>
      </c>
      <c r="AH54" s="270">
        <f t="shared" si="42"/>
        <v>0</v>
      </c>
      <c r="AI54" s="269">
        <f t="shared" si="43"/>
        <v>61</v>
      </c>
      <c r="AJ54" s="269">
        <f t="shared" si="44"/>
        <v>0</v>
      </c>
      <c r="AK54" s="268">
        <f t="shared" si="45"/>
        <v>0</v>
      </c>
      <c r="AL54" s="269">
        <f t="shared" si="46"/>
        <v>61</v>
      </c>
      <c r="AM54" s="269">
        <f t="shared" si="47"/>
        <v>0</v>
      </c>
      <c r="AN54" s="268">
        <f t="shared" si="48"/>
        <v>0</v>
      </c>
      <c r="AO54" s="269">
        <f t="shared" si="49"/>
        <v>0</v>
      </c>
      <c r="AP54" s="269">
        <f t="shared" si="50"/>
        <v>0</v>
      </c>
      <c r="AQ54" s="268">
        <f t="shared" si="51"/>
        <v>0</v>
      </c>
      <c r="AR54" s="269">
        <f t="shared" si="52"/>
        <v>48</v>
      </c>
      <c r="AS54" s="269">
        <f t="shared" si="53"/>
        <v>30</v>
      </c>
    </row>
    <row r="55" spans="1:45" hidden="1" x14ac:dyDescent="0.25">
      <c r="A55" s="227">
        <v>6</v>
      </c>
      <c r="B55" s="283" t="s">
        <v>819</v>
      </c>
      <c r="C55" s="254" t="s">
        <v>826</v>
      </c>
      <c r="D55" s="255">
        <v>215</v>
      </c>
      <c r="E55" s="256">
        <v>200</v>
      </c>
      <c r="F55" s="256">
        <v>205</v>
      </c>
      <c r="G55" s="257"/>
      <c r="H55" s="254" t="s">
        <v>945</v>
      </c>
      <c r="I55" s="254" t="s">
        <v>952</v>
      </c>
      <c r="J55" s="259">
        <v>0</v>
      </c>
      <c r="K55" s="260">
        <v>0</v>
      </c>
      <c r="L55" s="260">
        <v>0</v>
      </c>
      <c r="M55" s="259">
        <v>40</v>
      </c>
      <c r="N55" s="260">
        <v>0</v>
      </c>
      <c r="O55" s="260">
        <v>0</v>
      </c>
      <c r="P55" s="259">
        <v>0</v>
      </c>
      <c r="Q55" s="260">
        <v>0</v>
      </c>
      <c r="R55" s="260">
        <v>0</v>
      </c>
      <c r="S55" s="259">
        <v>0</v>
      </c>
      <c r="T55" s="260">
        <v>0</v>
      </c>
      <c r="U55" s="260">
        <v>0</v>
      </c>
      <c r="V55" s="261">
        <v>0</v>
      </c>
      <c r="W55" s="260">
        <v>0</v>
      </c>
      <c r="X55" s="260">
        <v>0</v>
      </c>
      <c r="Y55" s="259">
        <v>0</v>
      </c>
      <c r="Z55" s="260">
        <v>0</v>
      </c>
      <c r="AA55" s="260">
        <v>0</v>
      </c>
      <c r="AB55" s="259">
        <v>66</v>
      </c>
      <c r="AC55" s="260">
        <v>0</v>
      </c>
      <c r="AD55" s="260">
        <v>0</v>
      </c>
      <c r="AE55" s="259">
        <v>0</v>
      </c>
      <c r="AF55" s="260">
        <v>0</v>
      </c>
      <c r="AG55" s="260">
        <v>0</v>
      </c>
      <c r="AH55" s="261">
        <f t="shared" si="42"/>
        <v>0</v>
      </c>
      <c r="AI55" s="260">
        <f t="shared" si="43"/>
        <v>0</v>
      </c>
      <c r="AJ55" s="260">
        <f t="shared" si="44"/>
        <v>0</v>
      </c>
      <c r="AK55" s="259">
        <f t="shared" si="45"/>
        <v>40</v>
      </c>
      <c r="AL55" s="260">
        <f t="shared" si="46"/>
        <v>0</v>
      </c>
      <c r="AM55" s="260">
        <f t="shared" si="47"/>
        <v>0</v>
      </c>
      <c r="AN55" s="259">
        <f t="shared" si="48"/>
        <v>66</v>
      </c>
      <c r="AO55" s="260">
        <f t="shared" si="49"/>
        <v>0</v>
      </c>
      <c r="AP55" s="260">
        <f t="shared" si="50"/>
        <v>0</v>
      </c>
      <c r="AQ55" s="259">
        <f t="shared" si="51"/>
        <v>0</v>
      </c>
      <c r="AR55" s="260">
        <f t="shared" si="52"/>
        <v>0</v>
      </c>
      <c r="AS55" s="260">
        <f t="shared" si="53"/>
        <v>0</v>
      </c>
    </row>
    <row r="56" spans="1:45" hidden="1" x14ac:dyDescent="0.25">
      <c r="A56" s="227">
        <v>7</v>
      </c>
      <c r="B56" s="284" t="s">
        <v>829</v>
      </c>
      <c r="C56" s="262" t="s">
        <v>827</v>
      </c>
      <c r="D56" s="263">
        <v>200</v>
      </c>
      <c r="E56" s="264">
        <v>240</v>
      </c>
      <c r="F56" s="264">
        <v>200</v>
      </c>
      <c r="G56" s="265"/>
      <c r="H56" s="266" t="s">
        <v>946</v>
      </c>
      <c r="I56" s="266" t="s">
        <v>935</v>
      </c>
      <c r="J56" s="268">
        <v>0</v>
      </c>
      <c r="K56" s="269">
        <v>0</v>
      </c>
      <c r="L56" s="269">
        <v>65</v>
      </c>
      <c r="M56" s="268">
        <v>0</v>
      </c>
      <c r="N56" s="269">
        <v>0</v>
      </c>
      <c r="O56" s="269">
        <v>65</v>
      </c>
      <c r="P56" s="268">
        <v>0</v>
      </c>
      <c r="Q56" s="269">
        <v>0</v>
      </c>
      <c r="R56" s="269">
        <v>0</v>
      </c>
      <c r="S56" s="268">
        <v>0</v>
      </c>
      <c r="T56" s="269">
        <v>0</v>
      </c>
      <c r="U56" s="269">
        <v>0</v>
      </c>
      <c r="V56" s="270">
        <v>0</v>
      </c>
      <c r="W56" s="269">
        <v>0</v>
      </c>
      <c r="X56" s="269">
        <v>0</v>
      </c>
      <c r="Y56" s="268">
        <v>0</v>
      </c>
      <c r="Z56" s="269">
        <v>0</v>
      </c>
      <c r="AA56" s="269">
        <v>72</v>
      </c>
      <c r="AB56" s="268">
        <v>0</v>
      </c>
      <c r="AC56" s="269">
        <v>0</v>
      </c>
      <c r="AD56" s="269">
        <v>0</v>
      </c>
      <c r="AE56" s="268">
        <v>0</v>
      </c>
      <c r="AF56" s="269">
        <v>0</v>
      </c>
      <c r="AG56" s="269">
        <v>0</v>
      </c>
      <c r="AH56" s="270">
        <f t="shared" si="42"/>
        <v>0</v>
      </c>
      <c r="AI56" s="269">
        <f t="shared" si="43"/>
        <v>0</v>
      </c>
      <c r="AJ56" s="269">
        <f t="shared" si="44"/>
        <v>65</v>
      </c>
      <c r="AK56" s="268">
        <f t="shared" si="45"/>
        <v>0</v>
      </c>
      <c r="AL56" s="269">
        <f t="shared" si="46"/>
        <v>0</v>
      </c>
      <c r="AM56" s="269">
        <f t="shared" si="47"/>
        <v>137</v>
      </c>
      <c r="AN56" s="268">
        <f t="shared" si="48"/>
        <v>0</v>
      </c>
      <c r="AO56" s="269">
        <f t="shared" si="49"/>
        <v>0</v>
      </c>
      <c r="AP56" s="269">
        <f t="shared" si="50"/>
        <v>0</v>
      </c>
      <c r="AQ56" s="268">
        <f t="shared" si="51"/>
        <v>0</v>
      </c>
      <c r="AR56" s="269">
        <f t="shared" si="52"/>
        <v>0</v>
      </c>
      <c r="AS56" s="269">
        <f t="shared" si="53"/>
        <v>0</v>
      </c>
    </row>
    <row r="57" spans="1:45" hidden="1" x14ac:dyDescent="0.25">
      <c r="A57" s="227">
        <v>8</v>
      </c>
      <c r="B57" s="283" t="s">
        <v>830</v>
      </c>
      <c r="C57" s="262" t="s">
        <v>828</v>
      </c>
      <c r="D57" s="255">
        <v>215</v>
      </c>
      <c r="E57" s="256">
        <v>215</v>
      </c>
      <c r="F57" s="256">
        <v>185</v>
      </c>
      <c r="G57" s="257" t="s">
        <v>938</v>
      </c>
      <c r="H57" s="254" t="s">
        <v>947</v>
      </c>
      <c r="I57" s="254" t="s">
        <v>951</v>
      </c>
      <c r="J57" s="259">
        <v>0</v>
      </c>
      <c r="K57" s="260">
        <v>0</v>
      </c>
      <c r="L57" s="260">
        <v>0</v>
      </c>
      <c r="M57" s="259">
        <v>0</v>
      </c>
      <c r="N57" s="260">
        <v>0</v>
      </c>
      <c r="O57" s="260">
        <v>0</v>
      </c>
      <c r="P57" s="259">
        <v>0</v>
      </c>
      <c r="Q57" s="260">
        <v>0</v>
      </c>
      <c r="R57" s="260">
        <v>0</v>
      </c>
      <c r="S57" s="259">
        <v>0</v>
      </c>
      <c r="T57" s="260">
        <v>0</v>
      </c>
      <c r="U57" s="260">
        <v>0</v>
      </c>
      <c r="V57" s="261">
        <v>0</v>
      </c>
      <c r="W57" s="260">
        <v>0</v>
      </c>
      <c r="X57" s="260">
        <v>0</v>
      </c>
      <c r="Y57" s="259">
        <v>0</v>
      </c>
      <c r="Z57" s="260">
        <v>0</v>
      </c>
      <c r="AA57" s="260">
        <v>0</v>
      </c>
      <c r="AB57" s="259">
        <v>0</v>
      </c>
      <c r="AC57" s="260">
        <v>0</v>
      </c>
      <c r="AD57" s="260">
        <v>0</v>
      </c>
      <c r="AE57" s="259">
        <v>0</v>
      </c>
      <c r="AF57" s="260">
        <v>0</v>
      </c>
      <c r="AG57" s="260">
        <v>0</v>
      </c>
      <c r="AH57" s="261">
        <f t="shared" si="42"/>
        <v>0</v>
      </c>
      <c r="AI57" s="260">
        <f t="shared" si="43"/>
        <v>0</v>
      </c>
      <c r="AJ57" s="260">
        <f t="shared" si="44"/>
        <v>0</v>
      </c>
      <c r="AK57" s="259">
        <f t="shared" si="45"/>
        <v>0</v>
      </c>
      <c r="AL57" s="260">
        <f t="shared" si="46"/>
        <v>0</v>
      </c>
      <c r="AM57" s="260">
        <f t="shared" si="47"/>
        <v>0</v>
      </c>
      <c r="AN57" s="259">
        <f t="shared" si="48"/>
        <v>0</v>
      </c>
      <c r="AO57" s="260">
        <f t="shared" si="49"/>
        <v>0</v>
      </c>
      <c r="AP57" s="260">
        <f t="shared" si="50"/>
        <v>0</v>
      </c>
      <c r="AQ57" s="259">
        <f t="shared" si="51"/>
        <v>0</v>
      </c>
      <c r="AR57" s="260">
        <f t="shared" si="52"/>
        <v>0</v>
      </c>
      <c r="AS57" s="260">
        <f t="shared" si="53"/>
        <v>0</v>
      </c>
    </row>
    <row r="58" spans="1:45" hidden="1" x14ac:dyDescent="0.25">
      <c r="A58" s="227">
        <v>9</v>
      </c>
      <c r="B58" s="284" t="s">
        <v>831</v>
      </c>
      <c r="C58" s="266" t="s">
        <v>832</v>
      </c>
      <c r="D58" s="263">
        <v>240</v>
      </c>
      <c r="E58" s="264">
        <v>240</v>
      </c>
      <c r="F58" s="264">
        <v>180</v>
      </c>
      <c r="G58" s="265"/>
      <c r="H58" s="272" t="s">
        <v>940</v>
      </c>
      <c r="I58" s="272" t="s">
        <v>950</v>
      </c>
      <c r="J58" s="268">
        <v>0</v>
      </c>
      <c r="K58" s="269">
        <v>0</v>
      </c>
      <c r="L58" s="269">
        <v>0</v>
      </c>
      <c r="M58" s="268">
        <v>0</v>
      </c>
      <c r="N58" s="269">
        <v>0</v>
      </c>
      <c r="O58" s="269">
        <v>0</v>
      </c>
      <c r="P58" s="268">
        <v>0</v>
      </c>
      <c r="Q58" s="269">
        <v>0</v>
      </c>
      <c r="R58" s="269">
        <v>0</v>
      </c>
      <c r="S58" s="268">
        <v>0</v>
      </c>
      <c r="T58" s="269">
        <v>0</v>
      </c>
      <c r="U58" s="269">
        <v>0</v>
      </c>
      <c r="V58" s="270">
        <v>0</v>
      </c>
      <c r="W58" s="269">
        <v>0</v>
      </c>
      <c r="X58" s="269">
        <v>0</v>
      </c>
      <c r="Y58" s="268">
        <v>0</v>
      </c>
      <c r="Z58" s="269">
        <v>0</v>
      </c>
      <c r="AA58" s="269">
        <v>0</v>
      </c>
      <c r="AB58" s="268">
        <v>0</v>
      </c>
      <c r="AC58" s="269">
        <v>0</v>
      </c>
      <c r="AD58" s="269">
        <v>0</v>
      </c>
      <c r="AE58" s="268">
        <v>0</v>
      </c>
      <c r="AF58" s="269">
        <v>0</v>
      </c>
      <c r="AG58" s="269">
        <v>0</v>
      </c>
      <c r="AH58" s="270">
        <f t="shared" si="42"/>
        <v>0</v>
      </c>
      <c r="AI58" s="269">
        <f t="shared" si="43"/>
        <v>0</v>
      </c>
      <c r="AJ58" s="269">
        <f t="shared" si="44"/>
        <v>0</v>
      </c>
      <c r="AK58" s="268">
        <f t="shared" si="45"/>
        <v>0</v>
      </c>
      <c r="AL58" s="269">
        <f t="shared" si="46"/>
        <v>0</v>
      </c>
      <c r="AM58" s="269">
        <f t="shared" si="47"/>
        <v>0</v>
      </c>
      <c r="AN58" s="268">
        <f t="shared" si="48"/>
        <v>0</v>
      </c>
      <c r="AO58" s="269">
        <f t="shared" si="49"/>
        <v>0</v>
      </c>
      <c r="AP58" s="269">
        <f t="shared" si="50"/>
        <v>0</v>
      </c>
      <c r="AQ58" s="268">
        <f t="shared" si="51"/>
        <v>0</v>
      </c>
      <c r="AR58" s="269">
        <f t="shared" si="52"/>
        <v>0</v>
      </c>
      <c r="AS58" s="269">
        <f t="shared" si="53"/>
        <v>0</v>
      </c>
    </row>
    <row r="59" spans="1:45" hidden="1" x14ac:dyDescent="0.25">
      <c r="A59" s="227">
        <v>10</v>
      </c>
      <c r="B59" s="283" t="s">
        <v>834</v>
      </c>
      <c r="C59" s="254" t="s">
        <v>833</v>
      </c>
      <c r="D59" s="255">
        <v>218</v>
      </c>
      <c r="E59" s="256">
        <v>202</v>
      </c>
      <c r="F59" s="256">
        <v>218</v>
      </c>
      <c r="G59" s="257"/>
      <c r="H59" s="254" t="s">
        <v>922</v>
      </c>
      <c r="I59" s="254" t="s">
        <v>923</v>
      </c>
      <c r="J59" s="259">
        <v>0</v>
      </c>
      <c r="K59" s="260">
        <v>35</v>
      </c>
      <c r="L59" s="260">
        <v>55</v>
      </c>
      <c r="M59" s="259">
        <v>0</v>
      </c>
      <c r="N59" s="260">
        <v>35</v>
      </c>
      <c r="O59" s="260">
        <v>0</v>
      </c>
      <c r="P59" s="259">
        <v>0</v>
      </c>
      <c r="Q59" s="260">
        <v>35</v>
      </c>
      <c r="R59" s="260">
        <v>0</v>
      </c>
      <c r="S59" s="259">
        <v>0</v>
      </c>
      <c r="T59" s="260">
        <v>35</v>
      </c>
      <c r="U59" s="260">
        <v>0</v>
      </c>
      <c r="V59" s="261">
        <v>0</v>
      </c>
      <c r="W59" s="260">
        <v>0</v>
      </c>
      <c r="X59" s="260">
        <v>0</v>
      </c>
      <c r="Y59" s="259">
        <v>0</v>
      </c>
      <c r="Z59" s="260">
        <v>0</v>
      </c>
      <c r="AA59" s="260">
        <v>0</v>
      </c>
      <c r="AB59" s="259">
        <v>0</v>
      </c>
      <c r="AC59" s="260">
        <v>0</v>
      </c>
      <c r="AD59" s="260">
        <v>0</v>
      </c>
      <c r="AE59" s="259">
        <v>90</v>
      </c>
      <c r="AF59" s="260">
        <v>0</v>
      </c>
      <c r="AG59" s="260">
        <v>0</v>
      </c>
      <c r="AH59" s="261">
        <f t="shared" si="42"/>
        <v>0</v>
      </c>
      <c r="AI59" s="260">
        <f t="shared" si="43"/>
        <v>35</v>
      </c>
      <c r="AJ59" s="260">
        <f t="shared" si="44"/>
        <v>55</v>
      </c>
      <c r="AK59" s="259">
        <f t="shared" si="45"/>
        <v>0</v>
      </c>
      <c r="AL59" s="260">
        <f t="shared" si="46"/>
        <v>35</v>
      </c>
      <c r="AM59" s="260">
        <f t="shared" si="47"/>
        <v>0</v>
      </c>
      <c r="AN59" s="259">
        <f t="shared" si="48"/>
        <v>0</v>
      </c>
      <c r="AO59" s="260">
        <f t="shared" si="49"/>
        <v>35</v>
      </c>
      <c r="AP59" s="260">
        <f t="shared" si="50"/>
        <v>0</v>
      </c>
      <c r="AQ59" s="259">
        <f t="shared" si="51"/>
        <v>90</v>
      </c>
      <c r="AR59" s="260">
        <f t="shared" si="52"/>
        <v>35</v>
      </c>
      <c r="AS59" s="260">
        <f t="shared" si="53"/>
        <v>0</v>
      </c>
    </row>
    <row r="60" spans="1:45" hidden="1" x14ac:dyDescent="0.25">
      <c r="A60" s="227">
        <v>11</v>
      </c>
      <c r="B60" s="284" t="s">
        <v>839</v>
      </c>
      <c r="C60" s="266" t="s">
        <v>835</v>
      </c>
      <c r="D60" s="263">
        <v>210</v>
      </c>
      <c r="E60" s="264">
        <v>215</v>
      </c>
      <c r="F60" s="264">
        <v>215</v>
      </c>
      <c r="G60" s="265"/>
      <c r="H60" s="272" t="s">
        <v>959</v>
      </c>
      <c r="I60" s="266" t="s">
        <v>960</v>
      </c>
      <c r="J60" s="268">
        <v>0</v>
      </c>
      <c r="K60" s="269">
        <v>0</v>
      </c>
      <c r="L60" s="269">
        <v>0</v>
      </c>
      <c r="M60" s="268">
        <v>0</v>
      </c>
      <c r="N60" s="269">
        <v>0</v>
      </c>
      <c r="O60" s="269">
        <v>0</v>
      </c>
      <c r="P60" s="268">
        <v>0</v>
      </c>
      <c r="Q60" s="269">
        <v>0</v>
      </c>
      <c r="R60" s="269">
        <v>0</v>
      </c>
      <c r="S60" s="268">
        <v>0</v>
      </c>
      <c r="T60" s="269">
        <v>0</v>
      </c>
      <c r="U60" s="269">
        <v>0</v>
      </c>
      <c r="V60" s="270">
        <v>0</v>
      </c>
      <c r="W60" s="269">
        <v>0</v>
      </c>
      <c r="X60" s="269">
        <v>0</v>
      </c>
      <c r="Y60" s="268">
        <v>0</v>
      </c>
      <c r="Z60" s="269">
        <v>0</v>
      </c>
      <c r="AA60" s="269">
        <v>0</v>
      </c>
      <c r="AB60" s="268">
        <v>0</v>
      </c>
      <c r="AC60" s="269">
        <v>0</v>
      </c>
      <c r="AD60" s="269">
        <v>0</v>
      </c>
      <c r="AE60" s="268">
        <v>0</v>
      </c>
      <c r="AF60" s="269">
        <v>0</v>
      </c>
      <c r="AG60" s="269">
        <v>0</v>
      </c>
      <c r="AH60" s="270">
        <f t="shared" si="42"/>
        <v>0</v>
      </c>
      <c r="AI60" s="269">
        <f t="shared" si="43"/>
        <v>0</v>
      </c>
      <c r="AJ60" s="269">
        <f t="shared" si="44"/>
        <v>0</v>
      </c>
      <c r="AK60" s="268">
        <f t="shared" si="45"/>
        <v>0</v>
      </c>
      <c r="AL60" s="269">
        <f t="shared" si="46"/>
        <v>0</v>
      </c>
      <c r="AM60" s="269">
        <f t="shared" si="47"/>
        <v>0</v>
      </c>
      <c r="AN60" s="268">
        <f t="shared" si="48"/>
        <v>0</v>
      </c>
      <c r="AO60" s="269">
        <f t="shared" si="49"/>
        <v>0</v>
      </c>
      <c r="AP60" s="269">
        <f t="shared" si="50"/>
        <v>0</v>
      </c>
      <c r="AQ60" s="268">
        <f t="shared" si="51"/>
        <v>0</v>
      </c>
      <c r="AR60" s="269">
        <f t="shared" si="52"/>
        <v>0</v>
      </c>
      <c r="AS60" s="269">
        <f t="shared" si="53"/>
        <v>0</v>
      </c>
    </row>
    <row r="61" spans="1:45" hidden="1" x14ac:dyDescent="0.25">
      <c r="A61" s="227">
        <v>12</v>
      </c>
      <c r="B61" s="283" t="s">
        <v>838</v>
      </c>
      <c r="C61" s="254" t="s">
        <v>836</v>
      </c>
      <c r="D61" s="255">
        <v>230</v>
      </c>
      <c r="E61" s="256">
        <v>200</v>
      </c>
      <c r="F61" s="256">
        <v>210</v>
      </c>
      <c r="G61" s="257"/>
      <c r="H61" s="254" t="s">
        <v>939</v>
      </c>
      <c r="I61" s="273" t="s">
        <v>929</v>
      </c>
      <c r="J61" s="259">
        <v>0</v>
      </c>
      <c r="K61" s="260">
        <v>0</v>
      </c>
      <c r="L61" s="260">
        <v>0</v>
      </c>
      <c r="M61" s="259">
        <v>0</v>
      </c>
      <c r="N61" s="260">
        <v>0</v>
      </c>
      <c r="O61" s="260">
        <v>0</v>
      </c>
      <c r="P61" s="259">
        <v>0</v>
      </c>
      <c r="Q61" s="260">
        <v>0</v>
      </c>
      <c r="R61" s="260">
        <v>0</v>
      </c>
      <c r="S61" s="259">
        <v>0</v>
      </c>
      <c r="T61" s="260">
        <v>0</v>
      </c>
      <c r="U61" s="260">
        <v>0</v>
      </c>
      <c r="V61" s="261">
        <v>0</v>
      </c>
      <c r="W61" s="260">
        <v>0</v>
      </c>
      <c r="X61" s="260">
        <v>0</v>
      </c>
      <c r="Y61" s="259">
        <v>0</v>
      </c>
      <c r="Z61" s="260">
        <v>0</v>
      </c>
      <c r="AA61" s="260">
        <v>0</v>
      </c>
      <c r="AB61" s="259">
        <v>0</v>
      </c>
      <c r="AC61" s="260">
        <v>0</v>
      </c>
      <c r="AD61" s="260">
        <v>40</v>
      </c>
      <c r="AE61" s="259">
        <v>0</v>
      </c>
      <c r="AF61" s="260">
        <v>0</v>
      </c>
      <c r="AG61" s="260">
        <v>40</v>
      </c>
      <c r="AH61" s="261">
        <f t="shared" si="42"/>
        <v>0</v>
      </c>
      <c r="AI61" s="260">
        <f t="shared" si="43"/>
        <v>0</v>
      </c>
      <c r="AJ61" s="260">
        <f t="shared" si="44"/>
        <v>0</v>
      </c>
      <c r="AK61" s="259">
        <f t="shared" si="45"/>
        <v>0</v>
      </c>
      <c r="AL61" s="260">
        <f t="shared" si="46"/>
        <v>0</v>
      </c>
      <c r="AM61" s="260">
        <f t="shared" si="47"/>
        <v>0</v>
      </c>
      <c r="AN61" s="259">
        <f t="shared" si="48"/>
        <v>0</v>
      </c>
      <c r="AO61" s="260">
        <f t="shared" si="49"/>
        <v>0</v>
      </c>
      <c r="AP61" s="260">
        <f t="shared" si="50"/>
        <v>40</v>
      </c>
      <c r="AQ61" s="259">
        <f t="shared" si="51"/>
        <v>0</v>
      </c>
      <c r="AR61" s="260">
        <f t="shared" si="52"/>
        <v>0</v>
      </c>
      <c r="AS61" s="260">
        <f t="shared" si="53"/>
        <v>40</v>
      </c>
    </row>
    <row r="62" spans="1:45" hidden="1" x14ac:dyDescent="0.25">
      <c r="A62" s="227">
        <v>13</v>
      </c>
      <c r="B62" s="284" t="s">
        <v>838</v>
      </c>
      <c r="C62" s="266" t="s">
        <v>837</v>
      </c>
      <c r="D62" s="263">
        <v>210</v>
      </c>
      <c r="E62" s="264">
        <v>210</v>
      </c>
      <c r="F62" s="264">
        <v>195</v>
      </c>
      <c r="G62" s="265"/>
      <c r="H62" s="266" t="s">
        <v>961</v>
      </c>
      <c r="I62" s="266" t="s">
        <v>930</v>
      </c>
      <c r="J62" s="268">
        <v>0</v>
      </c>
      <c r="K62" s="269">
        <v>60</v>
      </c>
      <c r="L62" s="269">
        <v>0</v>
      </c>
      <c r="M62" s="268">
        <v>0</v>
      </c>
      <c r="N62" s="269">
        <v>60</v>
      </c>
      <c r="O62" s="269">
        <v>60</v>
      </c>
      <c r="P62" s="268">
        <v>0</v>
      </c>
      <c r="Q62" s="269">
        <v>0</v>
      </c>
      <c r="R62" s="269">
        <v>0</v>
      </c>
      <c r="S62" s="268">
        <v>0</v>
      </c>
      <c r="T62" s="269">
        <v>0</v>
      </c>
      <c r="U62" s="269">
        <v>0</v>
      </c>
      <c r="V62" s="270">
        <v>0</v>
      </c>
      <c r="W62" s="269">
        <v>0</v>
      </c>
      <c r="X62" s="269">
        <v>0</v>
      </c>
      <c r="Y62" s="268">
        <v>0</v>
      </c>
      <c r="Z62" s="269">
        <v>0</v>
      </c>
      <c r="AA62" s="269">
        <v>0</v>
      </c>
      <c r="AB62" s="268">
        <v>0</v>
      </c>
      <c r="AC62" s="269">
        <v>0</v>
      </c>
      <c r="AD62" s="269">
        <v>0</v>
      </c>
      <c r="AE62" s="268">
        <v>0</v>
      </c>
      <c r="AF62" s="269">
        <v>0</v>
      </c>
      <c r="AG62" s="269">
        <v>0</v>
      </c>
      <c r="AH62" s="270">
        <f t="shared" si="42"/>
        <v>0</v>
      </c>
      <c r="AI62" s="269">
        <f t="shared" si="43"/>
        <v>60</v>
      </c>
      <c r="AJ62" s="269">
        <f t="shared" si="44"/>
        <v>0</v>
      </c>
      <c r="AK62" s="268">
        <f t="shared" si="45"/>
        <v>0</v>
      </c>
      <c r="AL62" s="269">
        <f t="shared" si="46"/>
        <v>60</v>
      </c>
      <c r="AM62" s="269">
        <f t="shared" si="47"/>
        <v>60</v>
      </c>
      <c r="AN62" s="268">
        <f t="shared" si="48"/>
        <v>0</v>
      </c>
      <c r="AO62" s="269">
        <f t="shared" si="49"/>
        <v>0</v>
      </c>
      <c r="AP62" s="269">
        <f t="shared" si="50"/>
        <v>0</v>
      </c>
      <c r="AQ62" s="268">
        <f t="shared" si="51"/>
        <v>0</v>
      </c>
      <c r="AR62" s="269">
        <f t="shared" si="52"/>
        <v>0</v>
      </c>
      <c r="AS62" s="269">
        <f t="shared" si="53"/>
        <v>0</v>
      </c>
    </row>
    <row r="63" spans="1:45" hidden="1" x14ac:dyDescent="0.25">
      <c r="A63" s="227">
        <v>14</v>
      </c>
      <c r="B63" s="283" t="s">
        <v>838</v>
      </c>
      <c r="C63" s="254" t="s">
        <v>840</v>
      </c>
      <c r="D63" s="255">
        <v>190</v>
      </c>
      <c r="E63" s="256">
        <v>240</v>
      </c>
      <c r="F63" s="256">
        <v>240</v>
      </c>
      <c r="G63" s="257"/>
      <c r="H63" s="254" t="s">
        <v>948</v>
      </c>
      <c r="I63" s="254" t="s">
        <v>949</v>
      </c>
      <c r="J63" s="259">
        <v>0</v>
      </c>
      <c r="K63" s="260">
        <v>0</v>
      </c>
      <c r="L63" s="260">
        <v>0</v>
      </c>
      <c r="M63" s="259">
        <v>0</v>
      </c>
      <c r="N63" s="260">
        <v>0</v>
      </c>
      <c r="O63" s="260">
        <v>0</v>
      </c>
      <c r="P63" s="259">
        <v>0</v>
      </c>
      <c r="Q63" s="260">
        <v>0</v>
      </c>
      <c r="R63" s="260">
        <v>0</v>
      </c>
      <c r="S63" s="259">
        <v>0</v>
      </c>
      <c r="T63" s="260">
        <v>0</v>
      </c>
      <c r="U63" s="260">
        <v>0</v>
      </c>
      <c r="V63" s="261">
        <v>0</v>
      </c>
      <c r="W63" s="260">
        <v>0</v>
      </c>
      <c r="X63" s="260">
        <v>0</v>
      </c>
      <c r="Y63" s="259">
        <v>0</v>
      </c>
      <c r="Z63" s="260">
        <v>0</v>
      </c>
      <c r="AA63" s="260">
        <v>0</v>
      </c>
      <c r="AB63" s="259">
        <v>0</v>
      </c>
      <c r="AC63" s="260">
        <v>0</v>
      </c>
      <c r="AD63" s="260">
        <v>0</v>
      </c>
      <c r="AE63" s="259">
        <v>0</v>
      </c>
      <c r="AF63" s="260">
        <v>0</v>
      </c>
      <c r="AG63" s="260">
        <v>0</v>
      </c>
      <c r="AH63" s="261">
        <f t="shared" si="42"/>
        <v>0</v>
      </c>
      <c r="AI63" s="260">
        <f t="shared" si="43"/>
        <v>0</v>
      </c>
      <c r="AJ63" s="260">
        <f t="shared" si="44"/>
        <v>0</v>
      </c>
      <c r="AK63" s="259">
        <f t="shared" si="45"/>
        <v>0</v>
      </c>
      <c r="AL63" s="260">
        <f t="shared" si="46"/>
        <v>0</v>
      </c>
      <c r="AM63" s="260">
        <f t="shared" si="47"/>
        <v>0</v>
      </c>
      <c r="AN63" s="259">
        <f t="shared" si="48"/>
        <v>0</v>
      </c>
      <c r="AO63" s="260">
        <f t="shared" si="49"/>
        <v>0</v>
      </c>
      <c r="AP63" s="260">
        <f t="shared" si="50"/>
        <v>0</v>
      </c>
      <c r="AQ63" s="259">
        <f t="shared" si="51"/>
        <v>0</v>
      </c>
      <c r="AR63" s="260">
        <f t="shared" si="52"/>
        <v>0</v>
      </c>
      <c r="AS63" s="260">
        <f t="shared" si="53"/>
        <v>0</v>
      </c>
    </row>
    <row r="64" spans="1:45" hidden="1" x14ac:dyDescent="0.25">
      <c r="A64" s="227">
        <v>15</v>
      </c>
      <c r="B64" s="284" t="s">
        <v>820</v>
      </c>
      <c r="C64" s="266" t="s">
        <v>841</v>
      </c>
      <c r="D64" s="263">
        <v>314</v>
      </c>
      <c r="E64" s="264">
        <v>285</v>
      </c>
      <c r="F64" s="264">
        <v>314</v>
      </c>
      <c r="G64" s="265"/>
      <c r="H64" s="266" t="s">
        <v>931</v>
      </c>
      <c r="I64" s="266" t="s">
        <v>932</v>
      </c>
      <c r="J64" s="268">
        <v>0</v>
      </c>
      <c r="K64" s="269">
        <v>0</v>
      </c>
      <c r="L64" s="269">
        <v>75</v>
      </c>
      <c r="M64" s="268">
        <v>75</v>
      </c>
      <c r="N64" s="269">
        <v>0</v>
      </c>
      <c r="O64" s="269">
        <v>75</v>
      </c>
      <c r="P64" s="268">
        <v>0</v>
      </c>
      <c r="Q64" s="269">
        <v>0</v>
      </c>
      <c r="R64" s="269">
        <v>0</v>
      </c>
      <c r="S64" s="268">
        <v>0</v>
      </c>
      <c r="T64" s="269">
        <v>0</v>
      </c>
      <c r="U64" s="269">
        <v>0</v>
      </c>
      <c r="V64" s="270">
        <v>0</v>
      </c>
      <c r="W64" s="269">
        <v>0</v>
      </c>
      <c r="X64" s="269">
        <v>0</v>
      </c>
      <c r="Y64" s="268">
        <v>0</v>
      </c>
      <c r="Z64" s="269">
        <v>0</v>
      </c>
      <c r="AA64" s="269">
        <v>0</v>
      </c>
      <c r="AB64" s="268">
        <v>0</v>
      </c>
      <c r="AC64" s="269">
        <v>0</v>
      </c>
      <c r="AD64" s="269">
        <v>0</v>
      </c>
      <c r="AE64" s="268">
        <v>0</v>
      </c>
      <c r="AF64" s="269">
        <v>0</v>
      </c>
      <c r="AG64" s="269">
        <v>0</v>
      </c>
      <c r="AH64" s="270">
        <f t="shared" si="42"/>
        <v>0</v>
      </c>
      <c r="AI64" s="269">
        <f t="shared" si="43"/>
        <v>0</v>
      </c>
      <c r="AJ64" s="269">
        <f t="shared" si="44"/>
        <v>75</v>
      </c>
      <c r="AK64" s="268">
        <f t="shared" si="45"/>
        <v>75</v>
      </c>
      <c r="AL64" s="269">
        <f t="shared" si="46"/>
        <v>0</v>
      </c>
      <c r="AM64" s="269">
        <f t="shared" si="47"/>
        <v>75</v>
      </c>
      <c r="AN64" s="268">
        <f t="shared" si="48"/>
        <v>0</v>
      </c>
      <c r="AO64" s="269">
        <f t="shared" si="49"/>
        <v>0</v>
      </c>
      <c r="AP64" s="269">
        <f t="shared" si="50"/>
        <v>0</v>
      </c>
      <c r="AQ64" s="268">
        <f t="shared" si="51"/>
        <v>0</v>
      </c>
      <c r="AR64" s="269">
        <f t="shared" si="52"/>
        <v>0</v>
      </c>
      <c r="AS64" s="269">
        <f t="shared" si="53"/>
        <v>0</v>
      </c>
    </row>
    <row r="65" spans="1:45" hidden="1" x14ac:dyDescent="0.25">
      <c r="A65" s="227">
        <v>16</v>
      </c>
      <c r="B65" s="283" t="s">
        <v>820</v>
      </c>
      <c r="C65" s="254" t="s">
        <v>842</v>
      </c>
      <c r="D65" s="255">
        <v>311</v>
      </c>
      <c r="E65" s="256">
        <v>311</v>
      </c>
      <c r="F65" s="256">
        <v>300</v>
      </c>
      <c r="G65" s="257"/>
      <c r="H65" s="273" t="s">
        <v>933</v>
      </c>
      <c r="I65" s="254" t="s">
        <v>934</v>
      </c>
      <c r="J65" s="259">
        <v>0</v>
      </c>
      <c r="K65" s="260">
        <v>0</v>
      </c>
      <c r="L65" s="260">
        <v>80</v>
      </c>
      <c r="M65" s="259">
        <v>0</v>
      </c>
      <c r="N65" s="260">
        <v>0</v>
      </c>
      <c r="O65" s="260">
        <v>80</v>
      </c>
      <c r="P65" s="259">
        <v>0</v>
      </c>
      <c r="Q65" s="260">
        <v>0</v>
      </c>
      <c r="R65" s="260">
        <v>0</v>
      </c>
      <c r="S65" s="259">
        <v>0</v>
      </c>
      <c r="T65" s="260">
        <v>0</v>
      </c>
      <c r="U65" s="260">
        <v>0</v>
      </c>
      <c r="V65" s="261">
        <v>0</v>
      </c>
      <c r="W65" s="260">
        <v>0</v>
      </c>
      <c r="X65" s="260">
        <v>0</v>
      </c>
      <c r="Y65" s="259">
        <v>0</v>
      </c>
      <c r="Z65" s="260">
        <v>0</v>
      </c>
      <c r="AA65" s="260">
        <v>0</v>
      </c>
      <c r="AB65" s="259">
        <v>0</v>
      </c>
      <c r="AC65" s="260">
        <v>0</v>
      </c>
      <c r="AD65" s="260">
        <v>0</v>
      </c>
      <c r="AE65" s="259">
        <v>0</v>
      </c>
      <c r="AF65" s="260">
        <v>0</v>
      </c>
      <c r="AG65" s="260">
        <v>0</v>
      </c>
      <c r="AH65" s="261">
        <f t="shared" si="42"/>
        <v>0</v>
      </c>
      <c r="AI65" s="260">
        <f t="shared" si="43"/>
        <v>0</v>
      </c>
      <c r="AJ65" s="260">
        <f t="shared" si="44"/>
        <v>80</v>
      </c>
      <c r="AK65" s="259">
        <f t="shared" si="45"/>
        <v>0</v>
      </c>
      <c r="AL65" s="260">
        <f t="shared" si="46"/>
        <v>0</v>
      </c>
      <c r="AM65" s="260">
        <f t="shared" si="47"/>
        <v>80</v>
      </c>
      <c r="AN65" s="259">
        <f t="shared" si="48"/>
        <v>0</v>
      </c>
      <c r="AO65" s="260">
        <f t="shared" si="49"/>
        <v>0</v>
      </c>
      <c r="AP65" s="260">
        <f t="shared" si="50"/>
        <v>0</v>
      </c>
      <c r="AQ65" s="259">
        <f t="shared" si="51"/>
        <v>0</v>
      </c>
      <c r="AR65" s="260">
        <f t="shared" si="52"/>
        <v>0</v>
      </c>
      <c r="AS65" s="260">
        <f t="shared" si="53"/>
        <v>0</v>
      </c>
    </row>
    <row r="66" spans="1:45" hidden="1" x14ac:dyDescent="0.25">
      <c r="A66" s="227">
        <v>17</v>
      </c>
      <c r="B66" s="283"/>
      <c r="C66" s="254"/>
      <c r="D66" s="255"/>
      <c r="E66" s="256"/>
      <c r="F66" s="256"/>
      <c r="G66" s="257"/>
      <c r="J66" s="259"/>
      <c r="K66" s="260"/>
      <c r="L66" s="260"/>
      <c r="M66" s="259"/>
      <c r="N66" s="260"/>
      <c r="O66" s="260"/>
      <c r="P66" s="259"/>
      <c r="Q66" s="260"/>
      <c r="R66" s="260"/>
      <c r="S66" s="259"/>
      <c r="T66" s="260"/>
      <c r="U66" s="260"/>
      <c r="V66" s="261"/>
      <c r="W66" s="260"/>
      <c r="X66" s="260"/>
      <c r="Y66" s="259"/>
      <c r="Z66" s="260"/>
      <c r="AA66" s="260"/>
      <c r="AB66" s="259"/>
      <c r="AC66" s="260"/>
      <c r="AD66" s="260"/>
      <c r="AE66" s="259"/>
      <c r="AF66" s="260"/>
      <c r="AG66" s="260"/>
      <c r="AH66" s="261">
        <f t="shared" ref="AH66:AH67" si="54">J66+V66</f>
        <v>0</v>
      </c>
      <c r="AI66" s="260">
        <f t="shared" ref="AI66:AI67" si="55">K66+W66</f>
        <v>0</v>
      </c>
      <c r="AJ66" s="260">
        <f t="shared" ref="AJ66:AJ67" si="56">L66+X66</f>
        <v>0</v>
      </c>
      <c r="AK66" s="259">
        <f t="shared" ref="AK66:AK67" si="57">M66+Y66</f>
        <v>0</v>
      </c>
      <c r="AL66" s="260">
        <f t="shared" ref="AL66:AL67" si="58">N66+Z66</f>
        <v>0</v>
      </c>
      <c r="AM66" s="260">
        <f t="shared" ref="AM66:AM67" si="59">O66+AA66</f>
        <v>0</v>
      </c>
      <c r="AN66" s="259">
        <f t="shared" ref="AN66:AN67" si="60">P66+AB66</f>
        <v>0</v>
      </c>
      <c r="AO66" s="260">
        <f t="shared" ref="AO66:AO67" si="61">Q66+AC66</f>
        <v>0</v>
      </c>
      <c r="AP66" s="260">
        <f t="shared" ref="AP66:AP67" si="62">R66+AD66</f>
        <v>0</v>
      </c>
      <c r="AQ66" s="259">
        <f t="shared" ref="AQ66:AQ67" si="63">S66+AE66</f>
        <v>0</v>
      </c>
      <c r="AR66" s="260">
        <f t="shared" ref="AR66:AR67" si="64">T66+AF66</f>
        <v>0</v>
      </c>
      <c r="AS66" s="260">
        <f t="shared" ref="AS66:AS67" si="65">U66+AG66</f>
        <v>0</v>
      </c>
    </row>
    <row r="67" spans="1:45" hidden="1" x14ac:dyDescent="0.25">
      <c r="A67" s="227">
        <v>18</v>
      </c>
      <c r="C67" s="288"/>
      <c r="D67" s="289"/>
      <c r="E67" s="290"/>
      <c r="F67" s="290"/>
      <c r="G67" s="291"/>
      <c r="J67" s="237"/>
      <c r="K67" s="293"/>
      <c r="L67" s="293"/>
      <c r="M67" s="237"/>
      <c r="N67" s="293"/>
      <c r="O67" s="293"/>
      <c r="P67" s="237"/>
      <c r="Q67" s="293"/>
      <c r="R67" s="293"/>
      <c r="S67" s="237"/>
      <c r="T67" s="293"/>
      <c r="U67" s="293"/>
      <c r="V67" s="295"/>
      <c r="W67" s="293"/>
      <c r="X67" s="293"/>
      <c r="Y67" s="237"/>
      <c r="Z67" s="293"/>
      <c r="AA67" s="293"/>
      <c r="AB67" s="237"/>
      <c r="AC67" s="293"/>
      <c r="AD67" s="293"/>
      <c r="AE67" s="237"/>
      <c r="AF67" s="293"/>
      <c r="AG67" s="293"/>
      <c r="AH67" s="295">
        <f t="shared" si="54"/>
        <v>0</v>
      </c>
      <c r="AI67" s="293">
        <f t="shared" si="55"/>
        <v>0</v>
      </c>
      <c r="AJ67" s="293">
        <f t="shared" si="56"/>
        <v>0</v>
      </c>
      <c r="AK67" s="237">
        <f t="shared" si="57"/>
        <v>0</v>
      </c>
      <c r="AL67" s="293">
        <f t="shared" si="58"/>
        <v>0</v>
      </c>
      <c r="AM67" s="293">
        <f t="shared" si="59"/>
        <v>0</v>
      </c>
      <c r="AN67" s="237">
        <f t="shared" si="60"/>
        <v>0</v>
      </c>
      <c r="AO67" s="293">
        <f t="shared" si="61"/>
        <v>0</v>
      </c>
      <c r="AP67" s="293">
        <f t="shared" si="62"/>
        <v>0</v>
      </c>
      <c r="AQ67" s="237">
        <f t="shared" si="63"/>
        <v>0</v>
      </c>
      <c r="AR67" s="293">
        <f t="shared" si="64"/>
        <v>0</v>
      </c>
      <c r="AS67" s="293">
        <f t="shared" si="65"/>
        <v>0</v>
      </c>
    </row>
  </sheetData>
  <mergeCells count="54">
    <mergeCell ref="AH47:AS47"/>
    <mergeCell ref="J48:L48"/>
    <mergeCell ref="M48:O48"/>
    <mergeCell ref="P48:R48"/>
    <mergeCell ref="S48:U48"/>
    <mergeCell ref="AK48:AM48"/>
    <mergeCell ref="AN48:AP48"/>
    <mergeCell ref="AQ48:AS48"/>
    <mergeCell ref="AH48:AJ48"/>
    <mergeCell ref="V48:X48"/>
    <mergeCell ref="Y48:AA48"/>
    <mergeCell ref="AB48:AD48"/>
    <mergeCell ref="AE48:AG48"/>
    <mergeCell ref="B48:C48"/>
    <mergeCell ref="D48:F48"/>
    <mergeCell ref="H48:I48"/>
    <mergeCell ref="X25:Z25"/>
    <mergeCell ref="K25:M25"/>
    <mergeCell ref="N25:P25"/>
    <mergeCell ref="Q25:S25"/>
    <mergeCell ref="T25:V25"/>
    <mergeCell ref="J47:U47"/>
    <mergeCell ref="V47:AG47"/>
    <mergeCell ref="B25:C25"/>
    <mergeCell ref="D25:F25"/>
    <mergeCell ref="H25:I25"/>
    <mergeCell ref="AJ24:AV24"/>
    <mergeCell ref="AN25:AP25"/>
    <mergeCell ref="AQ25:AS25"/>
    <mergeCell ref="AT25:AV25"/>
    <mergeCell ref="W24:AI24"/>
    <mergeCell ref="AA25:AC25"/>
    <mergeCell ref="AD25:AF25"/>
    <mergeCell ref="AG25:AI25"/>
    <mergeCell ref="AK25:AM25"/>
    <mergeCell ref="AJ1:AV1"/>
    <mergeCell ref="AN2:AP2"/>
    <mergeCell ref="AQ2:AS2"/>
    <mergeCell ref="AT2:AV2"/>
    <mergeCell ref="AK2:AM2"/>
    <mergeCell ref="J1:V1"/>
    <mergeCell ref="J24:V24"/>
    <mergeCell ref="D2:F2"/>
    <mergeCell ref="W1:AI1"/>
    <mergeCell ref="AG2:AI2"/>
    <mergeCell ref="AA2:AC2"/>
    <mergeCell ref="AD2:AF2"/>
    <mergeCell ref="X2:Z2"/>
    <mergeCell ref="B2:C2"/>
    <mergeCell ref="K2:M2"/>
    <mergeCell ref="N2:P2"/>
    <mergeCell ref="Q2:S2"/>
    <mergeCell ref="T2:V2"/>
    <mergeCell ref="H2:I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B866-483E-4CAE-8D1E-28D6CA75ABBA}">
  <dimension ref="A1:F74"/>
  <sheetViews>
    <sheetView showGridLines="0" topLeftCell="A36" zoomScale="85" zoomScaleNormal="85" workbookViewId="0">
      <selection activeCell="A75" sqref="A75"/>
    </sheetView>
  </sheetViews>
  <sheetFormatPr defaultRowHeight="15" x14ac:dyDescent="0.25"/>
  <cols>
    <col min="1" max="1" width="18.85546875" bestFit="1" customWidth="1"/>
    <col min="2" max="2" width="22.42578125" bestFit="1" customWidth="1"/>
    <col min="3" max="3" width="20.85546875" bestFit="1" customWidth="1"/>
    <col min="4" max="4" width="23.7109375" bestFit="1" customWidth="1"/>
    <col min="5" max="5" width="47.7109375" bestFit="1" customWidth="1"/>
    <col min="6" max="6" width="47" bestFit="1" customWidth="1"/>
  </cols>
  <sheetData>
    <row r="1" spans="1:6" ht="15.75" thickBot="1" x14ac:dyDescent="0.3">
      <c r="A1" s="101" t="s">
        <v>533</v>
      </c>
      <c r="B1" s="101" t="s">
        <v>534</v>
      </c>
      <c r="C1" s="101" t="s">
        <v>535</v>
      </c>
      <c r="D1" s="101" t="s">
        <v>536</v>
      </c>
      <c r="E1" s="188" t="s">
        <v>568</v>
      </c>
      <c r="F1" s="188" t="s">
        <v>569</v>
      </c>
    </row>
    <row r="2" spans="1:6" ht="15.75" thickTop="1" x14ac:dyDescent="0.25">
      <c r="A2" t="s">
        <v>528</v>
      </c>
      <c r="B2" t="s">
        <v>26</v>
      </c>
      <c r="C2" t="s">
        <v>181</v>
      </c>
      <c r="D2" t="s">
        <v>144</v>
      </c>
      <c r="E2" t="s">
        <v>567</v>
      </c>
      <c r="F2" t="s">
        <v>570</v>
      </c>
    </row>
    <row r="3" spans="1:6" x14ac:dyDescent="0.25">
      <c r="A3" t="s">
        <v>117</v>
      </c>
      <c r="B3" t="s">
        <v>125</v>
      </c>
      <c r="C3" t="s">
        <v>95</v>
      </c>
      <c r="D3" t="s">
        <v>508</v>
      </c>
      <c r="E3" t="s">
        <v>571</v>
      </c>
      <c r="F3" t="s">
        <v>572</v>
      </c>
    </row>
    <row r="4" spans="1:6" x14ac:dyDescent="0.25">
      <c r="A4" t="s">
        <v>208</v>
      </c>
      <c r="B4" t="s">
        <v>206</v>
      </c>
      <c r="C4" t="s">
        <v>200</v>
      </c>
      <c r="D4" t="s">
        <v>118</v>
      </c>
      <c r="E4" t="s">
        <v>573</v>
      </c>
      <c r="F4" t="s">
        <v>574</v>
      </c>
    </row>
    <row r="5" spans="1:6" x14ac:dyDescent="0.25">
      <c r="A5" t="s">
        <v>130</v>
      </c>
      <c r="B5" t="s">
        <v>127</v>
      </c>
      <c r="C5" t="s">
        <v>125</v>
      </c>
      <c r="D5" t="s">
        <v>134</v>
      </c>
      <c r="E5" t="s">
        <v>573</v>
      </c>
      <c r="F5" t="s">
        <v>571</v>
      </c>
    </row>
    <row r="6" spans="1:6" x14ac:dyDescent="0.25">
      <c r="A6" t="s">
        <v>259</v>
      </c>
      <c r="B6" t="s">
        <v>200</v>
      </c>
      <c r="C6" t="s">
        <v>167</v>
      </c>
      <c r="D6" t="s">
        <v>161</v>
      </c>
      <c r="E6" t="s">
        <v>575</v>
      </c>
      <c r="F6" t="s">
        <v>576</v>
      </c>
    </row>
    <row r="7" spans="1:6" x14ac:dyDescent="0.25">
      <c r="A7" t="s">
        <v>326</v>
      </c>
      <c r="B7" t="s">
        <v>95</v>
      </c>
      <c r="C7" t="s">
        <v>117</v>
      </c>
      <c r="D7" t="s">
        <v>86</v>
      </c>
      <c r="E7" t="s">
        <v>577</v>
      </c>
      <c r="F7" t="s">
        <v>578</v>
      </c>
    </row>
    <row r="8" spans="1:6" x14ac:dyDescent="0.25">
      <c r="A8" t="s">
        <v>305</v>
      </c>
      <c r="B8" t="s">
        <v>530</v>
      </c>
      <c r="C8" t="s">
        <v>300</v>
      </c>
      <c r="D8" t="s">
        <v>531</v>
      </c>
      <c r="E8" t="s">
        <v>579</v>
      </c>
      <c r="F8" t="s">
        <v>580</v>
      </c>
    </row>
    <row r="9" spans="1:6" x14ac:dyDescent="0.25">
      <c r="A9" t="s">
        <v>112</v>
      </c>
      <c r="B9" t="s">
        <v>137</v>
      </c>
      <c r="C9" t="s">
        <v>159</v>
      </c>
      <c r="D9" t="s">
        <v>131</v>
      </c>
      <c r="E9" t="s">
        <v>581</v>
      </c>
      <c r="F9" t="s">
        <v>570</v>
      </c>
    </row>
    <row r="10" spans="1:6" x14ac:dyDescent="0.25">
      <c r="A10" t="s">
        <v>209</v>
      </c>
      <c r="B10" t="s">
        <v>302</v>
      </c>
      <c r="C10" t="s">
        <v>513</v>
      </c>
      <c r="D10" t="s">
        <v>92</v>
      </c>
      <c r="E10" t="s">
        <v>582</v>
      </c>
      <c r="F10" t="s">
        <v>583</v>
      </c>
    </row>
    <row r="11" spans="1:6" x14ac:dyDescent="0.25">
      <c r="A11" t="s">
        <v>530</v>
      </c>
      <c r="B11" t="s">
        <v>21</v>
      </c>
      <c r="C11" t="s">
        <v>123</v>
      </c>
      <c r="D11" t="s">
        <v>187</v>
      </c>
      <c r="E11" t="s">
        <v>570</v>
      </c>
      <c r="F11" t="s">
        <v>584</v>
      </c>
    </row>
    <row r="12" spans="1:6" x14ac:dyDescent="0.25">
      <c r="A12" t="s">
        <v>92</v>
      </c>
      <c r="B12" t="s">
        <v>156</v>
      </c>
      <c r="C12" t="s">
        <v>311</v>
      </c>
      <c r="D12" t="s">
        <v>162</v>
      </c>
      <c r="E12" t="s">
        <v>585</v>
      </c>
      <c r="F12" t="s">
        <v>571</v>
      </c>
    </row>
    <row r="13" spans="1:6" x14ac:dyDescent="0.25">
      <c r="A13" t="s">
        <v>116</v>
      </c>
      <c r="B13" t="s">
        <v>529</v>
      </c>
      <c r="C13" t="s">
        <v>161</v>
      </c>
      <c r="D13" t="s">
        <v>509</v>
      </c>
      <c r="E13" t="s">
        <v>573</v>
      </c>
      <c r="F13" t="s">
        <v>574</v>
      </c>
    </row>
    <row r="14" spans="1:6" x14ac:dyDescent="0.25">
      <c r="A14" t="s">
        <v>514</v>
      </c>
      <c r="B14" t="s">
        <v>515</v>
      </c>
      <c r="C14" t="s">
        <v>38</v>
      </c>
      <c r="D14" t="s">
        <v>179</v>
      </c>
      <c r="E14" t="s">
        <v>586</v>
      </c>
      <c r="F14" t="s">
        <v>587</v>
      </c>
    </row>
    <row r="15" spans="1:6" x14ac:dyDescent="0.25">
      <c r="A15" t="s">
        <v>174</v>
      </c>
      <c r="B15" t="s">
        <v>180</v>
      </c>
      <c r="C15" t="s">
        <v>142</v>
      </c>
      <c r="D15" t="s">
        <v>39</v>
      </c>
      <c r="E15" t="s">
        <v>588</v>
      </c>
      <c r="F15" t="s">
        <v>589</v>
      </c>
    </row>
    <row r="16" spans="1:6" x14ac:dyDescent="0.25">
      <c r="A16" t="s">
        <v>113</v>
      </c>
      <c r="B16" t="s">
        <v>513</v>
      </c>
      <c r="C16" t="s">
        <v>525</v>
      </c>
      <c r="D16" t="s">
        <v>139</v>
      </c>
      <c r="E16" t="s">
        <v>590</v>
      </c>
      <c r="F16" t="s">
        <v>591</v>
      </c>
    </row>
    <row r="17" spans="1:6" x14ac:dyDescent="0.25">
      <c r="A17" t="s">
        <v>206</v>
      </c>
      <c r="B17" t="s">
        <v>208</v>
      </c>
      <c r="C17" t="s">
        <v>105</v>
      </c>
      <c r="D17" t="s">
        <v>121</v>
      </c>
      <c r="E17" t="s">
        <v>592</v>
      </c>
      <c r="F17" t="s">
        <v>581</v>
      </c>
    </row>
    <row r="18" spans="1:6" x14ac:dyDescent="0.25">
      <c r="A18" t="s">
        <v>502</v>
      </c>
      <c r="B18" t="s">
        <v>11</v>
      </c>
      <c r="C18" t="s">
        <v>532</v>
      </c>
      <c r="D18" t="s">
        <v>501</v>
      </c>
      <c r="E18" t="s">
        <v>594</v>
      </c>
      <c r="F18" t="s">
        <v>583</v>
      </c>
    </row>
    <row r="19" spans="1:6" x14ac:dyDescent="0.25">
      <c r="A19" t="s">
        <v>118</v>
      </c>
      <c r="B19" t="s">
        <v>24</v>
      </c>
      <c r="C19" t="s">
        <v>177</v>
      </c>
      <c r="D19" t="s">
        <v>121</v>
      </c>
      <c r="E19" t="s">
        <v>593</v>
      </c>
      <c r="F19" t="s">
        <v>574</v>
      </c>
    </row>
    <row r="20" spans="1:6" x14ac:dyDescent="0.25">
      <c r="A20" t="s">
        <v>198</v>
      </c>
      <c r="B20" t="s">
        <v>297</v>
      </c>
      <c r="C20" t="s">
        <v>181</v>
      </c>
      <c r="D20" t="s">
        <v>519</v>
      </c>
      <c r="E20" t="s">
        <v>595</v>
      </c>
      <c r="F20" t="s">
        <v>596</v>
      </c>
    </row>
    <row r="21" spans="1:6" x14ac:dyDescent="0.25">
      <c r="A21" t="s">
        <v>492</v>
      </c>
      <c r="B21" t="s">
        <v>314</v>
      </c>
      <c r="C21" t="s">
        <v>303</v>
      </c>
      <c r="D21" t="s">
        <v>192</v>
      </c>
      <c r="E21" t="s">
        <v>577</v>
      </c>
      <c r="F21" t="s">
        <v>597</v>
      </c>
    </row>
    <row r="22" spans="1:6" x14ac:dyDescent="0.25">
      <c r="A22" t="s">
        <v>516</v>
      </c>
      <c r="B22" t="s">
        <v>128</v>
      </c>
      <c r="C22" t="s">
        <v>517</v>
      </c>
      <c r="D22" t="s">
        <v>518</v>
      </c>
      <c r="E22" t="s">
        <v>598</v>
      </c>
      <c r="F22" t="s">
        <v>573</v>
      </c>
    </row>
    <row r="23" spans="1:6" x14ac:dyDescent="0.25">
      <c r="A23" t="s">
        <v>509</v>
      </c>
      <c r="B23" t="s">
        <v>510</v>
      </c>
      <c r="C23" t="s">
        <v>199</v>
      </c>
      <c r="D23" t="s">
        <v>490</v>
      </c>
      <c r="E23" t="s">
        <v>599</v>
      </c>
      <c r="F23" t="s">
        <v>600</v>
      </c>
    </row>
    <row r="24" spans="1:6" x14ac:dyDescent="0.25">
      <c r="A24" t="s">
        <v>85</v>
      </c>
      <c r="B24" t="s">
        <v>82</v>
      </c>
      <c r="C24" t="s">
        <v>104</v>
      </c>
      <c r="D24" t="s">
        <v>97</v>
      </c>
      <c r="E24" t="s">
        <v>579</v>
      </c>
      <c r="F24" t="s">
        <v>601</v>
      </c>
    </row>
    <row r="25" spans="1:6" x14ac:dyDescent="0.25">
      <c r="A25" t="s">
        <v>111</v>
      </c>
      <c r="B25" t="s">
        <v>166</v>
      </c>
      <c r="C25" t="s">
        <v>108</v>
      </c>
      <c r="D25" t="s">
        <v>148</v>
      </c>
      <c r="E25" t="s">
        <v>573</v>
      </c>
      <c r="F25" t="s">
        <v>602</v>
      </c>
    </row>
    <row r="26" spans="1:6" x14ac:dyDescent="0.25">
      <c r="A26" t="s">
        <v>143</v>
      </c>
      <c r="B26" t="s">
        <v>511</v>
      </c>
      <c r="C26" t="s">
        <v>119</v>
      </c>
      <c r="D26" t="s">
        <v>11</v>
      </c>
      <c r="E26" t="s">
        <v>603</v>
      </c>
      <c r="F26" t="s">
        <v>604</v>
      </c>
    </row>
    <row r="27" spans="1:6" x14ac:dyDescent="0.25">
      <c r="A27" t="s">
        <v>500</v>
      </c>
      <c r="B27" t="s">
        <v>306</v>
      </c>
      <c r="C27" t="s">
        <v>303</v>
      </c>
      <c r="D27" t="s">
        <v>209</v>
      </c>
      <c r="E27" t="s">
        <v>605</v>
      </c>
      <c r="F27" t="s">
        <v>606</v>
      </c>
    </row>
    <row r="28" spans="1:6" x14ac:dyDescent="0.25">
      <c r="A28" t="s">
        <v>172</v>
      </c>
      <c r="B28" t="s">
        <v>39</v>
      </c>
      <c r="C28" t="s">
        <v>167</v>
      </c>
      <c r="D28" t="s">
        <v>123</v>
      </c>
      <c r="E28" t="s">
        <v>607</v>
      </c>
      <c r="F28" t="s">
        <v>594</v>
      </c>
    </row>
    <row r="29" spans="1:6" x14ac:dyDescent="0.25">
      <c r="A29" t="s">
        <v>180</v>
      </c>
      <c r="B29" t="s">
        <v>174</v>
      </c>
      <c r="C29" t="s">
        <v>155</v>
      </c>
      <c r="D29" t="s">
        <v>41</v>
      </c>
      <c r="E29" t="s">
        <v>608</v>
      </c>
      <c r="F29" t="s">
        <v>609</v>
      </c>
    </row>
    <row r="30" spans="1:6" x14ac:dyDescent="0.25">
      <c r="A30" t="s">
        <v>144</v>
      </c>
      <c r="B30" t="s">
        <v>127</v>
      </c>
      <c r="C30" t="s">
        <v>163</v>
      </c>
      <c r="D30" t="s">
        <v>130</v>
      </c>
      <c r="E30" t="s">
        <v>610</v>
      </c>
      <c r="F30" t="s">
        <v>570</v>
      </c>
    </row>
    <row r="31" spans="1:6" x14ac:dyDescent="0.25">
      <c r="A31" t="s">
        <v>87</v>
      </c>
      <c r="B31" t="s">
        <v>566</v>
      </c>
      <c r="C31" t="s">
        <v>294</v>
      </c>
      <c r="D31" t="s">
        <v>83</v>
      </c>
      <c r="E31" t="s">
        <v>579</v>
      </c>
      <c r="F31" t="s">
        <v>611</v>
      </c>
    </row>
    <row r="32" spans="1:6" x14ac:dyDescent="0.25">
      <c r="A32" t="s">
        <v>173</v>
      </c>
      <c r="B32" t="s">
        <v>147</v>
      </c>
      <c r="C32" t="s">
        <v>94</v>
      </c>
      <c r="D32" t="s">
        <v>103</v>
      </c>
      <c r="E32" t="s">
        <v>612</v>
      </c>
      <c r="F32" t="s">
        <v>613</v>
      </c>
    </row>
    <row r="33" spans="1:6" x14ac:dyDescent="0.25">
      <c r="A33" t="s">
        <v>506</v>
      </c>
      <c r="B33" t="s">
        <v>117</v>
      </c>
      <c r="C33" t="s">
        <v>106</v>
      </c>
      <c r="D33" t="s">
        <v>507</v>
      </c>
      <c r="E33" t="s">
        <v>581</v>
      </c>
      <c r="F33" t="s">
        <v>614</v>
      </c>
    </row>
    <row r="34" spans="1:6" x14ac:dyDescent="0.25">
      <c r="A34" t="s">
        <v>82</v>
      </c>
      <c r="B34" t="s">
        <v>85</v>
      </c>
      <c r="C34" t="s">
        <v>91</v>
      </c>
      <c r="D34" t="s">
        <v>128</v>
      </c>
      <c r="E34" t="s">
        <v>615</v>
      </c>
      <c r="F34" t="s">
        <v>570</v>
      </c>
    </row>
    <row r="35" spans="1:6" x14ac:dyDescent="0.25">
      <c r="A35" t="s">
        <v>139</v>
      </c>
      <c r="B35" t="s">
        <v>141</v>
      </c>
      <c r="C35" t="s">
        <v>9</v>
      </c>
      <c r="D35" t="s">
        <v>17</v>
      </c>
      <c r="E35" t="s">
        <v>604</v>
      </c>
      <c r="F35" t="s">
        <v>616</v>
      </c>
    </row>
    <row r="36" spans="1:6" x14ac:dyDescent="0.25">
      <c r="A36" t="s">
        <v>501</v>
      </c>
      <c r="B36" t="s">
        <v>15</v>
      </c>
      <c r="C36" t="s">
        <v>119</v>
      </c>
      <c r="D36" t="s">
        <v>502</v>
      </c>
      <c r="E36" t="s">
        <v>577</v>
      </c>
      <c r="F36" t="s">
        <v>617</v>
      </c>
    </row>
    <row r="37" spans="1:6" x14ac:dyDescent="0.25">
      <c r="A37" t="s">
        <v>141</v>
      </c>
      <c r="B37" t="s">
        <v>139</v>
      </c>
      <c r="C37" t="s">
        <v>524</v>
      </c>
      <c r="D37" t="s">
        <v>525</v>
      </c>
      <c r="E37" t="s">
        <v>618</v>
      </c>
      <c r="F37" t="s">
        <v>570</v>
      </c>
    </row>
    <row r="38" spans="1:6" x14ac:dyDescent="0.25">
      <c r="A38" t="s">
        <v>171</v>
      </c>
      <c r="B38" t="s">
        <v>133</v>
      </c>
      <c r="C38" t="s">
        <v>120</v>
      </c>
      <c r="D38" t="s">
        <v>88</v>
      </c>
      <c r="E38" t="s">
        <v>619</v>
      </c>
      <c r="F38" t="s">
        <v>594</v>
      </c>
    </row>
    <row r="39" spans="1:6" x14ac:dyDescent="0.25">
      <c r="A39" t="s">
        <v>86</v>
      </c>
      <c r="B39" t="s">
        <v>507</v>
      </c>
      <c r="C39" t="s">
        <v>106</v>
      </c>
      <c r="D39" t="s">
        <v>154</v>
      </c>
      <c r="E39" t="s">
        <v>605</v>
      </c>
      <c r="F39" t="s">
        <v>599</v>
      </c>
    </row>
    <row r="40" spans="1:6" x14ac:dyDescent="0.25">
      <c r="A40" t="s">
        <v>512</v>
      </c>
      <c r="B40" t="s">
        <v>9</v>
      </c>
      <c r="C40" t="s">
        <v>513</v>
      </c>
      <c r="D40" t="s">
        <v>17</v>
      </c>
      <c r="E40" t="s">
        <v>577</v>
      </c>
      <c r="F40" t="s">
        <v>579</v>
      </c>
    </row>
    <row r="41" spans="1:6" x14ac:dyDescent="0.25">
      <c r="A41" t="s">
        <v>526</v>
      </c>
      <c r="B41" t="s">
        <v>37</v>
      </c>
      <c r="C41" t="s">
        <v>92</v>
      </c>
      <c r="D41" t="s">
        <v>118</v>
      </c>
      <c r="E41" t="s">
        <v>620</v>
      </c>
      <c r="F41" t="s">
        <v>621</v>
      </c>
    </row>
    <row r="42" spans="1:6" x14ac:dyDescent="0.25">
      <c r="A42" t="s">
        <v>527</v>
      </c>
      <c r="B42" t="s">
        <v>22</v>
      </c>
      <c r="C42" t="s">
        <v>179</v>
      </c>
      <c r="D42" t="s">
        <v>154</v>
      </c>
      <c r="E42" t="s">
        <v>613</v>
      </c>
      <c r="F42" t="s">
        <v>570</v>
      </c>
    </row>
    <row r="43" spans="1:6" x14ac:dyDescent="0.25">
      <c r="A43" t="s">
        <v>522</v>
      </c>
      <c r="B43" t="s">
        <v>14</v>
      </c>
      <c r="C43" t="s">
        <v>523</v>
      </c>
      <c r="D43" t="s">
        <v>97</v>
      </c>
      <c r="E43" t="s">
        <v>613</v>
      </c>
      <c r="F43" t="s">
        <v>607</v>
      </c>
    </row>
    <row r="44" spans="1:6" x14ac:dyDescent="0.25">
      <c r="A44" t="s">
        <v>88</v>
      </c>
      <c r="B44" t="s">
        <v>21</v>
      </c>
      <c r="C44" t="s">
        <v>98</v>
      </c>
      <c r="D44" t="s">
        <v>146</v>
      </c>
      <c r="E44" t="s">
        <v>585</v>
      </c>
      <c r="F44" t="s">
        <v>622</v>
      </c>
    </row>
    <row r="45" spans="1:6" x14ac:dyDescent="0.25">
      <c r="A45" t="s">
        <v>114</v>
      </c>
      <c r="B45" t="s">
        <v>520</v>
      </c>
      <c r="C45" t="s">
        <v>521</v>
      </c>
      <c r="D45" t="s">
        <v>136</v>
      </c>
      <c r="E45" t="s">
        <v>573</v>
      </c>
      <c r="F45" t="s">
        <v>623</v>
      </c>
    </row>
    <row r="46" spans="1:6" x14ac:dyDescent="0.25">
      <c r="A46" t="s">
        <v>84</v>
      </c>
      <c r="B46" t="s">
        <v>35</v>
      </c>
      <c r="C46" t="s">
        <v>103</v>
      </c>
      <c r="D46" t="s">
        <v>126</v>
      </c>
      <c r="E46" t="s">
        <v>624</v>
      </c>
      <c r="F46" t="s">
        <v>601</v>
      </c>
    </row>
    <row r="47" spans="1:6" x14ac:dyDescent="0.25">
      <c r="A47" t="s">
        <v>625</v>
      </c>
      <c r="B47" t="s">
        <v>627</v>
      </c>
      <c r="C47" t="s">
        <v>566</v>
      </c>
      <c r="D47" t="s">
        <v>83</v>
      </c>
      <c r="E47" t="s">
        <v>604</v>
      </c>
      <c r="F47" t="s">
        <v>626</v>
      </c>
    </row>
    <row r="48" spans="1:6" x14ac:dyDescent="0.25">
      <c r="A48" t="s">
        <v>628</v>
      </c>
      <c r="B48" t="s">
        <v>302</v>
      </c>
      <c r="C48" t="s">
        <v>512</v>
      </c>
      <c r="D48" t="s">
        <v>146</v>
      </c>
      <c r="E48" t="s">
        <v>581</v>
      </c>
      <c r="F48" t="s">
        <v>629</v>
      </c>
    </row>
    <row r="49" spans="1:6" x14ac:dyDescent="0.25">
      <c r="A49" t="s">
        <v>630</v>
      </c>
      <c r="B49" t="s">
        <v>521</v>
      </c>
      <c r="C49" t="s">
        <v>520</v>
      </c>
      <c r="D49" t="s">
        <v>114</v>
      </c>
      <c r="E49" t="s">
        <v>601</v>
      </c>
      <c r="F49" t="s">
        <v>633</v>
      </c>
    </row>
    <row r="50" spans="1:6" x14ac:dyDescent="0.25">
      <c r="A50" t="s">
        <v>631</v>
      </c>
      <c r="B50" t="s">
        <v>300</v>
      </c>
      <c r="C50" t="s">
        <v>632</v>
      </c>
      <c r="D50" t="s">
        <v>305</v>
      </c>
      <c r="E50" t="s">
        <v>604</v>
      </c>
      <c r="F50" t="s">
        <v>616</v>
      </c>
    </row>
    <row r="51" spans="1:6" x14ac:dyDescent="0.25">
      <c r="A51" t="s">
        <v>634</v>
      </c>
      <c r="B51" t="s">
        <v>640</v>
      </c>
      <c r="C51" t="s">
        <v>100</v>
      </c>
      <c r="D51" t="s">
        <v>334</v>
      </c>
      <c r="E51" t="s">
        <v>591</v>
      </c>
      <c r="F51" t="s">
        <v>641</v>
      </c>
    </row>
    <row r="52" spans="1:6" x14ac:dyDescent="0.25">
      <c r="A52" t="s">
        <v>648</v>
      </c>
      <c r="B52" t="s">
        <v>35</v>
      </c>
      <c r="C52" t="s">
        <v>94</v>
      </c>
      <c r="D52" t="s">
        <v>112</v>
      </c>
      <c r="E52" t="s">
        <v>585</v>
      </c>
      <c r="F52" t="s">
        <v>649</v>
      </c>
    </row>
    <row r="53" spans="1:6" x14ac:dyDescent="0.25">
      <c r="A53" t="s">
        <v>650</v>
      </c>
      <c r="B53" t="s">
        <v>131</v>
      </c>
      <c r="C53" t="s">
        <v>89</v>
      </c>
      <c r="D53" t="s">
        <v>84</v>
      </c>
      <c r="E53" t="s">
        <v>651</v>
      </c>
      <c r="F53" t="s">
        <v>652</v>
      </c>
    </row>
    <row r="54" spans="1:6" x14ac:dyDescent="0.25">
      <c r="A54" t="s">
        <v>653</v>
      </c>
      <c r="B54" t="s">
        <v>656</v>
      </c>
      <c r="C54" t="s">
        <v>157</v>
      </c>
      <c r="D54" t="s">
        <v>654</v>
      </c>
      <c r="E54" t="s">
        <v>586</v>
      </c>
      <c r="F54" t="s">
        <v>657</v>
      </c>
    </row>
    <row r="55" spans="1:6" x14ac:dyDescent="0.25">
      <c r="A55" t="s">
        <v>654</v>
      </c>
      <c r="B55" t="s">
        <v>659</v>
      </c>
      <c r="C55" t="s">
        <v>658</v>
      </c>
      <c r="D55" t="s">
        <v>653</v>
      </c>
      <c r="E55" t="s">
        <v>610</v>
      </c>
      <c r="F55" t="s">
        <v>655</v>
      </c>
    </row>
    <row r="56" spans="1:6" x14ac:dyDescent="0.25">
      <c r="A56" t="s">
        <v>665</v>
      </c>
      <c r="B56" t="s">
        <v>197</v>
      </c>
      <c r="C56" t="s">
        <v>161</v>
      </c>
      <c r="D56" t="s">
        <v>492</v>
      </c>
      <c r="E56" t="s">
        <v>582</v>
      </c>
      <c r="F56" t="s">
        <v>666</v>
      </c>
    </row>
    <row r="57" spans="1:6" x14ac:dyDescent="0.25">
      <c r="A57" t="s">
        <v>685</v>
      </c>
      <c r="B57" t="s">
        <v>95</v>
      </c>
      <c r="C57" t="s">
        <v>154</v>
      </c>
      <c r="D57" t="s">
        <v>527</v>
      </c>
      <c r="E57" t="s">
        <v>573</v>
      </c>
      <c r="F57" t="s">
        <v>641</v>
      </c>
    </row>
    <row r="58" spans="1:6" x14ac:dyDescent="0.25">
      <c r="A58" t="s">
        <v>688</v>
      </c>
      <c r="B58" t="s">
        <v>632</v>
      </c>
      <c r="C58" t="s">
        <v>125</v>
      </c>
      <c r="D58" t="s">
        <v>38</v>
      </c>
      <c r="E58" t="s">
        <v>579</v>
      </c>
      <c r="F58" t="s">
        <v>689</v>
      </c>
    </row>
    <row r="59" spans="1:6" x14ac:dyDescent="0.25">
      <c r="A59" t="s">
        <v>690</v>
      </c>
      <c r="B59" t="s">
        <v>691</v>
      </c>
      <c r="C59" t="s">
        <v>526</v>
      </c>
      <c r="D59" t="s">
        <v>634</v>
      </c>
      <c r="E59" t="s">
        <v>613</v>
      </c>
      <c r="F59" t="s">
        <v>692</v>
      </c>
    </row>
    <row r="60" spans="1:6" x14ac:dyDescent="0.25">
      <c r="A60" t="s">
        <v>745</v>
      </c>
      <c r="B60" t="s">
        <v>510</v>
      </c>
      <c r="C60" t="s">
        <v>123</v>
      </c>
      <c r="D60" t="s">
        <v>685</v>
      </c>
      <c r="E60" t="s">
        <v>604</v>
      </c>
      <c r="F60" t="s">
        <v>576</v>
      </c>
    </row>
    <row r="61" spans="1:6" x14ac:dyDescent="0.25">
      <c r="A61" t="s">
        <v>746</v>
      </c>
      <c r="B61" t="s">
        <v>507</v>
      </c>
      <c r="C61" t="s">
        <v>303</v>
      </c>
      <c r="D61" t="s">
        <v>326</v>
      </c>
      <c r="E61" t="s">
        <v>581</v>
      </c>
      <c r="F61" t="s">
        <v>747</v>
      </c>
    </row>
    <row r="62" spans="1:6" x14ac:dyDescent="0.25">
      <c r="A62" t="s">
        <v>799</v>
      </c>
      <c r="B62" t="s">
        <v>96</v>
      </c>
      <c r="C62" t="s">
        <v>294</v>
      </c>
      <c r="D62" t="s">
        <v>523</v>
      </c>
      <c r="E62" t="s">
        <v>613</v>
      </c>
      <c r="F62" t="s">
        <v>800</v>
      </c>
    </row>
    <row r="63" spans="1:6" x14ac:dyDescent="0.25">
      <c r="A63" t="s">
        <v>816</v>
      </c>
      <c r="B63" t="s">
        <v>119</v>
      </c>
      <c r="C63" t="s">
        <v>97</v>
      </c>
      <c r="D63" t="s">
        <v>815</v>
      </c>
      <c r="E63" t="s">
        <v>601</v>
      </c>
      <c r="F63" t="s">
        <v>649</v>
      </c>
    </row>
    <row r="64" spans="1:6" x14ac:dyDescent="0.25">
      <c r="A64" t="s">
        <v>815</v>
      </c>
      <c r="B64" t="s">
        <v>162</v>
      </c>
      <c r="C64" t="s">
        <v>631</v>
      </c>
      <c r="D64" t="s">
        <v>816</v>
      </c>
      <c r="E64" t="s">
        <v>817</v>
      </c>
      <c r="F64" t="s">
        <v>611</v>
      </c>
    </row>
    <row r="65" spans="1:6" x14ac:dyDescent="0.25">
      <c r="A65" t="s">
        <v>1118</v>
      </c>
      <c r="B65" t="s">
        <v>17</v>
      </c>
      <c r="C65" t="s">
        <v>509</v>
      </c>
      <c r="D65" t="s">
        <v>171</v>
      </c>
      <c r="E65" t="s">
        <v>581</v>
      </c>
      <c r="F65" t="s">
        <v>1119</v>
      </c>
    </row>
    <row r="66" spans="1:6" x14ac:dyDescent="0.25">
      <c r="A66" t="s">
        <v>1120</v>
      </c>
      <c r="B66" t="s">
        <v>107</v>
      </c>
      <c r="C66" t="s">
        <v>1121</v>
      </c>
      <c r="D66" t="s">
        <v>1122</v>
      </c>
      <c r="E66" t="s">
        <v>575</v>
      </c>
      <c r="F66" t="s">
        <v>1123</v>
      </c>
    </row>
    <row r="67" spans="1:6" x14ac:dyDescent="0.25">
      <c r="A67" t="s">
        <v>1124</v>
      </c>
      <c r="B67" t="s">
        <v>161</v>
      </c>
      <c r="C67" t="s">
        <v>111</v>
      </c>
      <c r="D67" t="s">
        <v>815</v>
      </c>
      <c r="E67" t="s">
        <v>575</v>
      </c>
      <c r="F67" t="s">
        <v>1125</v>
      </c>
    </row>
    <row r="68" spans="1:6" x14ac:dyDescent="0.25">
      <c r="A68" t="s">
        <v>1126</v>
      </c>
      <c r="B68" t="s">
        <v>1127</v>
      </c>
      <c r="C68" t="s">
        <v>512</v>
      </c>
      <c r="D68" t="s">
        <v>628</v>
      </c>
      <c r="E68" t="s">
        <v>582</v>
      </c>
      <c r="F68" t="s">
        <v>583</v>
      </c>
    </row>
    <row r="69" spans="1:6" x14ac:dyDescent="0.25">
      <c r="A69" t="s">
        <v>1128</v>
      </c>
      <c r="B69" t="s">
        <v>136</v>
      </c>
      <c r="C69" t="s">
        <v>1129</v>
      </c>
      <c r="D69" t="s">
        <v>984</v>
      </c>
      <c r="E69" t="s">
        <v>582</v>
      </c>
      <c r="F69" t="s">
        <v>1130</v>
      </c>
    </row>
    <row r="70" spans="1:6" x14ac:dyDescent="0.25">
      <c r="A70" t="s">
        <v>1142</v>
      </c>
      <c r="B70" t="s">
        <v>1143</v>
      </c>
      <c r="C70" t="s">
        <v>305</v>
      </c>
      <c r="D70" t="s">
        <v>746</v>
      </c>
      <c r="E70" t="s">
        <v>601</v>
      </c>
      <c r="F70" t="s">
        <v>633</v>
      </c>
    </row>
    <row r="71" spans="1:6" x14ac:dyDescent="0.25">
      <c r="A71" t="s">
        <v>1144</v>
      </c>
      <c r="B71" t="s">
        <v>162</v>
      </c>
      <c r="C71" t="s">
        <v>208</v>
      </c>
      <c r="D71" t="s">
        <v>1145</v>
      </c>
      <c r="E71" t="s">
        <v>593</v>
      </c>
      <c r="F71" t="s">
        <v>1146</v>
      </c>
    </row>
    <row r="72" spans="1:6" x14ac:dyDescent="0.25">
      <c r="A72" t="s">
        <v>1145</v>
      </c>
      <c r="B72" t="s">
        <v>190</v>
      </c>
      <c r="C72" t="s">
        <v>188</v>
      </c>
      <c r="D72" t="s">
        <v>1144</v>
      </c>
      <c r="E72" t="s">
        <v>591</v>
      </c>
      <c r="F72" t="s">
        <v>1147</v>
      </c>
    </row>
    <row r="73" spans="1:6" x14ac:dyDescent="0.25">
      <c r="A73" t="s">
        <v>1148</v>
      </c>
      <c r="B73" t="s">
        <v>101</v>
      </c>
      <c r="C73" t="s">
        <v>513</v>
      </c>
      <c r="D73" t="s">
        <v>259</v>
      </c>
      <c r="E73" t="s">
        <v>577</v>
      </c>
      <c r="F73" t="s">
        <v>1149</v>
      </c>
    </row>
    <row r="74" spans="1:6" x14ac:dyDescent="0.25">
      <c r="A74" t="s">
        <v>1153</v>
      </c>
      <c r="B74" t="s">
        <v>97</v>
      </c>
      <c r="C74" t="s">
        <v>88</v>
      </c>
      <c r="D74" t="s">
        <v>522</v>
      </c>
      <c r="E74" t="s">
        <v>604</v>
      </c>
      <c r="F74" t="s">
        <v>597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819D-FF1A-4EC6-93BB-1087C61B2512}">
  <dimension ref="A1:AS69"/>
  <sheetViews>
    <sheetView showGridLines="0" zoomScaleNormal="100" workbookViewId="0">
      <selection activeCell="BF15" sqref="BF15"/>
    </sheetView>
  </sheetViews>
  <sheetFormatPr defaultRowHeight="15" x14ac:dyDescent="0.25"/>
  <cols>
    <col min="1" max="1" width="17" style="3" bestFit="1" customWidth="1"/>
    <col min="2" max="2" width="22.42578125" style="3" bestFit="1" customWidth="1"/>
    <col min="3" max="3" width="8.42578125" style="3" bestFit="1" customWidth="1"/>
    <col min="4" max="4" width="3.140625" style="3" customWidth="1"/>
    <col min="5" max="5" width="23.5703125" style="3" bestFit="1" customWidth="1"/>
    <col min="6" max="6" width="9.140625" style="3"/>
    <col min="7" max="7" width="4" style="3" bestFit="1" customWidth="1"/>
    <col min="8" max="8" width="7.42578125" style="3" customWidth="1"/>
    <col min="9" max="9" width="4" style="3" bestFit="1" customWidth="1"/>
    <col min="10" max="10" width="7.42578125" style="3" customWidth="1"/>
    <col min="11" max="11" width="4" style="3" bestFit="1" customWidth="1"/>
    <col min="12" max="12" width="7.42578125" style="3" customWidth="1"/>
    <col min="13" max="13" width="4" style="3" bestFit="1" customWidth="1"/>
    <col min="14" max="14" width="7.42578125" style="3" customWidth="1"/>
    <col min="15" max="15" width="2.7109375" style="3" customWidth="1"/>
    <col min="16" max="16" width="5.85546875" style="3" bestFit="1" customWidth="1"/>
    <col min="17" max="17" width="10" style="9" bestFit="1" customWidth="1"/>
    <col min="18" max="18" width="2.140625" style="3" customWidth="1"/>
    <col min="19" max="19" width="11.140625" style="3" bestFit="1" customWidth="1"/>
    <col min="20" max="20" width="2.140625" style="3" customWidth="1"/>
    <col min="21" max="21" width="11.85546875" style="3" bestFit="1" customWidth="1"/>
    <col min="22" max="22" width="9.140625" style="3"/>
    <col min="23" max="23" width="2.140625" style="3" customWidth="1"/>
    <col min="24" max="25" width="9.140625" style="3"/>
    <col min="26" max="26" width="2" style="3" customWidth="1"/>
    <col min="27" max="27" width="7.7109375" style="3" bestFit="1" customWidth="1"/>
    <col min="28" max="29" width="6.42578125" style="3" bestFit="1" customWidth="1"/>
    <col min="30" max="30" width="7.42578125" style="3" bestFit="1" customWidth="1"/>
    <col min="31" max="31" width="5.7109375" style="3" bestFit="1" customWidth="1"/>
    <col min="32" max="32" width="3.28515625" style="3" customWidth="1"/>
    <col min="33" max="43" width="9.140625" style="3"/>
    <col min="44" max="44" width="10.42578125" style="3" bestFit="1" customWidth="1"/>
    <col min="45" max="45" width="9.28515625" style="3" bestFit="1" customWidth="1"/>
    <col min="46" max="16384" width="9.140625" style="3"/>
  </cols>
  <sheetData>
    <row r="1" spans="1:45" ht="15" customHeight="1" thickTop="1" thickBot="1" x14ac:dyDescent="0.3">
      <c r="A1" s="1" t="s">
        <v>219</v>
      </c>
      <c r="B1" s="2">
        <v>8.89</v>
      </c>
      <c r="F1" s="1" t="s">
        <v>270</v>
      </c>
      <c r="G1" s="661" t="s">
        <v>2</v>
      </c>
      <c r="H1" s="662"/>
      <c r="I1" s="661" t="s">
        <v>1</v>
      </c>
      <c r="J1" s="662"/>
      <c r="K1" s="661" t="s">
        <v>254</v>
      </c>
      <c r="L1" s="662"/>
      <c r="M1" s="661" t="s">
        <v>4</v>
      </c>
      <c r="N1" s="662"/>
      <c r="P1" s="661" t="s">
        <v>230</v>
      </c>
      <c r="Q1" s="662"/>
      <c r="S1" s="4" t="s">
        <v>278</v>
      </c>
      <c r="U1" s="4" t="s">
        <v>330</v>
      </c>
      <c r="V1" s="4" t="s">
        <v>204</v>
      </c>
      <c r="X1" s="661" t="s">
        <v>802</v>
      </c>
      <c r="Y1" s="662"/>
      <c r="AA1" s="664" t="s">
        <v>1114</v>
      </c>
      <c r="AB1" s="664"/>
      <c r="AC1" s="664"/>
      <c r="AD1" s="664"/>
      <c r="AE1" s="664"/>
      <c r="AG1" s="358" t="s">
        <v>1102</v>
      </c>
      <c r="AH1" s="359" t="s">
        <v>1103</v>
      </c>
      <c r="AI1" s="359" t="s">
        <v>201</v>
      </c>
      <c r="AJ1" s="359" t="s">
        <v>1115</v>
      </c>
      <c r="AK1" s="359" t="s">
        <v>202</v>
      </c>
      <c r="AL1" s="359" t="s">
        <v>1116</v>
      </c>
      <c r="AM1" s="359" t="s">
        <v>272</v>
      </c>
      <c r="AN1" s="359" t="s">
        <v>1117</v>
      </c>
      <c r="AO1" s="359" t="s">
        <v>1104</v>
      </c>
      <c r="AP1" s="359" t="s">
        <v>1105</v>
      </c>
      <c r="AQ1" s="359" t="s">
        <v>1106</v>
      </c>
      <c r="AR1" s="359" t="s">
        <v>1107</v>
      </c>
      <c r="AS1" s="360" t="s">
        <v>1108</v>
      </c>
    </row>
    <row r="2" spans="1:45" ht="15" customHeight="1" thickTop="1" thickBot="1" x14ac:dyDescent="0.3">
      <c r="A2" s="1" t="s">
        <v>220</v>
      </c>
      <c r="B2" s="2">
        <v>125</v>
      </c>
      <c r="G2" s="1" t="s">
        <v>237</v>
      </c>
      <c r="H2" s="5">
        <v>100</v>
      </c>
      <c r="I2" s="1" t="s">
        <v>237</v>
      </c>
      <c r="J2" s="5">
        <v>220</v>
      </c>
      <c r="K2" s="1" t="s">
        <v>237</v>
      </c>
      <c r="L2" s="5">
        <v>130</v>
      </c>
      <c r="M2" s="1" t="s">
        <v>237</v>
      </c>
      <c r="N2" s="5">
        <v>100</v>
      </c>
      <c r="P2" s="1" t="s">
        <v>695</v>
      </c>
      <c r="Q2" s="5">
        <v>1120000</v>
      </c>
      <c r="S2" s="6">
        <v>50</v>
      </c>
      <c r="U2" s="6">
        <v>0</v>
      </c>
      <c r="V2" s="6">
        <v>0</v>
      </c>
      <c r="X2" s="1" t="s">
        <v>814</v>
      </c>
      <c r="Y2" s="205">
        <v>0</v>
      </c>
      <c r="AA2" s="1" t="s">
        <v>967</v>
      </c>
      <c r="AB2" s="1" t="s">
        <v>969</v>
      </c>
      <c r="AC2" s="1" t="s">
        <v>970</v>
      </c>
      <c r="AD2" s="1" t="s">
        <v>971</v>
      </c>
      <c r="AE2" s="1" t="s">
        <v>972</v>
      </c>
      <c r="AG2" s="357" t="s">
        <v>237</v>
      </c>
      <c r="AH2" s="351" t="s">
        <v>2</v>
      </c>
      <c r="AI2" s="361">
        <v>100</v>
      </c>
      <c r="AJ2" s="370">
        <f>$AB$16/AI2</f>
        <v>5.13</v>
      </c>
      <c r="AK2" s="361">
        <v>300</v>
      </c>
      <c r="AL2" s="370">
        <f>$AC$16/AK2</f>
        <v>4.9266666666666667</v>
      </c>
      <c r="AM2" s="361">
        <v>600</v>
      </c>
      <c r="AN2" s="370">
        <f>$AD$16/AM2</f>
        <v>4.8733333333333331</v>
      </c>
      <c r="AO2" s="361">
        <v>350</v>
      </c>
      <c r="AP2" s="361">
        <v>50</v>
      </c>
      <c r="AQ2" s="361">
        <v>2</v>
      </c>
      <c r="AR2" s="361">
        <v>1</v>
      </c>
      <c r="AS2" s="362">
        <v>2.2000000000000002</v>
      </c>
    </row>
    <row r="3" spans="1:45" ht="16.5" thickTop="1" thickBot="1" x14ac:dyDescent="0.25">
      <c r="A3" s="1" t="s">
        <v>221</v>
      </c>
      <c r="B3" s="2">
        <v>30</v>
      </c>
      <c r="G3" s="1" t="s">
        <v>238</v>
      </c>
      <c r="H3" s="5">
        <v>140</v>
      </c>
      <c r="I3" s="1" t="s">
        <v>238</v>
      </c>
      <c r="J3" s="5">
        <v>300</v>
      </c>
      <c r="K3" s="1" t="s">
        <v>238</v>
      </c>
      <c r="L3" s="5">
        <v>180</v>
      </c>
      <c r="M3" s="1" t="s">
        <v>238</v>
      </c>
      <c r="N3" s="5">
        <v>140</v>
      </c>
      <c r="P3" s="1" t="s">
        <v>696</v>
      </c>
      <c r="Q3" s="5">
        <v>1060000</v>
      </c>
      <c r="S3" s="6">
        <v>49</v>
      </c>
      <c r="U3" s="6">
        <v>25</v>
      </c>
      <c r="V3" s="6">
        <v>12</v>
      </c>
      <c r="X3" s="1" t="s">
        <v>803</v>
      </c>
      <c r="Y3" s="205">
        <v>0.01</v>
      </c>
      <c r="AA3" s="1" t="s">
        <v>969</v>
      </c>
      <c r="AB3" s="316">
        <v>1</v>
      </c>
      <c r="AC3" s="315">
        <v>1.2</v>
      </c>
      <c r="AD3" s="315">
        <v>0.7</v>
      </c>
      <c r="AE3" s="315">
        <v>1.1000000000000001</v>
      </c>
      <c r="AG3" s="354" t="s">
        <v>238</v>
      </c>
      <c r="AH3" s="1" t="s">
        <v>2</v>
      </c>
      <c r="AI3" s="363">
        <v>140</v>
      </c>
      <c r="AJ3" s="370">
        <f t="shared" ref="AJ3:AJ18" si="0">$AB$16/AI3</f>
        <v>3.6642857142857141</v>
      </c>
      <c r="AK3" s="363">
        <v>410</v>
      </c>
      <c r="AL3" s="372">
        <f t="shared" ref="AL3:AL18" si="1">$AC$16/AK3</f>
        <v>3.6048780487804879</v>
      </c>
      <c r="AM3" s="363">
        <v>810</v>
      </c>
      <c r="AN3" s="372">
        <f t="shared" ref="AN3:AN18" si="2">$AD$16/AM3</f>
        <v>3.6098765432098765</v>
      </c>
      <c r="AO3" s="363">
        <v>350</v>
      </c>
      <c r="AP3" s="363">
        <v>50</v>
      </c>
      <c r="AQ3" s="363">
        <v>2.7</v>
      </c>
      <c r="AR3" s="363">
        <v>3</v>
      </c>
      <c r="AS3" s="364">
        <v>6.7</v>
      </c>
    </row>
    <row r="4" spans="1:45" ht="16.5" thickTop="1" thickBot="1" x14ac:dyDescent="0.25">
      <c r="A4" s="1" t="s">
        <v>222</v>
      </c>
      <c r="B4" s="2">
        <v>500</v>
      </c>
      <c r="G4" s="1" t="s">
        <v>239</v>
      </c>
      <c r="H4" s="5">
        <v>190</v>
      </c>
      <c r="I4" s="1" t="s">
        <v>239</v>
      </c>
      <c r="J4" s="5">
        <v>410</v>
      </c>
      <c r="K4" s="1" t="s">
        <v>239</v>
      </c>
      <c r="L4" s="5">
        <v>240</v>
      </c>
      <c r="M4" s="1" t="s">
        <v>239</v>
      </c>
      <c r="N4" s="5">
        <v>190</v>
      </c>
      <c r="P4" s="1" t="s">
        <v>697</v>
      </c>
      <c r="Q4" s="5">
        <v>1000000</v>
      </c>
      <c r="S4" s="6">
        <v>48</v>
      </c>
      <c r="X4" s="1" t="s">
        <v>804</v>
      </c>
      <c r="Y4" s="205">
        <v>0.02</v>
      </c>
      <c r="AA4" s="1" t="s">
        <v>970</v>
      </c>
      <c r="AB4" s="315">
        <v>0.8</v>
      </c>
      <c r="AC4" s="316">
        <v>1</v>
      </c>
      <c r="AD4" s="315">
        <v>1.2</v>
      </c>
      <c r="AE4" s="315">
        <v>1.1000000000000001</v>
      </c>
      <c r="AG4" s="354" t="s">
        <v>239</v>
      </c>
      <c r="AH4" s="1" t="s">
        <v>2</v>
      </c>
      <c r="AI4" s="363">
        <v>190</v>
      </c>
      <c r="AJ4" s="370">
        <f t="shared" si="0"/>
        <v>2.7</v>
      </c>
      <c r="AK4" s="363">
        <v>560</v>
      </c>
      <c r="AL4" s="372">
        <f t="shared" si="1"/>
        <v>2.6392857142857142</v>
      </c>
      <c r="AM4" s="363">
        <v>1110</v>
      </c>
      <c r="AN4" s="372">
        <f t="shared" si="2"/>
        <v>2.6342342342342344</v>
      </c>
      <c r="AO4" s="363">
        <v>350</v>
      </c>
      <c r="AP4" s="363">
        <v>50</v>
      </c>
      <c r="AQ4" s="363">
        <v>3.65</v>
      </c>
      <c r="AR4" s="363">
        <v>5</v>
      </c>
      <c r="AS4" s="364">
        <v>11.1</v>
      </c>
    </row>
    <row r="5" spans="1:45" ht="16.5" thickTop="1" thickBot="1" x14ac:dyDescent="0.25">
      <c r="G5" s="1" t="s">
        <v>240</v>
      </c>
      <c r="H5" s="5">
        <v>260</v>
      </c>
      <c r="I5" s="1" t="s">
        <v>240</v>
      </c>
      <c r="J5" s="5">
        <v>550</v>
      </c>
      <c r="K5" s="1" t="s">
        <v>240</v>
      </c>
      <c r="L5" s="5">
        <v>320</v>
      </c>
      <c r="M5" s="1" t="s">
        <v>240</v>
      </c>
      <c r="N5" s="5">
        <v>260</v>
      </c>
      <c r="P5" s="1" t="s">
        <v>698</v>
      </c>
      <c r="Q5" s="5">
        <v>950000</v>
      </c>
      <c r="S5" s="6">
        <v>47</v>
      </c>
      <c r="X5" s="1" t="s">
        <v>805</v>
      </c>
      <c r="Y5" s="205">
        <v>0.03</v>
      </c>
      <c r="AA5" s="1" t="s">
        <v>971</v>
      </c>
      <c r="AB5" s="315">
        <v>1.2</v>
      </c>
      <c r="AC5" s="315">
        <v>0.8</v>
      </c>
      <c r="AD5" s="316">
        <v>1</v>
      </c>
      <c r="AE5" s="315">
        <v>0.9</v>
      </c>
      <c r="AG5" s="354" t="s">
        <v>240</v>
      </c>
      <c r="AH5" s="1" t="s">
        <v>2</v>
      </c>
      <c r="AI5" s="363">
        <v>260</v>
      </c>
      <c r="AJ5" s="370">
        <f t="shared" si="0"/>
        <v>1.9730769230769232</v>
      </c>
      <c r="AK5" s="363">
        <v>740</v>
      </c>
      <c r="AL5" s="372">
        <f t="shared" si="1"/>
        <v>1.9972972972972973</v>
      </c>
      <c r="AM5" s="363">
        <v>1470</v>
      </c>
      <c r="AN5" s="372">
        <f t="shared" si="2"/>
        <v>1.9891156462585033</v>
      </c>
      <c r="AO5" s="363">
        <v>350</v>
      </c>
      <c r="AP5" s="363">
        <v>50</v>
      </c>
      <c r="AQ5" s="363">
        <v>4.92</v>
      </c>
      <c r="AR5" s="363">
        <v>8</v>
      </c>
      <c r="AS5" s="364">
        <v>17.8</v>
      </c>
    </row>
    <row r="6" spans="1:45" ht="16.5" thickTop="1" thickBot="1" x14ac:dyDescent="0.25">
      <c r="B6" s="1" t="s">
        <v>223</v>
      </c>
      <c r="G6" s="1" t="s">
        <v>241</v>
      </c>
      <c r="H6" s="5">
        <v>350</v>
      </c>
      <c r="I6" s="1" t="s">
        <v>241</v>
      </c>
      <c r="J6" s="5">
        <v>740</v>
      </c>
      <c r="K6" s="1" t="s">
        <v>241</v>
      </c>
      <c r="L6" s="5">
        <v>430</v>
      </c>
      <c r="M6" s="1" t="s">
        <v>241</v>
      </c>
      <c r="N6" s="5">
        <v>350</v>
      </c>
      <c r="P6" s="1" t="s">
        <v>699</v>
      </c>
      <c r="Q6" s="5">
        <v>900000</v>
      </c>
      <c r="S6" s="6">
        <v>46</v>
      </c>
      <c r="X6" s="1" t="s">
        <v>806</v>
      </c>
      <c r="Y6" s="205">
        <v>0.04</v>
      </c>
      <c r="AA6" s="374" t="s">
        <v>972</v>
      </c>
      <c r="AB6" s="375">
        <v>0.35</v>
      </c>
      <c r="AC6" s="375">
        <v>0.4</v>
      </c>
      <c r="AD6" s="375">
        <v>0.3</v>
      </c>
      <c r="AE6" s="376">
        <v>0.5</v>
      </c>
      <c r="AG6" s="354" t="s">
        <v>241</v>
      </c>
      <c r="AH6" s="1" t="s">
        <v>2</v>
      </c>
      <c r="AI6" s="363">
        <v>350</v>
      </c>
      <c r="AJ6" s="370">
        <f t="shared" si="0"/>
        <v>1.4657142857142857</v>
      </c>
      <c r="AK6" s="363">
        <v>1000</v>
      </c>
      <c r="AL6" s="372">
        <f t="shared" si="1"/>
        <v>1.478</v>
      </c>
      <c r="AM6" s="363">
        <v>1980</v>
      </c>
      <c r="AN6" s="372">
        <f t="shared" si="2"/>
        <v>1.4767676767676767</v>
      </c>
      <c r="AO6" s="363">
        <v>350</v>
      </c>
      <c r="AP6" s="363">
        <v>50</v>
      </c>
      <c r="AQ6" s="363">
        <v>6.64</v>
      </c>
      <c r="AR6" s="363">
        <v>11</v>
      </c>
      <c r="AS6" s="364">
        <v>24.4</v>
      </c>
    </row>
    <row r="7" spans="1:45" ht="16.5" thickTop="1" thickBot="1" x14ac:dyDescent="0.3">
      <c r="A7" s="1" t="s">
        <v>224</v>
      </c>
      <c r="B7" s="7">
        <f>IF(B3=1, B2, B2 + B14 * (B3 - 1)) + B4</f>
        <v>934.37200000000007</v>
      </c>
      <c r="G7" s="1" t="s">
        <v>242</v>
      </c>
      <c r="H7" s="5">
        <v>470</v>
      </c>
      <c r="I7" s="1" t="s">
        <v>242</v>
      </c>
      <c r="J7" s="5">
        <v>1000</v>
      </c>
      <c r="K7" s="1" t="s">
        <v>242</v>
      </c>
      <c r="L7" s="5">
        <v>580</v>
      </c>
      <c r="M7" s="1" t="s">
        <v>242</v>
      </c>
      <c r="N7" s="5">
        <v>470</v>
      </c>
      <c r="P7" s="1" t="s">
        <v>700</v>
      </c>
      <c r="Q7" s="5">
        <v>860000</v>
      </c>
      <c r="S7" s="6">
        <v>45</v>
      </c>
      <c r="X7" s="1" t="s">
        <v>807</v>
      </c>
      <c r="Y7" s="205">
        <v>0.05</v>
      </c>
      <c r="AA7" s="664" t="s">
        <v>1114</v>
      </c>
      <c r="AB7" s="664"/>
      <c r="AC7" s="664"/>
      <c r="AD7" s="664"/>
      <c r="AE7" s="664"/>
      <c r="AG7" s="354" t="s">
        <v>242</v>
      </c>
      <c r="AH7" s="1" t="s">
        <v>2</v>
      </c>
      <c r="AI7" s="363">
        <v>470</v>
      </c>
      <c r="AJ7" s="370">
        <f t="shared" si="0"/>
        <v>1.0914893617021277</v>
      </c>
      <c r="AK7" s="363">
        <v>1350</v>
      </c>
      <c r="AL7" s="372">
        <f t="shared" si="1"/>
        <v>1.0948148148148149</v>
      </c>
      <c r="AM7" s="363">
        <v>2670</v>
      </c>
      <c r="AN7" s="372">
        <f t="shared" si="2"/>
        <v>1.095131086142322</v>
      </c>
      <c r="AO7" s="363">
        <v>350</v>
      </c>
      <c r="AP7" s="363">
        <v>50</v>
      </c>
      <c r="AQ7" s="363">
        <v>8.9700000000000006</v>
      </c>
      <c r="AR7" s="363">
        <v>15</v>
      </c>
      <c r="AS7" s="364">
        <v>33.299999999999997</v>
      </c>
    </row>
    <row r="8" spans="1:45" ht="16.5" thickTop="1" thickBot="1" x14ac:dyDescent="0.3">
      <c r="A8" s="1" t="s">
        <v>225</v>
      </c>
      <c r="B8" s="7">
        <f>IF(B3=1, B2, B2 + B15 * (B3 - 1)) + B4</f>
        <v>996.24639999999999</v>
      </c>
      <c r="G8" s="1" t="s">
        <v>243</v>
      </c>
      <c r="H8" s="5">
        <v>630</v>
      </c>
      <c r="I8" s="1" t="s">
        <v>243</v>
      </c>
      <c r="J8" s="5">
        <v>1350</v>
      </c>
      <c r="K8" s="1" t="s">
        <v>243</v>
      </c>
      <c r="L8" s="5">
        <v>780</v>
      </c>
      <c r="M8" s="1" t="s">
        <v>243</v>
      </c>
      <c r="N8" s="5">
        <v>630</v>
      </c>
      <c r="P8" s="1" t="s">
        <v>701</v>
      </c>
      <c r="Q8" s="5">
        <v>790000</v>
      </c>
      <c r="S8" s="6">
        <v>44</v>
      </c>
      <c r="X8" s="1" t="s">
        <v>808</v>
      </c>
      <c r="Y8" s="205">
        <v>0.06</v>
      </c>
      <c r="AA8" s="1" t="s">
        <v>968</v>
      </c>
      <c r="AB8" s="1" t="s">
        <v>969</v>
      </c>
      <c r="AC8" s="1" t="s">
        <v>970</v>
      </c>
      <c r="AD8" s="1" t="s">
        <v>971</v>
      </c>
      <c r="AE8" s="1" t="s">
        <v>972</v>
      </c>
      <c r="AG8" s="354" t="s">
        <v>243</v>
      </c>
      <c r="AH8" s="1" t="s">
        <v>2</v>
      </c>
      <c r="AI8" s="363">
        <v>630</v>
      </c>
      <c r="AJ8" s="370">
        <f t="shared" si="0"/>
        <v>0.81428571428571428</v>
      </c>
      <c r="AK8" s="363">
        <v>1820</v>
      </c>
      <c r="AL8" s="372">
        <f t="shared" si="1"/>
        <v>0.81208791208791209</v>
      </c>
      <c r="AM8" s="363">
        <v>3600</v>
      </c>
      <c r="AN8" s="372">
        <f t="shared" si="2"/>
        <v>0.81222222222222218</v>
      </c>
      <c r="AO8" s="363">
        <v>350</v>
      </c>
      <c r="AP8" s="363">
        <v>50</v>
      </c>
      <c r="AQ8" s="363">
        <v>12.11</v>
      </c>
      <c r="AR8" s="363">
        <v>19</v>
      </c>
      <c r="AS8" s="364">
        <v>42.2</v>
      </c>
    </row>
    <row r="9" spans="1:45" ht="16.5" thickTop="1" thickBot="1" x14ac:dyDescent="0.25">
      <c r="A9" s="1" t="s">
        <v>226</v>
      </c>
      <c r="B9" s="7">
        <f>IF(B3=1, B2, B2 + B16 * (B3 - 1)) + B4</f>
        <v>1070.49568</v>
      </c>
      <c r="G9" s="1" t="s">
        <v>244</v>
      </c>
      <c r="H9" s="5">
        <v>850</v>
      </c>
      <c r="I9" s="1" t="s">
        <v>244</v>
      </c>
      <c r="J9" s="5">
        <v>1820</v>
      </c>
      <c r="K9" s="1" t="s">
        <v>244</v>
      </c>
      <c r="L9" s="5">
        <v>1050</v>
      </c>
      <c r="M9" s="1" t="s">
        <v>244</v>
      </c>
      <c r="N9" s="5">
        <v>850</v>
      </c>
      <c r="P9" s="1" t="s">
        <v>702</v>
      </c>
      <c r="Q9" s="5">
        <v>720000</v>
      </c>
      <c r="S9" s="6">
        <v>43</v>
      </c>
      <c r="X9" s="1" t="s">
        <v>809</v>
      </c>
      <c r="Y9" s="205">
        <v>7.0000000000000007E-2</v>
      </c>
      <c r="AA9" s="1" t="s">
        <v>969</v>
      </c>
      <c r="AB9" s="316">
        <v>1</v>
      </c>
      <c r="AC9" s="315">
        <v>1.2</v>
      </c>
      <c r="AD9" s="315">
        <v>0.7</v>
      </c>
      <c r="AE9" s="315">
        <v>1.1000000000000001</v>
      </c>
      <c r="AG9" s="354" t="s">
        <v>244</v>
      </c>
      <c r="AH9" s="1" t="s">
        <v>2</v>
      </c>
      <c r="AI9" s="363">
        <v>850</v>
      </c>
      <c r="AJ9" s="370">
        <f t="shared" si="0"/>
        <v>0.60352941176470587</v>
      </c>
      <c r="AK9" s="363">
        <v>2460</v>
      </c>
      <c r="AL9" s="372">
        <f t="shared" si="1"/>
        <v>0.60081300813008132</v>
      </c>
      <c r="AM9" s="363">
        <v>4860</v>
      </c>
      <c r="AN9" s="372">
        <f t="shared" si="2"/>
        <v>0.60164609053497942</v>
      </c>
      <c r="AO9" s="363">
        <v>350</v>
      </c>
      <c r="AP9" s="363">
        <v>50</v>
      </c>
      <c r="AQ9" s="363">
        <v>16.34</v>
      </c>
      <c r="AR9" s="363">
        <v>23</v>
      </c>
      <c r="AS9" s="364">
        <v>51.1</v>
      </c>
    </row>
    <row r="10" spans="1:45" ht="16.5" thickTop="1" thickBot="1" x14ac:dyDescent="0.25">
      <c r="A10" s="1" t="s">
        <v>227</v>
      </c>
      <c r="B10" s="7">
        <f>IF(B3=1, B2, B2 + B17 * (B3 - 1)) + B4</f>
        <v>1159.5948159999998</v>
      </c>
      <c r="G10" s="1" t="s">
        <v>245</v>
      </c>
      <c r="H10" s="5">
        <v>1150</v>
      </c>
      <c r="I10" s="1" t="s">
        <v>245</v>
      </c>
      <c r="J10" s="5">
        <v>2460</v>
      </c>
      <c r="K10" s="1" t="s">
        <v>245</v>
      </c>
      <c r="L10" s="5">
        <v>1420</v>
      </c>
      <c r="M10" s="1" t="s">
        <v>245</v>
      </c>
      <c r="N10" s="5">
        <v>1150</v>
      </c>
      <c r="P10" s="1" t="s">
        <v>703</v>
      </c>
      <c r="Q10" s="5">
        <v>660000</v>
      </c>
      <c r="S10" s="6">
        <v>42</v>
      </c>
      <c r="X10" s="1" t="s">
        <v>810</v>
      </c>
      <c r="Y10" s="205">
        <v>0.08</v>
      </c>
      <c r="AA10" s="1" t="s">
        <v>970</v>
      </c>
      <c r="AB10" s="315">
        <v>0.8</v>
      </c>
      <c r="AC10" s="316">
        <v>1</v>
      </c>
      <c r="AD10" s="315">
        <v>1.2</v>
      </c>
      <c r="AE10" s="315">
        <v>1.1000000000000001</v>
      </c>
      <c r="AG10" s="354" t="s">
        <v>245</v>
      </c>
      <c r="AH10" s="1" t="s">
        <v>2</v>
      </c>
      <c r="AI10" s="363">
        <v>1150</v>
      </c>
      <c r="AJ10" s="370">
        <f t="shared" si="0"/>
        <v>0.44608695652173913</v>
      </c>
      <c r="AK10" s="363">
        <v>3320</v>
      </c>
      <c r="AL10" s="372">
        <f t="shared" si="1"/>
        <v>0.44518072289156624</v>
      </c>
      <c r="AM10" s="363">
        <v>6560</v>
      </c>
      <c r="AN10" s="372">
        <f t="shared" si="2"/>
        <v>0.44573170731707318</v>
      </c>
      <c r="AO10" s="363">
        <v>350</v>
      </c>
      <c r="AP10" s="363">
        <v>50</v>
      </c>
      <c r="AQ10" s="363">
        <v>22.06</v>
      </c>
      <c r="AR10" s="363">
        <v>27</v>
      </c>
      <c r="AS10" s="364">
        <v>60</v>
      </c>
    </row>
    <row r="11" spans="1:45" ht="16.5" thickTop="1" thickBot="1" x14ac:dyDescent="0.25">
      <c r="A11" s="1" t="s">
        <v>228</v>
      </c>
      <c r="B11" s="7">
        <f>IF(B3=1, B2, B2 + B18 * (B3 - 1)) + B4</f>
        <v>1266.5137791999998</v>
      </c>
      <c r="G11" s="1" t="s">
        <v>246</v>
      </c>
      <c r="H11" s="5">
        <v>1550</v>
      </c>
      <c r="I11" s="1" t="s">
        <v>246</v>
      </c>
      <c r="J11" s="5">
        <v>3320</v>
      </c>
      <c r="K11" s="1" t="s">
        <v>246</v>
      </c>
      <c r="L11" s="5">
        <v>1920</v>
      </c>
      <c r="M11" s="1" t="s">
        <v>246</v>
      </c>
      <c r="N11" s="5">
        <v>1550</v>
      </c>
      <c r="P11" s="1" t="s">
        <v>704</v>
      </c>
      <c r="Q11" s="5">
        <v>600000</v>
      </c>
      <c r="S11" s="6">
        <v>41</v>
      </c>
      <c r="X11" s="1" t="s">
        <v>811</v>
      </c>
      <c r="Y11" s="205">
        <v>0.09</v>
      </c>
      <c r="AA11" s="1" t="s">
        <v>971</v>
      </c>
      <c r="AB11" s="315">
        <v>1.2</v>
      </c>
      <c r="AC11" s="315">
        <v>0.8</v>
      </c>
      <c r="AD11" s="316">
        <v>1</v>
      </c>
      <c r="AE11" s="315">
        <v>1.1000000000000001</v>
      </c>
      <c r="AG11" s="354" t="s">
        <v>246</v>
      </c>
      <c r="AH11" s="1" t="s">
        <v>2</v>
      </c>
      <c r="AI11" s="363">
        <v>1550</v>
      </c>
      <c r="AJ11" s="370">
        <f t="shared" si="0"/>
        <v>0.33096774193548389</v>
      </c>
      <c r="AK11" s="363">
        <v>4480</v>
      </c>
      <c r="AL11" s="372">
        <f t="shared" si="1"/>
        <v>0.32991071428571428</v>
      </c>
      <c r="AM11" s="363">
        <v>8860</v>
      </c>
      <c r="AN11" s="372">
        <f t="shared" si="2"/>
        <v>0.33002257336343116</v>
      </c>
      <c r="AO11" s="363">
        <v>350</v>
      </c>
      <c r="AP11" s="363">
        <v>50</v>
      </c>
      <c r="AQ11" s="363">
        <v>29.79</v>
      </c>
      <c r="AR11" s="363">
        <v>32</v>
      </c>
      <c r="AS11" s="364">
        <v>71.099999999999994</v>
      </c>
    </row>
    <row r="12" spans="1:45" ht="16.5" thickTop="1" thickBot="1" x14ac:dyDescent="0.25">
      <c r="G12" s="1" t="s">
        <v>247</v>
      </c>
      <c r="H12" s="5">
        <v>1940</v>
      </c>
      <c r="I12" s="1" t="s">
        <v>247</v>
      </c>
      <c r="J12" s="5">
        <v>4150</v>
      </c>
      <c r="K12" s="1" t="s">
        <v>247</v>
      </c>
      <c r="L12" s="5">
        <v>2400</v>
      </c>
      <c r="M12" s="1" t="s">
        <v>247</v>
      </c>
      <c r="N12" s="5">
        <v>1940</v>
      </c>
      <c r="P12" s="1" t="s">
        <v>705</v>
      </c>
      <c r="Q12" s="5">
        <v>550000</v>
      </c>
      <c r="S12" s="6">
        <v>40</v>
      </c>
      <c r="X12" s="1" t="s">
        <v>812</v>
      </c>
      <c r="Y12" s="205">
        <v>0.1</v>
      </c>
      <c r="AA12" s="1" t="s">
        <v>972</v>
      </c>
      <c r="AB12" s="315">
        <v>0.35</v>
      </c>
      <c r="AC12" s="315">
        <v>0.4</v>
      </c>
      <c r="AD12" s="315">
        <v>0.3</v>
      </c>
      <c r="AE12" s="316">
        <v>0.6</v>
      </c>
      <c r="AG12" s="354" t="s">
        <v>247</v>
      </c>
      <c r="AH12" s="1" t="s">
        <v>2</v>
      </c>
      <c r="AI12" s="363">
        <v>1940</v>
      </c>
      <c r="AJ12" s="370">
        <f t="shared" si="0"/>
        <v>0.26443298969072165</v>
      </c>
      <c r="AK12" s="363">
        <v>5600</v>
      </c>
      <c r="AL12" s="372">
        <f t="shared" si="1"/>
        <v>0.2639285714285714</v>
      </c>
      <c r="AM12" s="363">
        <v>11080</v>
      </c>
      <c r="AN12" s="372">
        <f t="shared" si="2"/>
        <v>0.263898916967509</v>
      </c>
      <c r="AO12" s="363">
        <v>350</v>
      </c>
      <c r="AP12" s="363">
        <v>50</v>
      </c>
      <c r="AQ12" s="363">
        <v>35.75</v>
      </c>
      <c r="AR12" s="363">
        <v>38</v>
      </c>
      <c r="AS12" s="364">
        <v>84.4</v>
      </c>
    </row>
    <row r="13" spans="1:45" ht="16.5" thickTop="1" thickBot="1" x14ac:dyDescent="0.3">
      <c r="B13" s="1" t="s">
        <v>229</v>
      </c>
      <c r="G13" s="1" t="s">
        <v>248</v>
      </c>
      <c r="H13" s="5">
        <v>2425</v>
      </c>
      <c r="I13" s="1" t="s">
        <v>248</v>
      </c>
      <c r="J13" s="5">
        <v>5187</v>
      </c>
      <c r="K13" s="1" t="s">
        <v>248</v>
      </c>
      <c r="L13" s="5">
        <v>3000</v>
      </c>
      <c r="M13" s="1" t="s">
        <v>248</v>
      </c>
      <c r="N13" s="5">
        <v>2425</v>
      </c>
      <c r="P13" s="1" t="s">
        <v>706</v>
      </c>
      <c r="Q13" s="5">
        <v>500000</v>
      </c>
      <c r="S13" s="6">
        <v>39</v>
      </c>
      <c r="X13" s="1" t="s">
        <v>813</v>
      </c>
      <c r="Y13" s="205">
        <v>0.11</v>
      </c>
      <c r="AG13" s="354" t="s">
        <v>248</v>
      </c>
      <c r="AH13" s="1" t="s">
        <v>2</v>
      </c>
      <c r="AI13" s="363">
        <v>2425</v>
      </c>
      <c r="AJ13" s="370">
        <f t="shared" si="0"/>
        <v>0.21154639175257731</v>
      </c>
      <c r="AK13" s="363">
        <v>7000</v>
      </c>
      <c r="AL13" s="372">
        <f t="shared" si="1"/>
        <v>0.21114285714285713</v>
      </c>
      <c r="AM13" s="363">
        <v>13850</v>
      </c>
      <c r="AN13" s="372">
        <f t="shared" si="2"/>
        <v>0.21111913357400722</v>
      </c>
      <c r="AO13" s="363">
        <v>350</v>
      </c>
      <c r="AP13" s="363">
        <v>50</v>
      </c>
      <c r="AQ13" s="363">
        <v>53.63</v>
      </c>
      <c r="AR13" s="363">
        <v>45</v>
      </c>
      <c r="AS13" s="364">
        <v>100</v>
      </c>
    </row>
    <row r="14" spans="1:45" ht="16.5" customHeight="1" thickTop="1" thickBot="1" x14ac:dyDescent="0.3">
      <c r="A14" s="1" t="s">
        <v>224</v>
      </c>
      <c r="B14" s="8">
        <f>(1+20%) * B1</f>
        <v>10.668000000000001</v>
      </c>
      <c r="G14" s="1" t="s">
        <v>249</v>
      </c>
      <c r="H14" s="5">
        <v>2910</v>
      </c>
      <c r="I14" s="1" t="s">
        <v>249</v>
      </c>
      <c r="J14" s="5">
        <v>5800</v>
      </c>
      <c r="K14" s="1" t="s">
        <v>249</v>
      </c>
      <c r="L14" s="5">
        <v>3450</v>
      </c>
      <c r="M14" s="1" t="s">
        <v>249</v>
      </c>
      <c r="N14" s="5">
        <v>2780</v>
      </c>
      <c r="P14" s="1" t="s">
        <v>707</v>
      </c>
      <c r="Q14" s="5">
        <v>460000</v>
      </c>
      <c r="S14" s="6">
        <v>38</v>
      </c>
      <c r="AA14" s="661" t="s">
        <v>1111</v>
      </c>
      <c r="AB14" s="663"/>
      <c r="AC14" s="663"/>
      <c r="AD14" s="662"/>
      <c r="AG14" s="354" t="s">
        <v>249</v>
      </c>
      <c r="AH14" s="1" t="s">
        <v>2</v>
      </c>
      <c r="AI14" s="363">
        <v>2910</v>
      </c>
      <c r="AJ14" s="370">
        <f t="shared" si="0"/>
        <v>0.17628865979381445</v>
      </c>
      <c r="AK14" s="363">
        <v>8400</v>
      </c>
      <c r="AL14" s="372">
        <f t="shared" si="1"/>
        <v>0.17595238095238094</v>
      </c>
      <c r="AM14" s="363">
        <v>16620</v>
      </c>
      <c r="AN14" s="372">
        <f t="shared" si="2"/>
        <v>0.17593261131167268</v>
      </c>
      <c r="AO14" s="363">
        <v>350</v>
      </c>
      <c r="AP14" s="363">
        <v>50</v>
      </c>
      <c r="AQ14" s="363">
        <v>81</v>
      </c>
      <c r="AR14" s="363">
        <v>52</v>
      </c>
      <c r="AS14" s="364">
        <v>115.6</v>
      </c>
    </row>
    <row r="15" spans="1:45" ht="16.5" thickTop="1" thickBot="1" x14ac:dyDescent="0.3">
      <c r="A15" s="1" t="s">
        <v>225</v>
      </c>
      <c r="B15" s="8">
        <f>(1+20%) * B14</f>
        <v>12.801600000000001</v>
      </c>
      <c r="G15" s="1" t="s">
        <v>250</v>
      </c>
      <c r="H15" s="5">
        <v>3570</v>
      </c>
      <c r="I15" s="1" t="s">
        <v>250</v>
      </c>
      <c r="J15" s="5">
        <v>6670</v>
      </c>
      <c r="K15" s="1" t="s">
        <v>250</v>
      </c>
      <c r="L15" s="5">
        <v>4070</v>
      </c>
      <c r="M15" s="1" t="s">
        <v>250</v>
      </c>
      <c r="N15" s="5">
        <v>3280</v>
      </c>
      <c r="P15" s="1" t="s">
        <v>708</v>
      </c>
      <c r="Q15" s="5">
        <v>420000</v>
      </c>
      <c r="S15" s="6">
        <v>37</v>
      </c>
      <c r="AA15" s="1" t="s">
        <v>1112</v>
      </c>
      <c r="AB15" s="1" t="s">
        <v>1110</v>
      </c>
      <c r="AC15" s="1" t="s">
        <v>1109</v>
      </c>
      <c r="AD15" s="1" t="s">
        <v>272</v>
      </c>
      <c r="AG15" s="354" t="s">
        <v>250</v>
      </c>
      <c r="AH15" s="1" t="s">
        <v>2</v>
      </c>
      <c r="AI15" s="363">
        <v>3570</v>
      </c>
      <c r="AJ15" s="370">
        <f t="shared" si="0"/>
        <v>0.14369747899159663</v>
      </c>
      <c r="AK15" s="363">
        <v>10330</v>
      </c>
      <c r="AL15" s="372">
        <f t="shared" si="1"/>
        <v>0.1430784123910939</v>
      </c>
      <c r="AM15" s="363">
        <v>20440</v>
      </c>
      <c r="AN15" s="372">
        <f t="shared" si="2"/>
        <v>0.14305283757338552</v>
      </c>
      <c r="AO15" s="363">
        <v>350</v>
      </c>
      <c r="AP15" s="363">
        <v>50</v>
      </c>
      <c r="AQ15" s="363">
        <v>122</v>
      </c>
      <c r="AR15" s="363">
        <v>60</v>
      </c>
      <c r="AS15" s="364">
        <v>133.30000000000001</v>
      </c>
    </row>
    <row r="16" spans="1:45" ht="16.5" thickTop="1" thickBot="1" x14ac:dyDescent="0.3">
      <c r="A16" s="1" t="s">
        <v>226</v>
      </c>
      <c r="B16" s="8">
        <f>(1+20%) * B15</f>
        <v>15.36192</v>
      </c>
      <c r="G16" s="1" t="s">
        <v>251</v>
      </c>
      <c r="H16" s="5">
        <v>4230</v>
      </c>
      <c r="I16" s="1" t="s">
        <v>251</v>
      </c>
      <c r="J16" s="5">
        <v>7540</v>
      </c>
      <c r="K16" s="1" t="s">
        <v>251</v>
      </c>
      <c r="L16" s="5">
        <v>4690</v>
      </c>
      <c r="M16" s="1" t="s">
        <v>251</v>
      </c>
      <c r="N16" s="5">
        <v>3780</v>
      </c>
      <c r="P16" s="1" t="s">
        <v>709</v>
      </c>
      <c r="Q16" s="5">
        <v>385000</v>
      </c>
      <c r="S16" s="6">
        <v>36</v>
      </c>
      <c r="AA16" s="1" t="s">
        <v>969</v>
      </c>
      <c r="AB16" s="369">
        <v>513</v>
      </c>
      <c r="AC16" s="369">
        <v>1478</v>
      </c>
      <c r="AD16" s="369">
        <v>2924</v>
      </c>
      <c r="AG16" s="354" t="s">
        <v>251</v>
      </c>
      <c r="AH16" s="1" t="s">
        <v>2</v>
      </c>
      <c r="AI16" s="363">
        <v>4230</v>
      </c>
      <c r="AJ16" s="370">
        <f t="shared" si="0"/>
        <v>0.12127659574468085</v>
      </c>
      <c r="AK16" s="363">
        <v>11760</v>
      </c>
      <c r="AL16" s="372">
        <f t="shared" si="1"/>
        <v>0.12568027210884353</v>
      </c>
      <c r="AM16" s="363">
        <v>24260</v>
      </c>
      <c r="AN16" s="372">
        <f t="shared" si="2"/>
        <v>0.12052761747732893</v>
      </c>
      <c r="AO16" s="363">
        <v>350</v>
      </c>
      <c r="AP16" s="363">
        <v>50</v>
      </c>
      <c r="AQ16" s="363">
        <v>163</v>
      </c>
      <c r="AR16" s="363">
        <v>70</v>
      </c>
      <c r="AS16" s="364">
        <v>155.6</v>
      </c>
    </row>
    <row r="17" spans="1:45" ht="16.5" thickTop="1" thickBot="1" x14ac:dyDescent="0.3">
      <c r="A17" s="1" t="s">
        <v>227</v>
      </c>
      <c r="B17" s="8">
        <f>(1+20%) * B16</f>
        <v>18.434303999999997</v>
      </c>
      <c r="G17" s="1" t="s">
        <v>252</v>
      </c>
      <c r="H17" s="5">
        <v>4920</v>
      </c>
      <c r="I17" s="1" t="s">
        <v>252</v>
      </c>
      <c r="J17" s="5">
        <v>8780</v>
      </c>
      <c r="K17" s="1" t="s">
        <v>252</v>
      </c>
      <c r="L17" s="5">
        <v>5460</v>
      </c>
      <c r="M17" s="1" t="s">
        <v>252</v>
      </c>
      <c r="N17" s="5">
        <v>4400</v>
      </c>
      <c r="P17" s="1" t="s">
        <v>710</v>
      </c>
      <c r="Q17" s="5">
        <v>350000</v>
      </c>
      <c r="S17" s="6">
        <v>35</v>
      </c>
      <c r="AA17" s="1" t="s">
        <v>971</v>
      </c>
      <c r="AB17" s="369">
        <v>1096</v>
      </c>
      <c r="AC17" s="369">
        <v>724</v>
      </c>
      <c r="AD17" s="369">
        <v>1978</v>
      </c>
      <c r="AG17" s="354" t="s">
        <v>252</v>
      </c>
      <c r="AH17" s="1" t="s">
        <v>2</v>
      </c>
      <c r="AI17" s="363">
        <v>4920</v>
      </c>
      <c r="AJ17" s="370">
        <f t="shared" si="0"/>
        <v>0.10426829268292682</v>
      </c>
      <c r="AK17" s="363">
        <v>13670</v>
      </c>
      <c r="AL17" s="372">
        <f t="shared" si="1"/>
        <v>0.10811997073884419</v>
      </c>
      <c r="AM17" s="363">
        <v>28240</v>
      </c>
      <c r="AN17" s="372">
        <f t="shared" si="2"/>
        <v>0.10354107648725212</v>
      </c>
      <c r="AO17" s="363">
        <v>350</v>
      </c>
      <c r="AP17" s="363">
        <v>50</v>
      </c>
      <c r="AQ17" s="363">
        <v>230</v>
      </c>
      <c r="AR17" s="363">
        <v>80</v>
      </c>
      <c r="AS17" s="364">
        <v>177.8</v>
      </c>
    </row>
    <row r="18" spans="1:45" ht="16.5" thickTop="1" thickBot="1" x14ac:dyDescent="0.3">
      <c r="A18" s="1" t="s">
        <v>228</v>
      </c>
      <c r="B18" s="8">
        <f>(1+20%) * B17</f>
        <v>22.121164799999995</v>
      </c>
      <c r="G18" s="1" t="s">
        <v>693</v>
      </c>
      <c r="H18" s="5">
        <v>5660</v>
      </c>
      <c r="I18" s="1" t="s">
        <v>693</v>
      </c>
      <c r="J18" s="5">
        <v>10100</v>
      </c>
      <c r="K18" s="1" t="s">
        <v>693</v>
      </c>
      <c r="L18" s="5">
        <v>6280</v>
      </c>
      <c r="M18" s="1" t="s">
        <v>693</v>
      </c>
      <c r="N18" s="5">
        <v>5060</v>
      </c>
      <c r="P18" s="1" t="s">
        <v>711</v>
      </c>
      <c r="Q18" s="5">
        <v>315000</v>
      </c>
      <c r="S18" s="6">
        <v>34</v>
      </c>
      <c r="AA18" s="1" t="s">
        <v>970</v>
      </c>
      <c r="AB18" s="369">
        <v>634</v>
      </c>
      <c r="AC18" s="369">
        <v>513</v>
      </c>
      <c r="AD18" s="369">
        <v>1246</v>
      </c>
      <c r="AG18" s="355" t="s">
        <v>693</v>
      </c>
      <c r="AH18" s="356" t="s">
        <v>2</v>
      </c>
      <c r="AI18" s="365">
        <v>5660</v>
      </c>
      <c r="AJ18" s="370">
        <f t="shared" si="0"/>
        <v>9.0636042402826855E-2</v>
      </c>
      <c r="AK18" s="365">
        <v>15729</v>
      </c>
      <c r="AL18" s="373">
        <f t="shared" si="1"/>
        <v>9.3966558586051241E-2</v>
      </c>
      <c r="AM18" s="365">
        <v>32480</v>
      </c>
      <c r="AN18" s="373">
        <f t="shared" si="2"/>
        <v>9.0024630541871917E-2</v>
      </c>
      <c r="AO18" s="365">
        <v>350</v>
      </c>
      <c r="AP18" s="365">
        <v>50</v>
      </c>
      <c r="AQ18" s="365">
        <v>310</v>
      </c>
      <c r="AR18" s="365">
        <v>125</v>
      </c>
      <c r="AS18" s="366">
        <v>277.8</v>
      </c>
    </row>
    <row r="19" spans="1:45" ht="16.5" thickTop="1" thickBot="1" x14ac:dyDescent="0.3">
      <c r="P19" s="1" t="s">
        <v>712</v>
      </c>
      <c r="Q19" s="5">
        <v>285000</v>
      </c>
      <c r="S19" s="6">
        <v>33</v>
      </c>
      <c r="AA19" s="1" t="s">
        <v>972</v>
      </c>
      <c r="AB19" s="369">
        <v>513</v>
      </c>
      <c r="AC19" s="369">
        <v>244</v>
      </c>
      <c r="AD19" s="369">
        <v>513</v>
      </c>
      <c r="AG19" s="352" t="s">
        <v>237</v>
      </c>
      <c r="AH19" s="353" t="s">
        <v>3</v>
      </c>
      <c r="AI19" s="367">
        <v>130</v>
      </c>
      <c r="AJ19" s="371">
        <f>$AB$18/AI19</f>
        <v>4.8769230769230774</v>
      </c>
      <c r="AK19" s="367">
        <v>100</v>
      </c>
      <c r="AL19" s="371">
        <f>$AC$18/AK19</f>
        <v>5.13</v>
      </c>
      <c r="AM19" s="367">
        <v>250</v>
      </c>
      <c r="AN19" s="371">
        <f>$AD$18/AM19</f>
        <v>4.984</v>
      </c>
      <c r="AO19" s="367">
        <v>100</v>
      </c>
      <c r="AP19" s="367">
        <v>500</v>
      </c>
      <c r="AQ19" s="367">
        <v>2</v>
      </c>
      <c r="AR19" s="367">
        <v>1</v>
      </c>
      <c r="AS19" s="368">
        <v>2.2000000000000002</v>
      </c>
    </row>
    <row r="20" spans="1:45" ht="16.5" customHeight="1" thickTop="1" thickBot="1" x14ac:dyDescent="0.3">
      <c r="B20" s="1" t="s">
        <v>253</v>
      </c>
      <c r="F20" s="1" t="s">
        <v>271</v>
      </c>
      <c r="G20" s="661" t="s">
        <v>2</v>
      </c>
      <c r="H20" s="662"/>
      <c r="I20" s="661" t="s">
        <v>1</v>
      </c>
      <c r="J20" s="662"/>
      <c r="K20" s="661" t="s">
        <v>254</v>
      </c>
      <c r="L20" s="662"/>
      <c r="M20" s="661" t="s">
        <v>4</v>
      </c>
      <c r="N20" s="662"/>
      <c r="P20" s="1" t="s">
        <v>713</v>
      </c>
      <c r="Q20" s="5">
        <v>250000</v>
      </c>
      <c r="S20" s="6">
        <v>32</v>
      </c>
      <c r="AG20" s="354" t="s">
        <v>238</v>
      </c>
      <c r="AH20" s="1" t="s">
        <v>3</v>
      </c>
      <c r="AI20" s="363">
        <v>180</v>
      </c>
      <c r="AJ20" s="372">
        <f t="shared" ref="AJ20:AJ35" si="3">$AB$18/AI20</f>
        <v>3.5222222222222221</v>
      </c>
      <c r="AK20" s="363">
        <v>140</v>
      </c>
      <c r="AL20" s="372">
        <f t="shared" ref="AL20:AL35" si="4">$AC$18/AK20</f>
        <v>3.6642857142857141</v>
      </c>
      <c r="AM20" s="363">
        <v>340</v>
      </c>
      <c r="AN20" s="372">
        <f t="shared" ref="AN20:AN35" si="5">$AD$18/AM20</f>
        <v>3.664705882352941</v>
      </c>
      <c r="AO20" s="363">
        <v>100</v>
      </c>
      <c r="AP20" s="363">
        <v>500</v>
      </c>
      <c r="AQ20" s="363">
        <v>2.7</v>
      </c>
      <c r="AR20" s="363">
        <v>3</v>
      </c>
      <c r="AS20" s="364">
        <v>6.7</v>
      </c>
    </row>
    <row r="21" spans="1:45" ht="16.5" thickTop="1" thickBot="1" x14ac:dyDescent="0.3">
      <c r="A21" s="1" t="s">
        <v>224</v>
      </c>
      <c r="B21" s="7">
        <f>IF(B7 &lt;= 900, B7 * 0.1, 900 * 0.1 + (B7 - 900) * 0.2)</f>
        <v>96.874400000000009</v>
      </c>
      <c r="G21" s="1" t="s">
        <v>237</v>
      </c>
      <c r="H21" s="5">
        <v>300</v>
      </c>
      <c r="I21" s="1" t="s">
        <v>237</v>
      </c>
      <c r="J21" s="5">
        <v>150</v>
      </c>
      <c r="K21" s="1" t="s">
        <v>237</v>
      </c>
      <c r="L21" s="5">
        <v>100</v>
      </c>
      <c r="M21" s="1" t="s">
        <v>237</v>
      </c>
      <c r="N21" s="5">
        <v>50</v>
      </c>
      <c r="P21" s="1" t="s">
        <v>714</v>
      </c>
      <c r="Q21" s="5">
        <v>225000</v>
      </c>
      <c r="S21" s="6">
        <v>31</v>
      </c>
      <c r="AA21" s="661" t="s">
        <v>1113</v>
      </c>
      <c r="AB21" s="663"/>
      <c r="AC21" s="663"/>
      <c r="AD21" s="662"/>
      <c r="AG21" s="354" t="s">
        <v>239</v>
      </c>
      <c r="AH21" s="1" t="s">
        <v>3</v>
      </c>
      <c r="AI21" s="363">
        <v>240</v>
      </c>
      <c r="AJ21" s="372">
        <f t="shared" si="3"/>
        <v>2.6416666666666666</v>
      </c>
      <c r="AK21" s="363">
        <v>190</v>
      </c>
      <c r="AL21" s="372">
        <f t="shared" si="4"/>
        <v>2.7</v>
      </c>
      <c r="AM21" s="363">
        <v>460</v>
      </c>
      <c r="AN21" s="372">
        <f t="shared" si="5"/>
        <v>2.7086956521739132</v>
      </c>
      <c r="AO21" s="363">
        <v>100</v>
      </c>
      <c r="AP21" s="363">
        <v>500</v>
      </c>
      <c r="AQ21" s="363">
        <v>3.65</v>
      </c>
      <c r="AR21" s="363">
        <v>5</v>
      </c>
      <c r="AS21" s="364">
        <v>11.1</v>
      </c>
    </row>
    <row r="22" spans="1:45" ht="16.5" thickTop="1" thickBot="1" x14ac:dyDescent="0.3">
      <c r="A22" s="1" t="s">
        <v>225</v>
      </c>
      <c r="B22" s="7">
        <f>IF(B8 &lt;= 900, B8 * 0.1, 900 * 0.1 + (B8 - 900) * 0.2)</f>
        <v>109.24928</v>
      </c>
      <c r="G22" s="1" t="s">
        <v>238</v>
      </c>
      <c r="H22" s="5">
        <v>410</v>
      </c>
      <c r="I22" s="1" t="s">
        <v>238</v>
      </c>
      <c r="J22" s="5">
        <v>200</v>
      </c>
      <c r="K22" s="1" t="s">
        <v>238</v>
      </c>
      <c r="L22" s="5">
        <v>140</v>
      </c>
      <c r="M22" s="1" t="s">
        <v>238</v>
      </c>
      <c r="N22" s="5">
        <v>70</v>
      </c>
      <c r="P22" s="1" t="s">
        <v>715</v>
      </c>
      <c r="Q22" s="5">
        <v>200000</v>
      </c>
      <c r="S22" s="6">
        <v>30</v>
      </c>
      <c r="AA22" s="1" t="s">
        <v>1112</v>
      </c>
      <c r="AB22" s="1" t="s">
        <v>1110</v>
      </c>
      <c r="AC22" s="1" t="s">
        <v>1109</v>
      </c>
      <c r="AD22" s="1" t="s">
        <v>272</v>
      </c>
      <c r="AG22" s="354" t="s">
        <v>240</v>
      </c>
      <c r="AH22" s="1" t="s">
        <v>3</v>
      </c>
      <c r="AI22" s="363">
        <v>320</v>
      </c>
      <c r="AJ22" s="372">
        <f t="shared" si="3"/>
        <v>1.98125</v>
      </c>
      <c r="AK22" s="363">
        <v>260</v>
      </c>
      <c r="AL22" s="372">
        <f t="shared" si="4"/>
        <v>1.9730769230769232</v>
      </c>
      <c r="AM22" s="363">
        <v>620</v>
      </c>
      <c r="AN22" s="372">
        <f t="shared" si="5"/>
        <v>2.0096774193548388</v>
      </c>
      <c r="AO22" s="363">
        <v>100</v>
      </c>
      <c r="AP22" s="363">
        <v>500</v>
      </c>
      <c r="AQ22" s="363">
        <v>4.92</v>
      </c>
      <c r="AR22" s="363">
        <v>8</v>
      </c>
      <c r="AS22" s="364">
        <v>17.8</v>
      </c>
    </row>
    <row r="23" spans="1:45" ht="16.5" thickTop="1" thickBot="1" x14ac:dyDescent="0.3">
      <c r="A23" s="1" t="s">
        <v>226</v>
      </c>
      <c r="B23" s="7">
        <f>IF(B9 &lt;= 900, B9 * 0.1, 900 * 0.1 + (B9 - 900) * 0.2)</f>
        <v>124.099136</v>
      </c>
      <c r="G23" s="1" t="s">
        <v>239</v>
      </c>
      <c r="H23" s="5">
        <v>560</v>
      </c>
      <c r="I23" s="1" t="s">
        <v>239</v>
      </c>
      <c r="J23" s="5">
        <v>270</v>
      </c>
      <c r="K23" s="1" t="s">
        <v>239</v>
      </c>
      <c r="L23" s="5">
        <v>190</v>
      </c>
      <c r="M23" s="1" t="s">
        <v>239</v>
      </c>
      <c r="N23" s="5">
        <v>90</v>
      </c>
      <c r="P23" s="1" t="s">
        <v>716</v>
      </c>
      <c r="Q23" s="5">
        <v>170000</v>
      </c>
      <c r="S23" s="6">
        <v>29</v>
      </c>
      <c r="AA23" s="1" t="s">
        <v>969</v>
      </c>
      <c r="AB23" s="5">
        <f>AVERAGE(AI2:AI18)</f>
        <v>1843.8235294117646</v>
      </c>
      <c r="AC23" s="5">
        <f>AVERAGE(AK2:AK18)</f>
        <v>5231.1176470588234</v>
      </c>
      <c r="AD23" s="5">
        <f>AVERAGE(AM2:AM18)</f>
        <v>10558.235294117647</v>
      </c>
      <c r="AG23" s="354" t="s">
        <v>241</v>
      </c>
      <c r="AH23" s="1" t="s">
        <v>3</v>
      </c>
      <c r="AI23" s="363">
        <v>430</v>
      </c>
      <c r="AJ23" s="372">
        <f t="shared" si="3"/>
        <v>1.4744186046511627</v>
      </c>
      <c r="AK23" s="363">
        <v>350</v>
      </c>
      <c r="AL23" s="372">
        <f t="shared" si="4"/>
        <v>1.4657142857142857</v>
      </c>
      <c r="AM23" s="363">
        <v>840</v>
      </c>
      <c r="AN23" s="372">
        <f t="shared" si="5"/>
        <v>1.4833333333333334</v>
      </c>
      <c r="AO23" s="363">
        <v>100</v>
      </c>
      <c r="AP23" s="363">
        <v>500</v>
      </c>
      <c r="AQ23" s="363">
        <v>6.64</v>
      </c>
      <c r="AR23" s="363">
        <v>11</v>
      </c>
      <c r="AS23" s="364">
        <v>24.4</v>
      </c>
    </row>
    <row r="24" spans="1:45" ht="16.5" thickTop="1" thickBot="1" x14ac:dyDescent="0.3">
      <c r="A24" s="1" t="s">
        <v>227</v>
      </c>
      <c r="B24" s="7">
        <f>IF(B10 &lt;= 900, B10 * 0.1, 900 * 0.1 + (B10 - 900) * 0.2)</f>
        <v>141.91896319999995</v>
      </c>
      <c r="G24" s="1" t="s">
        <v>240</v>
      </c>
      <c r="H24" s="5">
        <v>740</v>
      </c>
      <c r="I24" s="1" t="s">
        <v>240</v>
      </c>
      <c r="J24" s="5">
        <v>360</v>
      </c>
      <c r="K24" s="1" t="s">
        <v>240</v>
      </c>
      <c r="L24" s="5">
        <v>260</v>
      </c>
      <c r="M24" s="1" t="s">
        <v>240</v>
      </c>
      <c r="N24" s="5">
        <v>120</v>
      </c>
      <c r="P24" s="1" t="s">
        <v>717</v>
      </c>
      <c r="Q24" s="5">
        <v>145000</v>
      </c>
      <c r="S24" s="6">
        <v>28</v>
      </c>
      <c r="AA24" s="1" t="s">
        <v>971</v>
      </c>
      <c r="AB24" s="5">
        <f>AVERAGE(AI36:AI52)</f>
        <v>3552.7647058823532</v>
      </c>
      <c r="AC24" s="5">
        <f>AVERAGE(AK36:AK52)</f>
        <v>2342.6470588235293</v>
      </c>
      <c r="AD24" s="5">
        <f>AVERAGE(AM36:AM52)</f>
        <v>6412.4705882352937</v>
      </c>
      <c r="AG24" s="354" t="s">
        <v>242</v>
      </c>
      <c r="AH24" s="1" t="s">
        <v>3</v>
      </c>
      <c r="AI24" s="363">
        <v>580</v>
      </c>
      <c r="AJ24" s="372">
        <f t="shared" si="3"/>
        <v>1.0931034482758621</v>
      </c>
      <c r="AK24" s="363">
        <v>470</v>
      </c>
      <c r="AL24" s="372">
        <f t="shared" si="4"/>
        <v>1.0914893617021277</v>
      </c>
      <c r="AM24" s="363">
        <v>1130</v>
      </c>
      <c r="AN24" s="372">
        <f t="shared" si="5"/>
        <v>1.1026548672566372</v>
      </c>
      <c r="AO24" s="363">
        <v>100</v>
      </c>
      <c r="AP24" s="363">
        <v>500</v>
      </c>
      <c r="AQ24" s="363">
        <v>8.9700000000000006</v>
      </c>
      <c r="AR24" s="363">
        <v>15</v>
      </c>
      <c r="AS24" s="364">
        <v>33.299999999999997</v>
      </c>
    </row>
    <row r="25" spans="1:45" ht="16.5" thickTop="1" thickBot="1" x14ac:dyDescent="0.3">
      <c r="A25" s="1" t="s">
        <v>228</v>
      </c>
      <c r="B25" s="7">
        <f>IF(B11 &lt;= 900, B11 * 0.1, 900 * 0.1 + (B11 - 900) * 0.2)</f>
        <v>163.30275583999997</v>
      </c>
      <c r="G25" s="1" t="s">
        <v>241</v>
      </c>
      <c r="H25" s="5">
        <v>1000</v>
      </c>
      <c r="I25" s="1" t="s">
        <v>241</v>
      </c>
      <c r="J25" s="5">
        <v>490</v>
      </c>
      <c r="K25" s="1" t="s">
        <v>241</v>
      </c>
      <c r="L25" s="5">
        <v>350</v>
      </c>
      <c r="M25" s="1" t="s">
        <v>241</v>
      </c>
      <c r="N25" s="5">
        <v>160</v>
      </c>
      <c r="P25" s="1" t="s">
        <v>718</v>
      </c>
      <c r="Q25" s="5">
        <v>125000</v>
      </c>
      <c r="S25" s="6">
        <v>27</v>
      </c>
      <c r="AA25" s="1" t="s">
        <v>970</v>
      </c>
      <c r="AB25" s="5">
        <f>AVERAGE(AI19:AI35)</f>
        <v>2141.1764705882351</v>
      </c>
      <c r="AC25" s="5">
        <f>AVERAGE(AK19:AK35)</f>
        <v>1725.5882352941176</v>
      </c>
      <c r="AD25" s="5">
        <f>AVERAGE(AM19:AM35)</f>
        <v>4205.2941176470586</v>
      </c>
      <c r="AG25" s="354" t="s">
        <v>243</v>
      </c>
      <c r="AH25" s="1" t="s">
        <v>3</v>
      </c>
      <c r="AI25" s="363">
        <v>780</v>
      </c>
      <c r="AJ25" s="372">
        <f t="shared" si="3"/>
        <v>0.81282051282051282</v>
      </c>
      <c r="AK25" s="363">
        <v>630</v>
      </c>
      <c r="AL25" s="372">
        <f t="shared" si="4"/>
        <v>0.81428571428571428</v>
      </c>
      <c r="AM25" s="363">
        <v>1530</v>
      </c>
      <c r="AN25" s="372">
        <f t="shared" si="5"/>
        <v>0.81437908496732025</v>
      </c>
      <c r="AO25" s="363">
        <v>100</v>
      </c>
      <c r="AP25" s="363">
        <v>500</v>
      </c>
      <c r="AQ25" s="363">
        <v>12.11</v>
      </c>
      <c r="AR25" s="363">
        <v>19</v>
      </c>
      <c r="AS25" s="364">
        <v>42.2</v>
      </c>
    </row>
    <row r="26" spans="1:45" ht="16.5" thickTop="1" thickBot="1" x14ac:dyDescent="0.3">
      <c r="G26" s="1" t="s">
        <v>242</v>
      </c>
      <c r="H26" s="5">
        <v>1350</v>
      </c>
      <c r="I26" s="1" t="s">
        <v>242</v>
      </c>
      <c r="J26" s="5">
        <v>660</v>
      </c>
      <c r="K26" s="1" t="s">
        <v>242</v>
      </c>
      <c r="L26" s="5">
        <v>470</v>
      </c>
      <c r="M26" s="1" t="s">
        <v>242</v>
      </c>
      <c r="N26" s="5">
        <v>220</v>
      </c>
      <c r="P26" s="1" t="s">
        <v>719</v>
      </c>
      <c r="Q26" s="5">
        <v>110000</v>
      </c>
      <c r="S26" s="6">
        <v>26</v>
      </c>
      <c r="AA26" s="1" t="s">
        <v>972</v>
      </c>
      <c r="AB26" s="5">
        <f>AVERAGE(AI53:AI69)</f>
        <v>1726.7647058823529</v>
      </c>
      <c r="AC26" s="5">
        <f>AVERAGE(AK53:AK69)</f>
        <v>820.70588235294122</v>
      </c>
      <c r="AD26" s="5">
        <f>AVERAGE(AM53:AM69)</f>
        <v>1726.7647058823529</v>
      </c>
      <c r="AG26" s="354" t="s">
        <v>244</v>
      </c>
      <c r="AH26" s="1" t="s">
        <v>3</v>
      </c>
      <c r="AI26" s="363">
        <v>1050</v>
      </c>
      <c r="AJ26" s="372">
        <f t="shared" si="3"/>
        <v>0.6038095238095238</v>
      </c>
      <c r="AK26" s="363">
        <v>850</v>
      </c>
      <c r="AL26" s="372">
        <f t="shared" si="4"/>
        <v>0.60352941176470587</v>
      </c>
      <c r="AM26" s="363">
        <v>2070</v>
      </c>
      <c r="AN26" s="372">
        <f t="shared" si="5"/>
        <v>0.60193236714975851</v>
      </c>
      <c r="AO26" s="363">
        <v>100</v>
      </c>
      <c r="AP26" s="363">
        <v>500</v>
      </c>
      <c r="AQ26" s="363">
        <v>16.34</v>
      </c>
      <c r="AR26" s="363">
        <v>23</v>
      </c>
      <c r="AS26" s="364">
        <v>51.1</v>
      </c>
    </row>
    <row r="27" spans="1:45" ht="16.5" thickTop="1" thickBot="1" x14ac:dyDescent="0.3">
      <c r="B27" s="1" t="s">
        <v>230</v>
      </c>
      <c r="C27" s="1" t="s">
        <v>201</v>
      </c>
      <c r="E27" s="1" t="s">
        <v>234</v>
      </c>
      <c r="G27" s="1" t="s">
        <v>243</v>
      </c>
      <c r="H27" s="5">
        <v>1820</v>
      </c>
      <c r="I27" s="1" t="s">
        <v>243</v>
      </c>
      <c r="J27" s="5">
        <v>890</v>
      </c>
      <c r="K27" s="1" t="s">
        <v>243</v>
      </c>
      <c r="L27" s="5">
        <v>630</v>
      </c>
      <c r="M27" s="1" t="s">
        <v>243</v>
      </c>
      <c r="N27" s="5">
        <v>300</v>
      </c>
      <c r="P27" s="1" t="s">
        <v>720</v>
      </c>
      <c r="Q27" s="5">
        <v>100000</v>
      </c>
      <c r="S27" s="6">
        <v>25</v>
      </c>
      <c r="AG27" s="354" t="s">
        <v>245</v>
      </c>
      <c r="AH27" s="1" t="s">
        <v>3</v>
      </c>
      <c r="AI27" s="363">
        <v>1420</v>
      </c>
      <c r="AJ27" s="372">
        <f t="shared" si="3"/>
        <v>0.44647887323943664</v>
      </c>
      <c r="AK27" s="363">
        <v>1150</v>
      </c>
      <c r="AL27" s="372">
        <f t="shared" si="4"/>
        <v>0.44608695652173913</v>
      </c>
      <c r="AM27" s="363">
        <v>2790</v>
      </c>
      <c r="AN27" s="372">
        <f t="shared" si="5"/>
        <v>0.44659498207885306</v>
      </c>
      <c r="AO27" s="363">
        <v>100</v>
      </c>
      <c r="AP27" s="363">
        <v>500</v>
      </c>
      <c r="AQ27" s="363">
        <v>22.06</v>
      </c>
      <c r="AR27" s="363">
        <v>27</v>
      </c>
      <c r="AS27" s="364">
        <v>60</v>
      </c>
    </row>
    <row r="28" spans="1:45" ht="16.5" thickTop="1" thickBot="1" x14ac:dyDescent="0.3">
      <c r="A28" s="1" t="s">
        <v>231</v>
      </c>
      <c r="B28" s="7">
        <v>250000</v>
      </c>
      <c r="C28" s="5">
        <v>5187</v>
      </c>
      <c r="E28" s="5">
        <f>B31*C31</f>
        <v>95910223500</v>
      </c>
      <c r="G28" s="1" t="s">
        <v>244</v>
      </c>
      <c r="H28" s="5">
        <v>2460</v>
      </c>
      <c r="I28" s="1" t="s">
        <v>244</v>
      </c>
      <c r="J28" s="5">
        <v>1200</v>
      </c>
      <c r="K28" s="1" t="s">
        <v>244</v>
      </c>
      <c r="L28" s="5">
        <v>850</v>
      </c>
      <c r="M28" s="1" t="s">
        <v>244</v>
      </c>
      <c r="N28" s="5">
        <v>410</v>
      </c>
      <c r="P28" s="1" t="s">
        <v>721</v>
      </c>
      <c r="Q28" s="5">
        <v>92800</v>
      </c>
      <c r="S28" s="6">
        <v>24</v>
      </c>
      <c r="AG28" s="354" t="s">
        <v>246</v>
      </c>
      <c r="AH28" s="1" t="s">
        <v>3</v>
      </c>
      <c r="AI28" s="363">
        <v>1920</v>
      </c>
      <c r="AJ28" s="372">
        <f t="shared" si="3"/>
        <v>0.33020833333333333</v>
      </c>
      <c r="AK28" s="363">
        <v>1550</v>
      </c>
      <c r="AL28" s="372">
        <f t="shared" si="4"/>
        <v>0.33096774193548389</v>
      </c>
      <c r="AM28" s="363">
        <v>3770</v>
      </c>
      <c r="AN28" s="372">
        <f t="shared" si="5"/>
        <v>0.33050397877984083</v>
      </c>
      <c r="AO28" s="363">
        <v>100</v>
      </c>
      <c r="AP28" s="363">
        <v>500</v>
      </c>
      <c r="AQ28" s="363">
        <v>29.79</v>
      </c>
      <c r="AR28" s="363">
        <v>32</v>
      </c>
      <c r="AS28" s="364">
        <v>71.099999999999994</v>
      </c>
    </row>
    <row r="29" spans="1:45" ht="16.5" thickTop="1" thickBot="1" x14ac:dyDescent="0.3">
      <c r="A29" s="1" t="s">
        <v>232</v>
      </c>
      <c r="B29" s="7">
        <v>630500</v>
      </c>
      <c r="C29" s="5">
        <v>0</v>
      </c>
      <c r="E29" s="1" t="s">
        <v>235</v>
      </c>
      <c r="G29" s="1" t="s">
        <v>245</v>
      </c>
      <c r="H29" s="5">
        <v>3320</v>
      </c>
      <c r="I29" s="1" t="s">
        <v>245</v>
      </c>
      <c r="J29" s="5">
        <v>1620</v>
      </c>
      <c r="K29" s="1" t="s">
        <v>245</v>
      </c>
      <c r="L29" s="5">
        <v>1150</v>
      </c>
      <c r="M29" s="1" t="s">
        <v>245</v>
      </c>
      <c r="N29" s="5">
        <v>550</v>
      </c>
      <c r="P29" s="1" t="s">
        <v>722</v>
      </c>
      <c r="Q29" s="5">
        <v>85200</v>
      </c>
      <c r="S29" s="6">
        <v>23</v>
      </c>
      <c r="AG29" s="354" t="s">
        <v>247</v>
      </c>
      <c r="AH29" s="1" t="s">
        <v>3</v>
      </c>
      <c r="AI29" s="363">
        <v>2400</v>
      </c>
      <c r="AJ29" s="372">
        <f t="shared" si="3"/>
        <v>0.26416666666666666</v>
      </c>
      <c r="AK29" s="363">
        <v>1940</v>
      </c>
      <c r="AL29" s="372">
        <f t="shared" si="4"/>
        <v>0.26443298969072165</v>
      </c>
      <c r="AM29" s="363">
        <v>4720</v>
      </c>
      <c r="AN29" s="372">
        <f t="shared" si="5"/>
        <v>0.2639830508474576</v>
      </c>
      <c r="AO29" s="363">
        <v>100</v>
      </c>
      <c r="AP29" s="363">
        <v>500</v>
      </c>
      <c r="AQ29" s="363">
        <v>35.75</v>
      </c>
      <c r="AR29" s="363">
        <v>38</v>
      </c>
      <c r="AS29" s="364">
        <v>84.4</v>
      </c>
    </row>
    <row r="30" spans="1:45" ht="16.5" thickTop="1" thickBot="1" x14ac:dyDescent="0.3">
      <c r="A30" s="1" t="s">
        <v>233</v>
      </c>
      <c r="B30" s="7">
        <v>0</v>
      </c>
      <c r="C30" s="5">
        <v>20</v>
      </c>
      <c r="E30" s="5">
        <f>(B28+B29)*(C28+C29)</f>
        <v>4567153500</v>
      </c>
      <c r="G30" s="1" t="s">
        <v>246</v>
      </c>
      <c r="H30" s="5">
        <v>4480</v>
      </c>
      <c r="I30" s="1" t="s">
        <v>246</v>
      </c>
      <c r="J30" s="5">
        <v>2190</v>
      </c>
      <c r="K30" s="1" t="s">
        <v>246</v>
      </c>
      <c r="L30" s="5">
        <v>1550</v>
      </c>
      <c r="M30" s="1" t="s">
        <v>246</v>
      </c>
      <c r="N30" s="5">
        <v>740</v>
      </c>
      <c r="P30" s="1" t="s">
        <v>723</v>
      </c>
      <c r="Q30" s="5">
        <v>78000</v>
      </c>
      <c r="S30" s="6">
        <v>22</v>
      </c>
      <c r="AG30" s="354" t="s">
        <v>248</v>
      </c>
      <c r="AH30" s="1" t="s">
        <v>3</v>
      </c>
      <c r="AI30" s="363">
        <v>3000</v>
      </c>
      <c r="AJ30" s="372">
        <f t="shared" si="3"/>
        <v>0.21133333333333335</v>
      </c>
      <c r="AK30" s="363">
        <v>2425</v>
      </c>
      <c r="AL30" s="372">
        <f t="shared" si="4"/>
        <v>0.21154639175257731</v>
      </c>
      <c r="AM30" s="363">
        <v>5900</v>
      </c>
      <c r="AN30" s="372">
        <f t="shared" si="5"/>
        <v>0.2111864406779661</v>
      </c>
      <c r="AO30" s="363">
        <v>100</v>
      </c>
      <c r="AP30" s="363">
        <v>500</v>
      </c>
      <c r="AQ30" s="363">
        <v>53.63</v>
      </c>
      <c r="AR30" s="363">
        <v>45</v>
      </c>
      <c r="AS30" s="364">
        <v>100</v>
      </c>
    </row>
    <row r="31" spans="1:45" ht="16.5" thickTop="1" thickBot="1" x14ac:dyDescent="0.3">
      <c r="A31" s="1" t="s">
        <v>203</v>
      </c>
      <c r="B31" s="7">
        <f>(B28*B30)+B28+B29</f>
        <v>880500</v>
      </c>
      <c r="C31" s="5">
        <f>(C28*C30)+C28+C29</f>
        <v>108927</v>
      </c>
      <c r="E31" s="1" t="s">
        <v>236</v>
      </c>
      <c r="G31" s="1" t="s">
        <v>247</v>
      </c>
      <c r="H31" s="5">
        <v>5600</v>
      </c>
      <c r="I31" s="1" t="s">
        <v>247</v>
      </c>
      <c r="J31" s="5">
        <v>2740</v>
      </c>
      <c r="K31" s="1" t="s">
        <v>247</v>
      </c>
      <c r="L31" s="5">
        <v>1940</v>
      </c>
      <c r="M31" s="1" t="s">
        <v>247</v>
      </c>
      <c r="N31" s="5">
        <v>930</v>
      </c>
      <c r="P31" s="1" t="s">
        <v>724</v>
      </c>
      <c r="Q31" s="5">
        <v>71200</v>
      </c>
      <c r="S31" s="6">
        <v>21</v>
      </c>
      <c r="AG31" s="354" t="s">
        <v>249</v>
      </c>
      <c r="AH31" s="1" t="s">
        <v>3</v>
      </c>
      <c r="AI31" s="363">
        <v>3450</v>
      </c>
      <c r="AJ31" s="372">
        <f t="shared" si="3"/>
        <v>0.18376811594202899</v>
      </c>
      <c r="AK31" s="363">
        <v>2780</v>
      </c>
      <c r="AL31" s="372">
        <f t="shared" si="4"/>
        <v>0.18453237410071943</v>
      </c>
      <c r="AM31" s="363">
        <v>6780</v>
      </c>
      <c r="AN31" s="372">
        <f t="shared" si="5"/>
        <v>0.18377581120943953</v>
      </c>
      <c r="AO31" s="363">
        <v>100</v>
      </c>
      <c r="AP31" s="363">
        <v>500</v>
      </c>
      <c r="AQ31" s="363">
        <v>81</v>
      </c>
      <c r="AR31" s="363">
        <v>52</v>
      </c>
      <c r="AS31" s="364">
        <v>115.6</v>
      </c>
    </row>
    <row r="32" spans="1:45" ht="16.5" thickTop="1" thickBot="1" x14ac:dyDescent="0.3">
      <c r="E32" s="5">
        <f>E28-E30</f>
        <v>91343070000</v>
      </c>
      <c r="G32" s="1" t="s">
        <v>248</v>
      </c>
      <c r="H32" s="5">
        <v>7000</v>
      </c>
      <c r="I32" s="1" t="s">
        <v>248</v>
      </c>
      <c r="J32" s="5">
        <v>3425</v>
      </c>
      <c r="K32" s="1" t="s">
        <v>248</v>
      </c>
      <c r="L32" s="5">
        <v>2425</v>
      </c>
      <c r="M32" s="1" t="s">
        <v>248</v>
      </c>
      <c r="N32" s="5">
        <v>1162</v>
      </c>
      <c r="P32" s="1" t="s">
        <v>725</v>
      </c>
      <c r="Q32" s="5">
        <v>64600</v>
      </c>
      <c r="S32" s="6">
        <v>20</v>
      </c>
      <c r="AG32" s="354" t="s">
        <v>250</v>
      </c>
      <c r="AH32" s="1" t="s">
        <v>3</v>
      </c>
      <c r="AI32" s="363">
        <v>4070</v>
      </c>
      <c r="AJ32" s="372">
        <f t="shared" si="3"/>
        <v>0.15577395577395578</v>
      </c>
      <c r="AK32" s="363">
        <v>3280</v>
      </c>
      <c r="AL32" s="372">
        <f t="shared" si="4"/>
        <v>0.15640243902439024</v>
      </c>
      <c r="AM32" s="363">
        <v>8000</v>
      </c>
      <c r="AN32" s="372">
        <f t="shared" si="5"/>
        <v>0.15575</v>
      </c>
      <c r="AO32" s="363">
        <v>100</v>
      </c>
      <c r="AP32" s="363">
        <v>500</v>
      </c>
      <c r="AQ32" s="363">
        <v>122</v>
      </c>
      <c r="AR32" s="363">
        <v>60</v>
      </c>
      <c r="AS32" s="364">
        <v>133.30000000000001</v>
      </c>
    </row>
    <row r="33" spans="6:45" ht="16.5" thickTop="1" thickBot="1" x14ac:dyDescent="0.3">
      <c r="G33" s="1" t="s">
        <v>249</v>
      </c>
      <c r="H33" s="5">
        <v>8400</v>
      </c>
      <c r="I33" s="1" t="s">
        <v>249</v>
      </c>
      <c r="J33" s="5">
        <v>3830</v>
      </c>
      <c r="K33" s="1" t="s">
        <v>249</v>
      </c>
      <c r="L33" s="5">
        <v>2780</v>
      </c>
      <c r="M33" s="1" t="s">
        <v>249</v>
      </c>
      <c r="N33" s="5">
        <v>1330</v>
      </c>
      <c r="P33" s="1" t="s">
        <v>726</v>
      </c>
      <c r="Q33" s="5">
        <v>58400</v>
      </c>
      <c r="S33" s="6">
        <v>19</v>
      </c>
      <c r="AG33" s="354" t="s">
        <v>251</v>
      </c>
      <c r="AH33" s="1" t="s">
        <v>3</v>
      </c>
      <c r="AI33" s="363">
        <v>4690</v>
      </c>
      <c r="AJ33" s="372">
        <f t="shared" si="3"/>
        <v>0.13518123667377399</v>
      </c>
      <c r="AK33" s="363">
        <v>3780</v>
      </c>
      <c r="AL33" s="372">
        <f t="shared" si="4"/>
        <v>0.1357142857142857</v>
      </c>
      <c r="AM33" s="363">
        <v>9220</v>
      </c>
      <c r="AN33" s="372">
        <f t="shared" si="5"/>
        <v>0.13514099783080261</v>
      </c>
      <c r="AO33" s="363">
        <v>100</v>
      </c>
      <c r="AP33" s="363">
        <v>500</v>
      </c>
      <c r="AQ33" s="363">
        <v>163</v>
      </c>
      <c r="AR33" s="363">
        <v>70</v>
      </c>
      <c r="AS33" s="364">
        <v>155.6</v>
      </c>
    </row>
    <row r="34" spans="6:45" ht="16.5" thickTop="1" thickBot="1" x14ac:dyDescent="0.3">
      <c r="G34" s="1" t="s">
        <v>250</v>
      </c>
      <c r="H34" s="5">
        <v>10330</v>
      </c>
      <c r="I34" s="1" t="s">
        <v>250</v>
      </c>
      <c r="J34" s="5">
        <v>4400</v>
      </c>
      <c r="K34" s="1" t="s">
        <v>250</v>
      </c>
      <c r="L34" s="5">
        <v>3280</v>
      </c>
      <c r="M34" s="1" t="s">
        <v>250</v>
      </c>
      <c r="N34" s="5">
        <v>1560</v>
      </c>
      <c r="P34" s="1" t="s">
        <v>727</v>
      </c>
      <c r="Q34" s="5">
        <v>52400</v>
      </c>
      <c r="S34" s="6">
        <v>18</v>
      </c>
      <c r="AG34" s="354" t="s">
        <v>252</v>
      </c>
      <c r="AH34" s="1" t="s">
        <v>3</v>
      </c>
      <c r="AI34" s="363">
        <v>5460</v>
      </c>
      <c r="AJ34" s="372">
        <f t="shared" si="3"/>
        <v>0.11611721611721612</v>
      </c>
      <c r="AK34" s="363">
        <v>4390</v>
      </c>
      <c r="AL34" s="372">
        <f t="shared" si="4"/>
        <v>0.11685649202733485</v>
      </c>
      <c r="AM34" s="363">
        <v>10730</v>
      </c>
      <c r="AN34" s="372">
        <f t="shared" si="5"/>
        <v>0.11612301957129544</v>
      </c>
      <c r="AO34" s="363">
        <v>100</v>
      </c>
      <c r="AP34" s="363">
        <v>500</v>
      </c>
      <c r="AQ34" s="363">
        <v>230</v>
      </c>
      <c r="AR34" s="363">
        <v>80</v>
      </c>
      <c r="AS34" s="364">
        <v>177.8</v>
      </c>
    </row>
    <row r="35" spans="6:45" ht="16.5" thickTop="1" thickBot="1" x14ac:dyDescent="0.3">
      <c r="G35" s="1" t="s">
        <v>251</v>
      </c>
      <c r="H35" s="5">
        <v>11760</v>
      </c>
      <c r="I35" s="1" t="s">
        <v>251</v>
      </c>
      <c r="J35" s="5">
        <v>4970</v>
      </c>
      <c r="K35" s="1" t="s">
        <v>251</v>
      </c>
      <c r="L35" s="5">
        <v>3780</v>
      </c>
      <c r="M35" s="1" t="s">
        <v>251</v>
      </c>
      <c r="N35" s="5">
        <v>1790</v>
      </c>
      <c r="P35" s="1" t="s">
        <v>728</v>
      </c>
      <c r="Q35" s="5">
        <v>46800</v>
      </c>
      <c r="S35" s="6">
        <v>17</v>
      </c>
      <c r="AG35" s="355" t="s">
        <v>693</v>
      </c>
      <c r="AH35" s="356" t="s">
        <v>3</v>
      </c>
      <c r="AI35" s="365">
        <v>6280</v>
      </c>
      <c r="AJ35" s="373">
        <f t="shared" si="3"/>
        <v>0.10095541401273886</v>
      </c>
      <c r="AK35" s="365">
        <v>5050</v>
      </c>
      <c r="AL35" s="373">
        <f t="shared" si="4"/>
        <v>0.10158415841584158</v>
      </c>
      <c r="AM35" s="365">
        <v>12340</v>
      </c>
      <c r="AN35" s="373">
        <f t="shared" si="5"/>
        <v>0.10097244732576985</v>
      </c>
      <c r="AO35" s="365">
        <v>100</v>
      </c>
      <c r="AP35" s="365">
        <v>500</v>
      </c>
      <c r="AQ35" s="365">
        <v>310</v>
      </c>
      <c r="AR35" s="365">
        <v>125</v>
      </c>
      <c r="AS35" s="366">
        <v>277.8</v>
      </c>
    </row>
    <row r="36" spans="6:45" ht="16.5" thickTop="1" thickBot="1" x14ac:dyDescent="0.3">
      <c r="G36" s="1" t="s">
        <v>252</v>
      </c>
      <c r="H36" s="5">
        <v>13670</v>
      </c>
      <c r="I36" s="1" t="s">
        <v>252</v>
      </c>
      <c r="J36" s="5">
        <v>5780</v>
      </c>
      <c r="K36" s="1" t="s">
        <v>252</v>
      </c>
      <c r="L36" s="5">
        <v>4390</v>
      </c>
      <c r="M36" s="1" t="s">
        <v>252</v>
      </c>
      <c r="N36" s="5">
        <v>2080</v>
      </c>
      <c r="P36" s="1" t="s">
        <v>729</v>
      </c>
      <c r="Q36" s="5">
        <v>41600</v>
      </c>
      <c r="S36" s="6">
        <v>16</v>
      </c>
      <c r="AG36" s="352" t="s">
        <v>237</v>
      </c>
      <c r="AH36" s="353" t="s">
        <v>1</v>
      </c>
      <c r="AI36" s="367">
        <v>220</v>
      </c>
      <c r="AJ36" s="371">
        <f>$AB$17/AI36</f>
        <v>4.9818181818181815</v>
      </c>
      <c r="AK36" s="367">
        <v>150</v>
      </c>
      <c r="AL36" s="371">
        <f>$AC$17/AK36</f>
        <v>4.8266666666666671</v>
      </c>
      <c r="AM36" s="367">
        <v>400</v>
      </c>
      <c r="AN36" s="371">
        <f>$AD$17/AM36</f>
        <v>4.9450000000000003</v>
      </c>
      <c r="AO36" s="367">
        <v>600</v>
      </c>
      <c r="AP36" s="367">
        <v>50</v>
      </c>
      <c r="AQ36" s="367">
        <v>2</v>
      </c>
      <c r="AR36" s="367">
        <v>1</v>
      </c>
      <c r="AS36" s="368">
        <v>2.2000000000000002</v>
      </c>
    </row>
    <row r="37" spans="6:45" ht="16.5" thickTop="1" thickBot="1" x14ac:dyDescent="0.3">
      <c r="G37" s="1" t="s">
        <v>693</v>
      </c>
      <c r="H37" s="5">
        <v>15729</v>
      </c>
      <c r="I37" s="1" t="s">
        <v>693</v>
      </c>
      <c r="J37" s="5">
        <v>6650</v>
      </c>
      <c r="K37" s="1" t="s">
        <v>693</v>
      </c>
      <c r="L37" s="5">
        <v>5050</v>
      </c>
      <c r="M37" s="1" t="s">
        <v>693</v>
      </c>
      <c r="N37" s="5">
        <v>2390</v>
      </c>
      <c r="P37" s="1" t="s">
        <v>730</v>
      </c>
      <c r="Q37" s="5">
        <v>36600</v>
      </c>
      <c r="S37" s="6">
        <v>15</v>
      </c>
      <c r="AG37" s="354" t="s">
        <v>238</v>
      </c>
      <c r="AH37" s="1" t="s">
        <v>1</v>
      </c>
      <c r="AI37" s="363">
        <v>300</v>
      </c>
      <c r="AJ37" s="372">
        <f t="shared" ref="AJ37:AJ52" si="6">$AB$17/AI37</f>
        <v>3.6533333333333333</v>
      </c>
      <c r="AK37" s="363">
        <v>200</v>
      </c>
      <c r="AL37" s="372">
        <f t="shared" ref="AL37:AL52" si="7">$AC$17/AK37</f>
        <v>3.62</v>
      </c>
      <c r="AM37" s="363">
        <v>540</v>
      </c>
      <c r="AN37" s="372">
        <f t="shared" ref="AN37:AN52" si="8">$AD$17/AM37</f>
        <v>3.662962962962963</v>
      </c>
      <c r="AO37" s="363">
        <v>600</v>
      </c>
      <c r="AP37" s="363">
        <v>50</v>
      </c>
      <c r="AQ37" s="363">
        <v>2.7</v>
      </c>
      <c r="AR37" s="363">
        <v>3</v>
      </c>
      <c r="AS37" s="364">
        <v>6.7</v>
      </c>
    </row>
    <row r="38" spans="6:45" ht="16.5" thickTop="1" thickBot="1" x14ac:dyDescent="0.3">
      <c r="P38" s="1" t="s">
        <v>731</v>
      </c>
      <c r="Q38" s="5">
        <v>32000</v>
      </c>
      <c r="S38" s="6">
        <v>14</v>
      </c>
      <c r="AG38" s="354" t="s">
        <v>239</v>
      </c>
      <c r="AH38" s="1" t="s">
        <v>1</v>
      </c>
      <c r="AI38" s="363">
        <v>410</v>
      </c>
      <c r="AJ38" s="372">
        <f t="shared" si="6"/>
        <v>2.6731707317073172</v>
      </c>
      <c r="AK38" s="363">
        <v>270</v>
      </c>
      <c r="AL38" s="372">
        <f t="shared" si="7"/>
        <v>2.6814814814814816</v>
      </c>
      <c r="AM38" s="363">
        <v>730</v>
      </c>
      <c r="AN38" s="372">
        <f t="shared" si="8"/>
        <v>2.7095890410958905</v>
      </c>
      <c r="AO38" s="363">
        <v>600</v>
      </c>
      <c r="AP38" s="363">
        <v>50</v>
      </c>
      <c r="AQ38" s="363">
        <v>3.65</v>
      </c>
      <c r="AR38" s="363">
        <v>5</v>
      </c>
      <c r="AS38" s="364">
        <v>11.1</v>
      </c>
    </row>
    <row r="39" spans="6:45" ht="16.5" thickTop="1" thickBot="1" x14ac:dyDescent="0.3">
      <c r="F39" s="1" t="s">
        <v>272</v>
      </c>
      <c r="G39" s="661" t="s">
        <v>2</v>
      </c>
      <c r="H39" s="662"/>
      <c r="I39" s="661" t="s">
        <v>1</v>
      </c>
      <c r="J39" s="662"/>
      <c r="K39" s="661" t="s">
        <v>254</v>
      </c>
      <c r="L39" s="662"/>
      <c r="M39" s="661" t="s">
        <v>4</v>
      </c>
      <c r="N39" s="662"/>
      <c r="P39" s="1" t="s">
        <v>732</v>
      </c>
      <c r="Q39" s="5">
        <v>27600</v>
      </c>
      <c r="S39" s="6">
        <v>13</v>
      </c>
      <c r="AG39" s="354" t="s">
        <v>240</v>
      </c>
      <c r="AH39" s="1" t="s">
        <v>1</v>
      </c>
      <c r="AI39" s="363">
        <v>550</v>
      </c>
      <c r="AJ39" s="372">
        <f t="shared" si="6"/>
        <v>1.9927272727272727</v>
      </c>
      <c r="AK39" s="363">
        <v>360</v>
      </c>
      <c r="AL39" s="372">
        <f t="shared" si="7"/>
        <v>2.0111111111111111</v>
      </c>
      <c r="AM39" s="363">
        <v>990</v>
      </c>
      <c r="AN39" s="372">
        <f t="shared" si="8"/>
        <v>1.997979797979798</v>
      </c>
      <c r="AO39" s="363">
        <v>600</v>
      </c>
      <c r="AP39" s="363">
        <v>50</v>
      </c>
      <c r="AQ39" s="363">
        <v>4.92</v>
      </c>
      <c r="AR39" s="363">
        <v>8</v>
      </c>
      <c r="AS39" s="364">
        <v>17.8</v>
      </c>
    </row>
    <row r="40" spans="6:45" ht="16.5" thickTop="1" thickBot="1" x14ac:dyDescent="0.3">
      <c r="G40" s="1" t="s">
        <v>237</v>
      </c>
      <c r="H40" s="5">
        <v>600</v>
      </c>
      <c r="I40" s="1" t="s">
        <v>237</v>
      </c>
      <c r="J40" s="5">
        <v>400</v>
      </c>
      <c r="K40" s="1" t="s">
        <v>237</v>
      </c>
      <c r="L40" s="5">
        <v>250</v>
      </c>
      <c r="M40" s="1" t="s">
        <v>237</v>
      </c>
      <c r="N40" s="5">
        <v>100</v>
      </c>
      <c r="P40" s="1" t="s">
        <v>733</v>
      </c>
      <c r="Q40" s="5">
        <v>23600</v>
      </c>
      <c r="S40" s="6">
        <v>12</v>
      </c>
      <c r="AG40" s="354" t="s">
        <v>241</v>
      </c>
      <c r="AH40" s="1" t="s">
        <v>1</v>
      </c>
      <c r="AI40" s="363">
        <v>740</v>
      </c>
      <c r="AJ40" s="372">
        <f t="shared" si="6"/>
        <v>1.4810810810810811</v>
      </c>
      <c r="AK40" s="363">
        <v>490</v>
      </c>
      <c r="AL40" s="372">
        <f t="shared" si="7"/>
        <v>1.4775510204081632</v>
      </c>
      <c r="AM40" s="363">
        <v>1340</v>
      </c>
      <c r="AN40" s="372">
        <f t="shared" si="8"/>
        <v>1.4761194029850746</v>
      </c>
      <c r="AO40" s="363">
        <v>600</v>
      </c>
      <c r="AP40" s="363">
        <v>50</v>
      </c>
      <c r="AQ40" s="363">
        <v>6.64</v>
      </c>
      <c r="AR40" s="363">
        <v>11</v>
      </c>
      <c r="AS40" s="364">
        <v>24.4</v>
      </c>
    </row>
    <row r="41" spans="6:45" ht="16.5" thickTop="1" thickBot="1" x14ac:dyDescent="0.3">
      <c r="G41" s="1" t="s">
        <v>238</v>
      </c>
      <c r="H41" s="5">
        <v>810</v>
      </c>
      <c r="I41" s="1" t="s">
        <v>238</v>
      </c>
      <c r="J41" s="5">
        <v>540</v>
      </c>
      <c r="K41" s="1" t="s">
        <v>238</v>
      </c>
      <c r="L41" s="5">
        <v>340</v>
      </c>
      <c r="M41" s="1" t="s">
        <v>238</v>
      </c>
      <c r="N41" s="5">
        <v>140</v>
      </c>
      <c r="P41" s="1" t="s">
        <v>734</v>
      </c>
      <c r="Q41" s="5">
        <v>20000</v>
      </c>
      <c r="S41" s="6">
        <v>11</v>
      </c>
      <c r="AG41" s="354" t="s">
        <v>242</v>
      </c>
      <c r="AH41" s="1" t="s">
        <v>1</v>
      </c>
      <c r="AI41" s="363">
        <v>1000</v>
      </c>
      <c r="AJ41" s="372">
        <f t="shared" si="6"/>
        <v>1.0960000000000001</v>
      </c>
      <c r="AK41" s="363">
        <v>660</v>
      </c>
      <c r="AL41" s="372">
        <f t="shared" si="7"/>
        <v>1.0969696969696969</v>
      </c>
      <c r="AM41" s="363">
        <v>1810</v>
      </c>
      <c r="AN41" s="372">
        <f t="shared" si="8"/>
        <v>1.0928176795580111</v>
      </c>
      <c r="AO41" s="363">
        <v>600</v>
      </c>
      <c r="AP41" s="363">
        <v>50</v>
      </c>
      <c r="AQ41" s="363">
        <v>8.9700000000000006</v>
      </c>
      <c r="AR41" s="363">
        <v>15</v>
      </c>
      <c r="AS41" s="364">
        <v>33.299999999999997</v>
      </c>
    </row>
    <row r="42" spans="6:45" ht="16.5" thickTop="1" thickBot="1" x14ac:dyDescent="0.3">
      <c r="G42" s="1" t="s">
        <v>239</v>
      </c>
      <c r="H42" s="5">
        <v>1110</v>
      </c>
      <c r="I42" s="1" t="s">
        <v>239</v>
      </c>
      <c r="J42" s="5">
        <v>730</v>
      </c>
      <c r="K42" s="1" t="s">
        <v>239</v>
      </c>
      <c r="L42" s="5">
        <v>460</v>
      </c>
      <c r="M42" s="1" t="s">
        <v>239</v>
      </c>
      <c r="N42" s="5">
        <v>190</v>
      </c>
      <c r="P42" s="1" t="s">
        <v>735</v>
      </c>
      <c r="Q42" s="5">
        <v>16600</v>
      </c>
      <c r="S42" s="6">
        <v>10</v>
      </c>
      <c r="AG42" s="354" t="s">
        <v>243</v>
      </c>
      <c r="AH42" s="1" t="s">
        <v>1</v>
      </c>
      <c r="AI42" s="363">
        <v>1350</v>
      </c>
      <c r="AJ42" s="372">
        <f t="shared" si="6"/>
        <v>0.81185185185185182</v>
      </c>
      <c r="AK42" s="363">
        <v>890</v>
      </c>
      <c r="AL42" s="372">
        <f t="shared" si="7"/>
        <v>0.81348314606741579</v>
      </c>
      <c r="AM42" s="363">
        <v>2440</v>
      </c>
      <c r="AN42" s="372">
        <f t="shared" si="8"/>
        <v>0.81065573770491806</v>
      </c>
      <c r="AO42" s="363">
        <v>600</v>
      </c>
      <c r="AP42" s="363">
        <v>50</v>
      </c>
      <c r="AQ42" s="363">
        <v>12.11</v>
      </c>
      <c r="AR42" s="363">
        <v>19</v>
      </c>
      <c r="AS42" s="364">
        <v>42.2</v>
      </c>
    </row>
    <row r="43" spans="6:45" ht="16.5" thickTop="1" thickBot="1" x14ac:dyDescent="0.3">
      <c r="G43" s="1" t="s">
        <v>240</v>
      </c>
      <c r="H43" s="5">
        <v>1470</v>
      </c>
      <c r="I43" s="1" t="s">
        <v>240</v>
      </c>
      <c r="J43" s="5">
        <v>990</v>
      </c>
      <c r="K43" s="1" t="s">
        <v>240</v>
      </c>
      <c r="L43" s="5">
        <v>620</v>
      </c>
      <c r="M43" s="1" t="s">
        <v>240</v>
      </c>
      <c r="N43" s="5">
        <v>260</v>
      </c>
      <c r="P43" s="1" t="s">
        <v>736</v>
      </c>
      <c r="Q43" s="5">
        <v>13600</v>
      </c>
      <c r="S43" s="6">
        <v>9</v>
      </c>
      <c r="AG43" s="354" t="s">
        <v>244</v>
      </c>
      <c r="AH43" s="1" t="s">
        <v>1</v>
      </c>
      <c r="AI43" s="363">
        <v>1820</v>
      </c>
      <c r="AJ43" s="372">
        <f t="shared" si="6"/>
        <v>0.60219780219780217</v>
      </c>
      <c r="AK43" s="363">
        <v>1200</v>
      </c>
      <c r="AL43" s="372">
        <f t="shared" si="7"/>
        <v>0.60333333333333339</v>
      </c>
      <c r="AM43" s="363">
        <v>3290</v>
      </c>
      <c r="AN43" s="372">
        <f t="shared" si="8"/>
        <v>0.60121580547112463</v>
      </c>
      <c r="AO43" s="363">
        <v>600</v>
      </c>
      <c r="AP43" s="363">
        <v>50</v>
      </c>
      <c r="AQ43" s="363">
        <v>16.34</v>
      </c>
      <c r="AR43" s="363">
        <v>23</v>
      </c>
      <c r="AS43" s="364">
        <v>51.1</v>
      </c>
    </row>
    <row r="44" spans="6:45" ht="16.5" thickTop="1" thickBot="1" x14ac:dyDescent="0.3">
      <c r="G44" s="1" t="s">
        <v>241</v>
      </c>
      <c r="H44" s="5">
        <v>1980</v>
      </c>
      <c r="I44" s="1" t="s">
        <v>241</v>
      </c>
      <c r="J44" s="5">
        <v>1340</v>
      </c>
      <c r="K44" s="1" t="s">
        <v>241</v>
      </c>
      <c r="L44" s="5">
        <v>840</v>
      </c>
      <c r="M44" s="1" t="s">
        <v>241</v>
      </c>
      <c r="N44" s="5">
        <v>350</v>
      </c>
      <c r="P44" s="1" t="s">
        <v>737</v>
      </c>
      <c r="Q44" s="5">
        <v>10800</v>
      </c>
      <c r="S44" s="6">
        <v>8</v>
      </c>
      <c r="AG44" s="354" t="s">
        <v>245</v>
      </c>
      <c r="AH44" s="1" t="s">
        <v>1</v>
      </c>
      <c r="AI44" s="363">
        <v>2460</v>
      </c>
      <c r="AJ44" s="372">
        <f t="shared" si="6"/>
        <v>0.44552845528455287</v>
      </c>
      <c r="AK44" s="363">
        <v>1620</v>
      </c>
      <c r="AL44" s="372">
        <f t="shared" si="7"/>
        <v>0.44691358024691358</v>
      </c>
      <c r="AM44" s="363">
        <v>4400</v>
      </c>
      <c r="AN44" s="372">
        <f t="shared" si="8"/>
        <v>0.44954545454545453</v>
      </c>
      <c r="AO44" s="363">
        <v>600</v>
      </c>
      <c r="AP44" s="363">
        <v>50</v>
      </c>
      <c r="AQ44" s="363">
        <v>22.06</v>
      </c>
      <c r="AR44" s="363">
        <v>27</v>
      </c>
      <c r="AS44" s="364">
        <v>60</v>
      </c>
    </row>
    <row r="45" spans="6:45" ht="16.5" thickTop="1" thickBot="1" x14ac:dyDescent="0.3">
      <c r="G45" s="1" t="s">
        <v>242</v>
      </c>
      <c r="H45" s="5">
        <v>2670</v>
      </c>
      <c r="I45" s="1" t="s">
        <v>242</v>
      </c>
      <c r="J45" s="5">
        <v>1810</v>
      </c>
      <c r="K45" s="1" t="s">
        <v>242</v>
      </c>
      <c r="L45" s="5">
        <v>1130</v>
      </c>
      <c r="M45" s="1" t="s">
        <v>242</v>
      </c>
      <c r="N45" s="5">
        <v>470</v>
      </c>
      <c r="P45" s="1" t="s">
        <v>738</v>
      </c>
      <c r="Q45" s="5">
        <v>8400</v>
      </c>
      <c r="S45" s="6">
        <v>7</v>
      </c>
      <c r="AG45" s="354" t="s">
        <v>246</v>
      </c>
      <c r="AH45" s="1" t="s">
        <v>1</v>
      </c>
      <c r="AI45" s="363">
        <v>3320</v>
      </c>
      <c r="AJ45" s="372">
        <f t="shared" si="6"/>
        <v>0.33012048192771082</v>
      </c>
      <c r="AK45" s="363">
        <v>2190</v>
      </c>
      <c r="AL45" s="372">
        <f t="shared" si="7"/>
        <v>0.33059360730593607</v>
      </c>
      <c r="AM45" s="363">
        <v>5990</v>
      </c>
      <c r="AN45" s="372">
        <f t="shared" si="8"/>
        <v>0.33021702838063438</v>
      </c>
      <c r="AO45" s="363">
        <v>600</v>
      </c>
      <c r="AP45" s="363">
        <v>50</v>
      </c>
      <c r="AQ45" s="363">
        <v>29.79</v>
      </c>
      <c r="AR45" s="363">
        <v>32</v>
      </c>
      <c r="AS45" s="364">
        <v>71.099999999999994</v>
      </c>
    </row>
    <row r="46" spans="6:45" ht="16.5" thickTop="1" thickBot="1" x14ac:dyDescent="0.3">
      <c r="G46" s="1" t="s">
        <v>243</v>
      </c>
      <c r="H46" s="5">
        <v>3600</v>
      </c>
      <c r="I46" s="1" t="s">
        <v>243</v>
      </c>
      <c r="J46" s="5">
        <v>2440</v>
      </c>
      <c r="K46" s="1" t="s">
        <v>243</v>
      </c>
      <c r="L46" s="5">
        <v>1530</v>
      </c>
      <c r="M46" s="1" t="s">
        <v>243</v>
      </c>
      <c r="N46" s="5">
        <v>630</v>
      </c>
      <c r="P46" s="1" t="s">
        <v>739</v>
      </c>
      <c r="Q46" s="5">
        <v>6400</v>
      </c>
      <c r="S46" s="6">
        <v>6</v>
      </c>
      <c r="AG46" s="354" t="s">
        <v>247</v>
      </c>
      <c r="AH46" s="1" t="s">
        <v>1</v>
      </c>
      <c r="AI46" s="363">
        <v>4150</v>
      </c>
      <c r="AJ46" s="372">
        <f t="shared" si="6"/>
        <v>0.26409638554216869</v>
      </c>
      <c r="AK46" s="363">
        <v>2740</v>
      </c>
      <c r="AL46" s="372">
        <f t="shared" si="7"/>
        <v>0.26423357664233577</v>
      </c>
      <c r="AM46" s="363">
        <v>7490</v>
      </c>
      <c r="AN46" s="372">
        <f t="shared" si="8"/>
        <v>0.26408544726301736</v>
      </c>
      <c r="AO46" s="363">
        <v>600</v>
      </c>
      <c r="AP46" s="363">
        <v>50</v>
      </c>
      <c r="AQ46" s="363">
        <v>35.75</v>
      </c>
      <c r="AR46" s="363">
        <v>38</v>
      </c>
      <c r="AS46" s="364">
        <v>84.4</v>
      </c>
    </row>
    <row r="47" spans="6:45" ht="16.5" thickTop="1" thickBot="1" x14ac:dyDescent="0.3">
      <c r="G47" s="1" t="s">
        <v>244</v>
      </c>
      <c r="H47" s="5">
        <v>4860</v>
      </c>
      <c r="I47" s="1" t="s">
        <v>244</v>
      </c>
      <c r="J47" s="5">
        <v>3290</v>
      </c>
      <c r="K47" s="1" t="s">
        <v>244</v>
      </c>
      <c r="L47" s="5">
        <v>2070</v>
      </c>
      <c r="M47" s="1" t="s">
        <v>244</v>
      </c>
      <c r="N47" s="5">
        <v>850</v>
      </c>
      <c r="P47" s="1" t="s">
        <v>740</v>
      </c>
      <c r="Q47" s="5">
        <v>4600</v>
      </c>
      <c r="S47" s="6">
        <v>5</v>
      </c>
      <c r="AG47" s="354" t="s">
        <v>248</v>
      </c>
      <c r="AH47" s="1" t="s">
        <v>1</v>
      </c>
      <c r="AI47" s="363">
        <v>5187</v>
      </c>
      <c r="AJ47" s="372">
        <f t="shared" si="6"/>
        <v>0.2112974744553692</v>
      </c>
      <c r="AK47" s="363">
        <v>3425</v>
      </c>
      <c r="AL47" s="372">
        <f t="shared" si="7"/>
        <v>0.21138686131386861</v>
      </c>
      <c r="AM47" s="363">
        <v>9362</v>
      </c>
      <c r="AN47" s="372">
        <f t="shared" si="8"/>
        <v>0.21127964110232855</v>
      </c>
      <c r="AO47" s="363">
        <v>600</v>
      </c>
      <c r="AP47" s="363">
        <v>50</v>
      </c>
      <c r="AQ47" s="363">
        <v>53.63</v>
      </c>
      <c r="AR47" s="363">
        <v>45</v>
      </c>
      <c r="AS47" s="364">
        <v>100</v>
      </c>
    </row>
    <row r="48" spans="6:45" ht="16.5" thickTop="1" thickBot="1" x14ac:dyDescent="0.3">
      <c r="G48" s="1" t="s">
        <v>245</v>
      </c>
      <c r="H48" s="5">
        <v>6560</v>
      </c>
      <c r="I48" s="1" t="s">
        <v>245</v>
      </c>
      <c r="J48" s="5">
        <v>4400</v>
      </c>
      <c r="K48" s="1" t="s">
        <v>245</v>
      </c>
      <c r="L48" s="5">
        <v>2790</v>
      </c>
      <c r="M48" s="1" t="s">
        <v>245</v>
      </c>
      <c r="N48" s="5">
        <v>1150</v>
      </c>
      <c r="P48" s="1" t="s">
        <v>741</v>
      </c>
      <c r="Q48" s="5">
        <v>3200</v>
      </c>
      <c r="S48" s="6">
        <v>4</v>
      </c>
      <c r="AG48" s="354" t="s">
        <v>249</v>
      </c>
      <c r="AH48" s="1" t="s">
        <v>1</v>
      </c>
      <c r="AI48" s="363">
        <v>5800</v>
      </c>
      <c r="AJ48" s="372">
        <f t="shared" si="6"/>
        <v>0.1889655172413793</v>
      </c>
      <c r="AK48" s="363">
        <v>3830</v>
      </c>
      <c r="AL48" s="372">
        <f t="shared" si="7"/>
        <v>0.18903394255874673</v>
      </c>
      <c r="AM48" s="363">
        <v>10480</v>
      </c>
      <c r="AN48" s="372">
        <f t="shared" si="8"/>
        <v>0.18874045801526718</v>
      </c>
      <c r="AO48" s="363">
        <v>600</v>
      </c>
      <c r="AP48" s="363">
        <v>50</v>
      </c>
      <c r="AQ48" s="363">
        <v>81</v>
      </c>
      <c r="AR48" s="363">
        <v>52</v>
      </c>
      <c r="AS48" s="364">
        <v>115.6</v>
      </c>
    </row>
    <row r="49" spans="7:45" ht="16.5" thickTop="1" thickBot="1" x14ac:dyDescent="0.3">
      <c r="G49" s="1" t="s">
        <v>246</v>
      </c>
      <c r="H49" s="5">
        <v>8860</v>
      </c>
      <c r="I49" s="1" t="s">
        <v>246</v>
      </c>
      <c r="J49" s="5">
        <v>5990</v>
      </c>
      <c r="K49" s="1" t="s">
        <v>246</v>
      </c>
      <c r="L49" s="5">
        <v>3770</v>
      </c>
      <c r="M49" s="1" t="s">
        <v>246</v>
      </c>
      <c r="N49" s="5">
        <v>1550</v>
      </c>
      <c r="P49" s="1" t="s">
        <v>742</v>
      </c>
      <c r="Q49" s="5">
        <v>2000</v>
      </c>
      <c r="S49" s="6">
        <v>3</v>
      </c>
      <c r="AG49" s="354" t="s">
        <v>250</v>
      </c>
      <c r="AH49" s="1" t="s">
        <v>1</v>
      </c>
      <c r="AI49" s="363">
        <v>6670</v>
      </c>
      <c r="AJ49" s="372">
        <f t="shared" si="6"/>
        <v>0.16431784107946026</v>
      </c>
      <c r="AK49" s="363">
        <v>4400</v>
      </c>
      <c r="AL49" s="372">
        <f t="shared" si="7"/>
        <v>0.16454545454545455</v>
      </c>
      <c r="AM49" s="363">
        <v>12050</v>
      </c>
      <c r="AN49" s="372">
        <f t="shared" si="8"/>
        <v>0.16414937759336098</v>
      </c>
      <c r="AO49" s="363">
        <v>600</v>
      </c>
      <c r="AP49" s="363">
        <v>50</v>
      </c>
      <c r="AQ49" s="363">
        <v>122</v>
      </c>
      <c r="AR49" s="363">
        <v>60</v>
      </c>
      <c r="AS49" s="364">
        <v>133.30000000000001</v>
      </c>
    </row>
    <row r="50" spans="7:45" ht="16.5" thickTop="1" thickBot="1" x14ac:dyDescent="0.3">
      <c r="G50" s="1" t="s">
        <v>247</v>
      </c>
      <c r="H50" s="5">
        <v>11080</v>
      </c>
      <c r="I50" s="1" t="s">
        <v>247</v>
      </c>
      <c r="J50" s="5">
        <v>7490</v>
      </c>
      <c r="K50" s="1" t="s">
        <v>247</v>
      </c>
      <c r="L50" s="5">
        <v>4720</v>
      </c>
      <c r="M50" s="1" t="s">
        <v>247</v>
      </c>
      <c r="N50" s="5">
        <v>1940</v>
      </c>
      <c r="P50" s="1" t="s">
        <v>743</v>
      </c>
      <c r="Q50" s="5">
        <v>1200</v>
      </c>
      <c r="S50" s="6">
        <v>2</v>
      </c>
      <c r="AG50" s="354" t="s">
        <v>251</v>
      </c>
      <c r="AH50" s="1" t="s">
        <v>1</v>
      </c>
      <c r="AI50" s="363">
        <v>7540</v>
      </c>
      <c r="AJ50" s="372">
        <f t="shared" si="6"/>
        <v>0.14535809018567639</v>
      </c>
      <c r="AK50" s="363">
        <v>4970</v>
      </c>
      <c r="AL50" s="372">
        <f t="shared" si="7"/>
        <v>0.14567404426559355</v>
      </c>
      <c r="AM50" s="363">
        <v>13620</v>
      </c>
      <c r="AN50" s="372">
        <f t="shared" si="8"/>
        <v>0.14522760646108665</v>
      </c>
      <c r="AO50" s="363">
        <v>600</v>
      </c>
      <c r="AP50" s="363">
        <v>50</v>
      </c>
      <c r="AQ50" s="363">
        <v>163</v>
      </c>
      <c r="AR50" s="363">
        <v>70</v>
      </c>
      <c r="AS50" s="364">
        <v>155.6</v>
      </c>
    </row>
    <row r="51" spans="7:45" ht="16.5" thickTop="1" thickBot="1" x14ac:dyDescent="0.3">
      <c r="G51" s="1" t="s">
        <v>248</v>
      </c>
      <c r="H51" s="5">
        <v>13850</v>
      </c>
      <c r="I51" s="1" t="s">
        <v>248</v>
      </c>
      <c r="J51" s="5">
        <v>9362</v>
      </c>
      <c r="K51" s="1" t="s">
        <v>248</v>
      </c>
      <c r="L51" s="5">
        <v>5900</v>
      </c>
      <c r="M51" s="1" t="s">
        <v>248</v>
      </c>
      <c r="N51" s="5">
        <v>2425</v>
      </c>
      <c r="P51" s="1" t="s">
        <v>744</v>
      </c>
      <c r="Q51" s="5">
        <v>800</v>
      </c>
      <c r="S51" s="6">
        <v>1</v>
      </c>
      <c r="AG51" s="354" t="s">
        <v>252</v>
      </c>
      <c r="AH51" s="1" t="s">
        <v>1</v>
      </c>
      <c r="AI51" s="363">
        <v>8780</v>
      </c>
      <c r="AJ51" s="372">
        <f t="shared" si="6"/>
        <v>0.12482915717539864</v>
      </c>
      <c r="AK51" s="363">
        <v>5780</v>
      </c>
      <c r="AL51" s="372">
        <f t="shared" si="7"/>
        <v>0.12525951557093426</v>
      </c>
      <c r="AM51" s="363">
        <v>15850</v>
      </c>
      <c r="AN51" s="372">
        <f t="shared" si="8"/>
        <v>0.12479495268138802</v>
      </c>
      <c r="AO51" s="363">
        <v>600</v>
      </c>
      <c r="AP51" s="363">
        <v>50</v>
      </c>
      <c r="AQ51" s="363">
        <v>230</v>
      </c>
      <c r="AR51" s="363">
        <v>80</v>
      </c>
      <c r="AS51" s="364">
        <v>177.8</v>
      </c>
    </row>
    <row r="52" spans="7:45" ht="16.5" thickTop="1" thickBot="1" x14ac:dyDescent="0.3">
      <c r="G52" s="1" t="s">
        <v>249</v>
      </c>
      <c r="H52" s="5">
        <v>16620</v>
      </c>
      <c r="I52" s="1" t="s">
        <v>249</v>
      </c>
      <c r="J52" s="5">
        <v>10480</v>
      </c>
      <c r="K52" s="1" t="s">
        <v>249</v>
      </c>
      <c r="L52" s="5">
        <v>6780</v>
      </c>
      <c r="M52" s="1" t="s">
        <v>249</v>
      </c>
      <c r="N52" s="5">
        <v>2780</v>
      </c>
      <c r="AG52" s="355" t="s">
        <v>693</v>
      </c>
      <c r="AH52" s="356" t="s">
        <v>1</v>
      </c>
      <c r="AI52" s="365">
        <v>10100</v>
      </c>
      <c r="AJ52" s="373">
        <f t="shared" si="6"/>
        <v>0.10851485148514851</v>
      </c>
      <c r="AK52" s="365">
        <v>6650</v>
      </c>
      <c r="AL52" s="373">
        <f t="shared" si="7"/>
        <v>0.10887218045112781</v>
      </c>
      <c r="AM52" s="365">
        <v>18230</v>
      </c>
      <c r="AN52" s="373">
        <f t="shared" si="8"/>
        <v>0.10850246845858474</v>
      </c>
      <c r="AO52" s="365">
        <v>600</v>
      </c>
      <c r="AP52" s="365">
        <v>50</v>
      </c>
      <c r="AQ52" s="365">
        <v>310</v>
      </c>
      <c r="AR52" s="365">
        <v>125</v>
      </c>
      <c r="AS52" s="366">
        <v>277.8</v>
      </c>
    </row>
    <row r="53" spans="7:45" x14ac:dyDescent="0.25">
      <c r="G53" s="1" t="s">
        <v>250</v>
      </c>
      <c r="H53" s="5">
        <v>20440</v>
      </c>
      <c r="I53" s="1" t="s">
        <v>250</v>
      </c>
      <c r="J53" s="5">
        <v>12050</v>
      </c>
      <c r="K53" s="1" t="s">
        <v>250</v>
      </c>
      <c r="L53" s="5">
        <v>8000</v>
      </c>
      <c r="M53" s="1" t="s">
        <v>250</v>
      </c>
      <c r="N53" s="5">
        <v>3280</v>
      </c>
      <c r="AG53" s="352" t="s">
        <v>237</v>
      </c>
      <c r="AH53" s="353" t="s">
        <v>4</v>
      </c>
      <c r="AI53" s="367">
        <v>100</v>
      </c>
      <c r="AJ53" s="371">
        <f>$AB$19/AI53</f>
        <v>5.13</v>
      </c>
      <c r="AK53" s="367">
        <v>50</v>
      </c>
      <c r="AL53" s="371">
        <f>$AC$19/AK53</f>
        <v>4.88</v>
      </c>
      <c r="AM53" s="367">
        <v>100</v>
      </c>
      <c r="AN53" s="371">
        <f>$AD$19/AM53</f>
        <v>5.13</v>
      </c>
      <c r="AO53" s="367">
        <v>75</v>
      </c>
      <c r="AP53" s="367">
        <v>1400</v>
      </c>
      <c r="AQ53" s="367">
        <v>2</v>
      </c>
      <c r="AR53" s="367">
        <v>1</v>
      </c>
      <c r="AS53" s="368">
        <v>2.2000000000000002</v>
      </c>
    </row>
    <row r="54" spans="7:45" x14ac:dyDescent="0.25">
      <c r="G54" s="1" t="s">
        <v>251</v>
      </c>
      <c r="H54" s="5">
        <v>24260</v>
      </c>
      <c r="I54" s="1" t="s">
        <v>251</v>
      </c>
      <c r="J54" s="5">
        <v>13620</v>
      </c>
      <c r="K54" s="1" t="s">
        <v>251</v>
      </c>
      <c r="L54" s="5">
        <v>9220</v>
      </c>
      <c r="M54" s="1" t="s">
        <v>251</v>
      </c>
      <c r="N54" s="5">
        <v>3780</v>
      </c>
      <c r="AG54" s="354" t="s">
        <v>238</v>
      </c>
      <c r="AH54" s="1" t="s">
        <v>4</v>
      </c>
      <c r="AI54" s="363">
        <v>140</v>
      </c>
      <c r="AJ54" s="372">
        <f t="shared" ref="AJ54:AJ69" si="9">$AB$19/AI54</f>
        <v>3.6642857142857141</v>
      </c>
      <c r="AK54" s="363">
        <v>70</v>
      </c>
      <c r="AL54" s="372">
        <f t="shared" ref="AL54:AL69" si="10">$AC$19/AK54</f>
        <v>3.4857142857142858</v>
      </c>
      <c r="AM54" s="363">
        <v>140</v>
      </c>
      <c r="AN54" s="372">
        <f t="shared" ref="AN54:AN69" si="11">$AD$19/AM54</f>
        <v>3.6642857142857141</v>
      </c>
      <c r="AO54" s="363">
        <v>75</v>
      </c>
      <c r="AP54" s="363">
        <v>1400</v>
      </c>
      <c r="AQ54" s="363">
        <v>2.7</v>
      </c>
      <c r="AR54" s="363">
        <v>3</v>
      </c>
      <c r="AS54" s="364">
        <v>6.7</v>
      </c>
    </row>
    <row r="55" spans="7:45" x14ac:dyDescent="0.25">
      <c r="G55" s="1" t="s">
        <v>252</v>
      </c>
      <c r="H55" s="5">
        <v>28240</v>
      </c>
      <c r="I55" s="1" t="s">
        <v>252</v>
      </c>
      <c r="J55" s="5">
        <v>15850</v>
      </c>
      <c r="K55" s="1" t="s">
        <v>252</v>
      </c>
      <c r="L55" s="5">
        <v>10730</v>
      </c>
      <c r="M55" s="1" t="s">
        <v>252</v>
      </c>
      <c r="N55" s="5">
        <v>4400</v>
      </c>
      <c r="AG55" s="354" t="s">
        <v>239</v>
      </c>
      <c r="AH55" s="1" t="s">
        <v>4</v>
      </c>
      <c r="AI55" s="363">
        <v>190</v>
      </c>
      <c r="AJ55" s="372">
        <f t="shared" si="9"/>
        <v>2.7</v>
      </c>
      <c r="AK55" s="363">
        <v>90</v>
      </c>
      <c r="AL55" s="372">
        <f t="shared" si="10"/>
        <v>2.7111111111111112</v>
      </c>
      <c r="AM55" s="363">
        <v>190</v>
      </c>
      <c r="AN55" s="372">
        <f t="shared" si="11"/>
        <v>2.7</v>
      </c>
      <c r="AO55" s="363">
        <v>75</v>
      </c>
      <c r="AP55" s="363">
        <v>1400</v>
      </c>
      <c r="AQ55" s="363">
        <v>3.65</v>
      </c>
      <c r="AR55" s="363">
        <v>5</v>
      </c>
      <c r="AS55" s="364">
        <v>11.1</v>
      </c>
    </row>
    <row r="56" spans="7:45" x14ac:dyDescent="0.25">
      <c r="G56" s="1" t="s">
        <v>693</v>
      </c>
      <c r="H56" s="5">
        <v>32480</v>
      </c>
      <c r="I56" s="1" t="s">
        <v>693</v>
      </c>
      <c r="J56" s="5">
        <v>18230</v>
      </c>
      <c r="K56" s="1" t="s">
        <v>693</v>
      </c>
      <c r="L56" s="5">
        <v>12340</v>
      </c>
      <c r="M56" s="1" t="s">
        <v>693</v>
      </c>
      <c r="N56" s="5">
        <v>5060</v>
      </c>
      <c r="AG56" s="354" t="s">
        <v>240</v>
      </c>
      <c r="AH56" s="1" t="s">
        <v>4</v>
      </c>
      <c r="AI56" s="363">
        <v>260</v>
      </c>
      <c r="AJ56" s="372">
        <f t="shared" si="9"/>
        <v>1.9730769230769232</v>
      </c>
      <c r="AK56" s="363">
        <v>120</v>
      </c>
      <c r="AL56" s="372">
        <f t="shared" si="10"/>
        <v>2.0333333333333332</v>
      </c>
      <c r="AM56" s="363">
        <v>260</v>
      </c>
      <c r="AN56" s="372">
        <f t="shared" si="11"/>
        <v>1.9730769230769232</v>
      </c>
      <c r="AO56" s="363">
        <v>75</v>
      </c>
      <c r="AP56" s="363">
        <v>1400</v>
      </c>
      <c r="AQ56" s="363">
        <v>4.92</v>
      </c>
      <c r="AR56" s="363">
        <v>8</v>
      </c>
      <c r="AS56" s="364">
        <v>17.8</v>
      </c>
    </row>
    <row r="57" spans="7:45" x14ac:dyDescent="0.25">
      <c r="AG57" s="354" t="s">
        <v>241</v>
      </c>
      <c r="AH57" s="1" t="s">
        <v>4</v>
      </c>
      <c r="AI57" s="363">
        <v>350</v>
      </c>
      <c r="AJ57" s="372">
        <f t="shared" si="9"/>
        <v>1.4657142857142857</v>
      </c>
      <c r="AK57" s="363">
        <v>160</v>
      </c>
      <c r="AL57" s="372">
        <f t="shared" si="10"/>
        <v>1.5249999999999999</v>
      </c>
      <c r="AM57" s="363">
        <v>350</v>
      </c>
      <c r="AN57" s="372">
        <f t="shared" si="11"/>
        <v>1.4657142857142857</v>
      </c>
      <c r="AO57" s="363">
        <v>75</v>
      </c>
      <c r="AP57" s="363">
        <v>1556</v>
      </c>
      <c r="AQ57" s="363">
        <v>6.64</v>
      </c>
      <c r="AR57" s="363">
        <v>11</v>
      </c>
      <c r="AS57" s="364">
        <v>24.4</v>
      </c>
    </row>
    <row r="58" spans="7:45" x14ac:dyDescent="0.25">
      <c r="AG58" s="354" t="s">
        <v>242</v>
      </c>
      <c r="AH58" s="1" t="s">
        <v>4</v>
      </c>
      <c r="AI58" s="363">
        <v>470</v>
      </c>
      <c r="AJ58" s="372">
        <f t="shared" si="9"/>
        <v>1.0914893617021277</v>
      </c>
      <c r="AK58" s="363">
        <v>220</v>
      </c>
      <c r="AL58" s="372">
        <f t="shared" si="10"/>
        <v>1.1090909090909091</v>
      </c>
      <c r="AM58" s="363">
        <v>470</v>
      </c>
      <c r="AN58" s="372">
        <f t="shared" si="11"/>
        <v>1.0914893617021277</v>
      </c>
      <c r="AO58" s="363">
        <v>75</v>
      </c>
      <c r="AP58" s="363">
        <v>1556</v>
      </c>
      <c r="AQ58" s="363">
        <v>8.9700000000000006</v>
      </c>
      <c r="AR58" s="363">
        <v>15</v>
      </c>
      <c r="AS58" s="364">
        <v>33.299999999999997</v>
      </c>
    </row>
    <row r="59" spans="7:45" x14ac:dyDescent="0.25">
      <c r="AG59" s="354" t="s">
        <v>243</v>
      </c>
      <c r="AH59" s="1" t="s">
        <v>4</v>
      </c>
      <c r="AI59" s="363">
        <v>630</v>
      </c>
      <c r="AJ59" s="372">
        <f t="shared" si="9"/>
        <v>0.81428571428571428</v>
      </c>
      <c r="AK59" s="363">
        <v>300</v>
      </c>
      <c r="AL59" s="372">
        <f t="shared" si="10"/>
        <v>0.81333333333333335</v>
      </c>
      <c r="AM59" s="363">
        <v>630</v>
      </c>
      <c r="AN59" s="372">
        <f t="shared" si="11"/>
        <v>0.81428571428571428</v>
      </c>
      <c r="AO59" s="363">
        <v>75</v>
      </c>
      <c r="AP59" s="363">
        <v>1556</v>
      </c>
      <c r="AQ59" s="363">
        <v>12.11</v>
      </c>
      <c r="AR59" s="363">
        <v>19</v>
      </c>
      <c r="AS59" s="364">
        <v>42.2</v>
      </c>
    </row>
    <row r="60" spans="7:45" x14ac:dyDescent="0.25">
      <c r="AG60" s="354" t="s">
        <v>244</v>
      </c>
      <c r="AH60" s="1" t="s">
        <v>4</v>
      </c>
      <c r="AI60" s="363">
        <v>850</v>
      </c>
      <c r="AJ60" s="372">
        <f t="shared" si="9"/>
        <v>0.60352941176470587</v>
      </c>
      <c r="AK60" s="363">
        <v>410</v>
      </c>
      <c r="AL60" s="372">
        <f t="shared" si="10"/>
        <v>0.59512195121951217</v>
      </c>
      <c r="AM60" s="363">
        <v>850</v>
      </c>
      <c r="AN60" s="372">
        <f t="shared" si="11"/>
        <v>0.60352941176470587</v>
      </c>
      <c r="AO60" s="363">
        <v>75</v>
      </c>
      <c r="AP60" s="363">
        <v>1556</v>
      </c>
      <c r="AQ60" s="363">
        <v>16.34</v>
      </c>
      <c r="AR60" s="363">
        <v>23</v>
      </c>
      <c r="AS60" s="364">
        <v>51.1</v>
      </c>
    </row>
    <row r="61" spans="7:45" x14ac:dyDescent="0.25">
      <c r="AG61" s="354" t="s">
        <v>245</v>
      </c>
      <c r="AH61" s="1" t="s">
        <v>4</v>
      </c>
      <c r="AI61" s="363">
        <v>1150</v>
      </c>
      <c r="AJ61" s="372">
        <f t="shared" si="9"/>
        <v>0.44608695652173913</v>
      </c>
      <c r="AK61" s="363">
        <v>550</v>
      </c>
      <c r="AL61" s="372">
        <f t="shared" si="10"/>
        <v>0.44363636363636366</v>
      </c>
      <c r="AM61" s="363">
        <v>1150</v>
      </c>
      <c r="AN61" s="372">
        <f t="shared" si="11"/>
        <v>0.44608695652173913</v>
      </c>
      <c r="AO61" s="363">
        <v>75</v>
      </c>
      <c r="AP61" s="363">
        <v>1711</v>
      </c>
      <c r="AQ61" s="363">
        <v>22.06</v>
      </c>
      <c r="AR61" s="363">
        <v>27</v>
      </c>
      <c r="AS61" s="364">
        <v>60</v>
      </c>
    </row>
    <row r="62" spans="7:45" x14ac:dyDescent="0.25">
      <c r="AG62" s="354" t="s">
        <v>246</v>
      </c>
      <c r="AH62" s="1" t="s">
        <v>4</v>
      </c>
      <c r="AI62" s="363">
        <v>1550</v>
      </c>
      <c r="AJ62" s="372">
        <f t="shared" si="9"/>
        <v>0.33096774193548389</v>
      </c>
      <c r="AK62" s="363">
        <v>740</v>
      </c>
      <c r="AL62" s="372">
        <f t="shared" si="10"/>
        <v>0.32972972972972975</v>
      </c>
      <c r="AM62" s="363">
        <v>1550</v>
      </c>
      <c r="AN62" s="372">
        <f t="shared" si="11"/>
        <v>0.33096774193548389</v>
      </c>
      <c r="AO62" s="363">
        <v>75</v>
      </c>
      <c r="AP62" s="363">
        <v>1711</v>
      </c>
      <c r="AQ62" s="363">
        <v>29.79</v>
      </c>
      <c r="AR62" s="363">
        <v>32</v>
      </c>
      <c r="AS62" s="364">
        <v>71.099999999999994</v>
      </c>
    </row>
    <row r="63" spans="7:45" x14ac:dyDescent="0.25">
      <c r="AG63" s="354" t="s">
        <v>247</v>
      </c>
      <c r="AH63" s="1" t="s">
        <v>4</v>
      </c>
      <c r="AI63" s="363">
        <v>1940</v>
      </c>
      <c r="AJ63" s="372">
        <f t="shared" si="9"/>
        <v>0.26443298969072165</v>
      </c>
      <c r="AK63" s="363">
        <v>930</v>
      </c>
      <c r="AL63" s="372">
        <f t="shared" si="10"/>
        <v>0.26236559139784948</v>
      </c>
      <c r="AM63" s="363">
        <v>1940</v>
      </c>
      <c r="AN63" s="372">
        <f t="shared" si="11"/>
        <v>0.26443298969072165</v>
      </c>
      <c r="AO63" s="363">
        <v>75</v>
      </c>
      <c r="AP63" s="363">
        <v>1867</v>
      </c>
      <c r="AQ63" s="363">
        <v>35.75</v>
      </c>
      <c r="AR63" s="363">
        <v>38</v>
      </c>
      <c r="AS63" s="364">
        <v>84.4</v>
      </c>
    </row>
    <row r="64" spans="7:45" x14ac:dyDescent="0.25">
      <c r="AG64" s="354" t="s">
        <v>248</v>
      </c>
      <c r="AH64" s="1" t="s">
        <v>4</v>
      </c>
      <c r="AI64" s="363">
        <v>2425</v>
      </c>
      <c r="AJ64" s="372">
        <f t="shared" si="9"/>
        <v>0.21154639175257731</v>
      </c>
      <c r="AK64" s="363">
        <v>1162</v>
      </c>
      <c r="AL64" s="372">
        <f t="shared" si="10"/>
        <v>0.20998278829604131</v>
      </c>
      <c r="AM64" s="363">
        <v>2425</v>
      </c>
      <c r="AN64" s="372">
        <f t="shared" si="11"/>
        <v>0.21154639175257731</v>
      </c>
      <c r="AO64" s="363">
        <v>75</v>
      </c>
      <c r="AP64" s="363">
        <v>1867</v>
      </c>
      <c r="AQ64" s="363">
        <v>53.63</v>
      </c>
      <c r="AR64" s="363">
        <v>45</v>
      </c>
      <c r="AS64" s="364">
        <v>100</v>
      </c>
    </row>
    <row r="65" spans="33:45" x14ac:dyDescent="0.25">
      <c r="AG65" s="354" t="s">
        <v>249</v>
      </c>
      <c r="AH65" s="1" t="s">
        <v>4</v>
      </c>
      <c r="AI65" s="363">
        <v>2780</v>
      </c>
      <c r="AJ65" s="372">
        <f t="shared" si="9"/>
        <v>0.18453237410071943</v>
      </c>
      <c r="AK65" s="363">
        <v>1330</v>
      </c>
      <c r="AL65" s="372">
        <f t="shared" si="10"/>
        <v>0.18345864661654135</v>
      </c>
      <c r="AM65" s="363">
        <v>2780</v>
      </c>
      <c r="AN65" s="372">
        <f t="shared" si="11"/>
        <v>0.18453237410071943</v>
      </c>
      <c r="AO65" s="363">
        <v>75</v>
      </c>
      <c r="AP65" s="363">
        <v>2178</v>
      </c>
      <c r="AQ65" s="363">
        <v>81</v>
      </c>
      <c r="AR65" s="363">
        <v>52</v>
      </c>
      <c r="AS65" s="364">
        <v>115.6</v>
      </c>
    </row>
    <row r="66" spans="33:45" x14ac:dyDescent="0.25">
      <c r="AG66" s="354" t="s">
        <v>250</v>
      </c>
      <c r="AH66" s="1" t="s">
        <v>4</v>
      </c>
      <c r="AI66" s="363">
        <v>3280</v>
      </c>
      <c r="AJ66" s="372">
        <f t="shared" si="9"/>
        <v>0.15640243902439024</v>
      </c>
      <c r="AK66" s="363">
        <v>1560</v>
      </c>
      <c r="AL66" s="372">
        <f t="shared" si="10"/>
        <v>0.15641025641025641</v>
      </c>
      <c r="AM66" s="363">
        <v>3280</v>
      </c>
      <c r="AN66" s="372">
        <f t="shared" si="11"/>
        <v>0.15640243902439024</v>
      </c>
      <c r="AO66" s="363">
        <v>75</v>
      </c>
      <c r="AP66" s="363">
        <v>2178</v>
      </c>
      <c r="AQ66" s="363">
        <v>122</v>
      </c>
      <c r="AR66" s="363">
        <v>60</v>
      </c>
      <c r="AS66" s="364">
        <v>133.30000000000001</v>
      </c>
    </row>
    <row r="67" spans="33:45" x14ac:dyDescent="0.25">
      <c r="AG67" s="354" t="s">
        <v>251</v>
      </c>
      <c r="AH67" s="1" t="s">
        <v>4</v>
      </c>
      <c r="AI67" s="363">
        <v>3780</v>
      </c>
      <c r="AJ67" s="372">
        <f t="shared" si="9"/>
        <v>0.1357142857142857</v>
      </c>
      <c r="AK67" s="363">
        <v>1790</v>
      </c>
      <c r="AL67" s="372">
        <f t="shared" si="10"/>
        <v>0.13631284916201117</v>
      </c>
      <c r="AM67" s="363">
        <v>3780</v>
      </c>
      <c r="AN67" s="372">
        <f t="shared" si="11"/>
        <v>0.1357142857142857</v>
      </c>
      <c r="AO67" s="363">
        <v>75</v>
      </c>
      <c r="AP67" s="363">
        <v>2178</v>
      </c>
      <c r="AQ67" s="363">
        <v>163</v>
      </c>
      <c r="AR67" s="363">
        <v>70</v>
      </c>
      <c r="AS67" s="364">
        <v>155.6</v>
      </c>
    </row>
    <row r="68" spans="33:45" x14ac:dyDescent="0.25">
      <c r="AG68" s="354" t="s">
        <v>252</v>
      </c>
      <c r="AH68" s="1" t="s">
        <v>4</v>
      </c>
      <c r="AI68" s="363">
        <v>4400</v>
      </c>
      <c r="AJ68" s="372">
        <f t="shared" si="9"/>
        <v>0.11659090909090909</v>
      </c>
      <c r="AK68" s="363">
        <v>2080</v>
      </c>
      <c r="AL68" s="372">
        <f t="shared" si="10"/>
        <v>0.11730769230769231</v>
      </c>
      <c r="AM68" s="363">
        <v>4400</v>
      </c>
      <c r="AN68" s="372">
        <f t="shared" si="11"/>
        <v>0.11659090909090909</v>
      </c>
      <c r="AO68" s="363">
        <v>76</v>
      </c>
      <c r="AP68" s="363">
        <v>2178</v>
      </c>
      <c r="AQ68" s="363">
        <v>230</v>
      </c>
      <c r="AR68" s="363">
        <v>80</v>
      </c>
      <c r="AS68" s="364">
        <v>177.8</v>
      </c>
    </row>
    <row r="69" spans="33:45" ht="15.75" thickBot="1" x14ac:dyDescent="0.3">
      <c r="AG69" s="355" t="s">
        <v>693</v>
      </c>
      <c r="AH69" s="356" t="s">
        <v>4</v>
      </c>
      <c r="AI69" s="365">
        <v>5060</v>
      </c>
      <c r="AJ69" s="373">
        <f t="shared" si="9"/>
        <v>0.10138339920948616</v>
      </c>
      <c r="AK69" s="365">
        <v>2390</v>
      </c>
      <c r="AL69" s="373">
        <f t="shared" si="10"/>
        <v>0.10209205020920502</v>
      </c>
      <c r="AM69" s="365">
        <v>5060</v>
      </c>
      <c r="AN69" s="373">
        <f t="shared" si="11"/>
        <v>0.10138339920948616</v>
      </c>
      <c r="AO69" s="365">
        <v>76</v>
      </c>
      <c r="AP69" s="365">
        <v>2178</v>
      </c>
      <c r="AQ69" s="365">
        <v>310</v>
      </c>
      <c r="AR69" s="365">
        <v>125</v>
      </c>
      <c r="AS69" s="366">
        <v>277.8</v>
      </c>
    </row>
  </sheetData>
  <mergeCells count="18">
    <mergeCell ref="AA14:AD14"/>
    <mergeCell ref="AA21:AD21"/>
    <mergeCell ref="AA1:AE1"/>
    <mergeCell ref="AA7:AE7"/>
    <mergeCell ref="G20:H20"/>
    <mergeCell ref="I20:J20"/>
    <mergeCell ref="K20:L20"/>
    <mergeCell ref="M20:N20"/>
    <mergeCell ref="G39:H39"/>
    <mergeCell ref="I39:J39"/>
    <mergeCell ref="K39:L39"/>
    <mergeCell ref="M39:N39"/>
    <mergeCell ref="X1:Y1"/>
    <mergeCell ref="P1:Q1"/>
    <mergeCell ref="G1:H1"/>
    <mergeCell ref="I1:J1"/>
    <mergeCell ref="K1:L1"/>
    <mergeCell ref="M1:N1"/>
  </mergeCells>
  <phoneticPr fontId="2" type="noConversion"/>
  <pageMargins left="0.7" right="0.7" top="0.75" bottom="0.75" header="0.3" footer="0.3"/>
  <ignoredErrors>
    <ignoredError sqref="AB26 AB23 AB24 AB25 AC23:AD2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Comparison Tool</vt:lpstr>
      <vt:lpstr>GROUND</vt:lpstr>
      <vt:lpstr>RANGED</vt:lpstr>
      <vt:lpstr>MOUNTED</vt:lpstr>
      <vt:lpstr>SIEGE</vt:lpstr>
      <vt:lpstr>SUB-CITY</vt:lpstr>
      <vt:lpstr>DUTY</vt:lpstr>
      <vt:lpstr>WALL</vt:lpstr>
      <vt:lpstr>MONSTER</vt:lpstr>
      <vt:lpstr>Compatibility</vt:lpstr>
      <vt:lpstr>DRAGONS</vt:lpstr>
      <vt:lpstr>COVENANTS</vt:lpstr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stefan.eugen.florescu@gmail.com</dc:creator>
  <cp:lastModifiedBy>Eugen Florescu</cp:lastModifiedBy>
  <dcterms:created xsi:type="dcterms:W3CDTF">2025-02-02T20:12:34Z</dcterms:created>
  <dcterms:modified xsi:type="dcterms:W3CDTF">2026-03-27T07:07:16Z</dcterms:modified>
</cp:coreProperties>
</file>